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 car_sales_data 1" sheetId="3" r:id="rId6"/>
  </sheets>
  <definedNames>
    <definedName name="Slicer_Sale_Category">#REF!</definedName>
    <definedName name="Slicer_Date">#REF!</definedName>
    <definedName name="Slicer_Car_Age">#REF!</definedName>
    <definedName name="Slicer_Sale_Month">#REF!</definedName>
  </definedNames>
  <calcPr/>
  <extLst>
    <ext uri="GoogleSheetsCustomDataVersion2">
      <go:sheetsCustomData xmlns:go="http://customooxmlschemas.google.com/" r:id="rId7" roundtripDataChecksum="o5HnwAjOY3NCEThxtBqwpJOov23j2mGy+DpOu6KQIIE="/>
    </ext>
  </extLst>
</workbook>
</file>

<file path=xl/sharedStrings.xml><?xml version="1.0" encoding="utf-8"?>
<sst xmlns="http://schemas.openxmlformats.org/spreadsheetml/2006/main" count="12081" uniqueCount="5797">
  <si>
    <t>SALES ANALYSIS REPORT</t>
  </si>
  <si>
    <t>Row Labels</t>
  </si>
  <si>
    <t>Sum of Sale Price</t>
  </si>
  <si>
    <t>Sum of Commission Earned</t>
  </si>
  <si>
    <t>Sum of profit</t>
  </si>
  <si>
    <t>David Lee</t>
  </si>
  <si>
    <t>Chevrolet</t>
  </si>
  <si>
    <t>Elizabeth Brown</t>
  </si>
  <si>
    <t>Ford</t>
  </si>
  <si>
    <t>James Gomez</t>
  </si>
  <si>
    <t>Honda</t>
  </si>
  <si>
    <t>Kimberly Hall</t>
  </si>
  <si>
    <t>Nissan</t>
  </si>
  <si>
    <t>Michael Parker</t>
  </si>
  <si>
    <t>Toyota</t>
  </si>
  <si>
    <t>Michael Sullivan</t>
  </si>
  <si>
    <t>Grand Total</t>
  </si>
  <si>
    <t>Sarah Johnson</t>
  </si>
  <si>
    <t>Shawn James</t>
  </si>
  <si>
    <t>Stephanie Jones</t>
  </si>
  <si>
    <t>Stephanie Smith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</si>
  <si>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</si>
  <si>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</si>
  <si>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</si>
  <si>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</si>
  <si>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</si>
  <si>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</si>
  <si>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</si>
  <si>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</si>
  <si>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</si>
  <si>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</si>
  <si>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</si>
  <si>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</si>
  <si>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Budget</t>
  </si>
  <si>
    <t>Mid Range</t>
  </si>
  <si>
    <t>Premium</t>
  </si>
  <si>
    <t>Column Labels</t>
  </si>
  <si>
    <t>Date</t>
  </si>
  <si>
    <t>Salesperson</t>
  </si>
  <si>
    <t>Customer Name</t>
  </si>
  <si>
    <t>Car Make</t>
  </si>
  <si>
    <t>Car Model</t>
  </si>
  <si>
    <t>Car Year</t>
  </si>
  <si>
    <t>Sale Price</t>
  </si>
  <si>
    <t>Commission Earned</t>
  </si>
  <si>
    <t>profit</t>
  </si>
  <si>
    <t>Sale Month</t>
  </si>
  <si>
    <t>Sale Category</t>
  </si>
  <si>
    <t>Car Age</t>
  </si>
  <si>
    <t>Monica Moore MD</t>
  </si>
  <si>
    <t>Mary Butler</t>
  </si>
  <si>
    <t>Altima</t>
  </si>
  <si>
    <t>Roberto Rose</t>
  </si>
  <si>
    <t>Richard Pierce</t>
  </si>
  <si>
    <t>F-150</t>
  </si>
  <si>
    <t>Ashley Ramos</t>
  </si>
  <si>
    <t>Sandra Moore</t>
  </si>
  <si>
    <t>Civic</t>
  </si>
  <si>
    <t>Patrick Harris</t>
  </si>
  <si>
    <t>Johnny Scott</t>
  </si>
  <si>
    <t>Eric Lopez</t>
  </si>
  <si>
    <t>Vanessa Jones</t>
  </si>
  <si>
    <t>Silverado</t>
  </si>
  <si>
    <t>Terry Perkins MD</t>
  </si>
  <si>
    <t>John Olsen</t>
  </si>
  <si>
    <t>Ashley Brown</t>
  </si>
  <si>
    <t>Tyler Lawson</t>
  </si>
  <si>
    <t>Norma Watkins</t>
  </si>
  <si>
    <t>Michael Bond</t>
  </si>
  <si>
    <t>Scott Parker</t>
  </si>
  <si>
    <t>Corolla</t>
  </si>
  <si>
    <t>Andrew Smith</t>
  </si>
  <si>
    <t>Ashley Moreno DDS</t>
  </si>
  <si>
    <t>Harold Nelson</t>
  </si>
  <si>
    <t>Isaac Patton</t>
  </si>
  <si>
    <t>Richard Richardson</t>
  </si>
  <si>
    <t>Justin Gray</t>
  </si>
  <si>
    <t>Mia Acosta</t>
  </si>
  <si>
    <t>Rebecca Best</t>
  </si>
  <si>
    <t>Lisa Campbell</t>
  </si>
  <si>
    <t>Lisa Anderson</t>
  </si>
  <si>
    <t>Carrie Howard</t>
  </si>
  <si>
    <t>Rodney Black</t>
  </si>
  <si>
    <t>James Velasquez</t>
  </si>
  <si>
    <t>Natalie Thompson</t>
  </si>
  <si>
    <t>Kristin Holmes</t>
  </si>
  <si>
    <t>Michael Hill</t>
  </si>
  <si>
    <t>Amy Solomon</t>
  </si>
  <si>
    <t>Taylor Moore</t>
  </si>
  <si>
    <t>William Williams</t>
  </si>
  <si>
    <t>Jordan Taylor</t>
  </si>
  <si>
    <t>Patricia Reynolds</t>
  </si>
  <si>
    <t>Alison Walker</t>
  </si>
  <si>
    <t>Michelle Gonzalez</t>
  </si>
  <si>
    <t>Juan Davies</t>
  </si>
  <si>
    <t>Jennifer Morris</t>
  </si>
  <si>
    <t>Kristin Robinson</t>
  </si>
  <si>
    <t>Jeremiah Thompson</t>
  </si>
  <si>
    <t>Clifford Evans</t>
  </si>
  <si>
    <t>Matthew White</t>
  </si>
  <si>
    <t>Nancy Martinez</t>
  </si>
  <si>
    <t>Jason Riley</t>
  </si>
  <si>
    <t>Ruben Gomez</t>
  </si>
  <si>
    <t>Faith Pierce</t>
  </si>
  <si>
    <t>Jimmy Dunn</t>
  </si>
  <si>
    <t>Samuel Brown</t>
  </si>
  <si>
    <t>David Wagner</t>
  </si>
  <si>
    <t>Amber Cooper</t>
  </si>
  <si>
    <t>Claire Day</t>
  </si>
  <si>
    <t>Paul Potter</t>
  </si>
  <si>
    <t>Corey West</t>
  </si>
  <si>
    <t>Jason Cabrera</t>
  </si>
  <si>
    <t>Rebecca Hansen</t>
  </si>
  <si>
    <t>Brenda Morales</t>
  </si>
  <si>
    <t>Jason Hahn</t>
  </si>
  <si>
    <t>Christian Williams</t>
  </si>
  <si>
    <t>Jerry Baker</t>
  </si>
  <si>
    <t>Stephanie Trujillo</t>
  </si>
  <si>
    <t>April Morales</t>
  </si>
  <si>
    <t>Shawn Cummings</t>
  </si>
  <si>
    <t>Kelly Beasley</t>
  </si>
  <si>
    <t>Lacey Cooper</t>
  </si>
  <si>
    <t>Jennifer Brown</t>
  </si>
  <si>
    <t>Jennifer Stevens MD</t>
  </si>
  <si>
    <t>Brittany Gonzales</t>
  </si>
  <si>
    <t>Kristen Becker</t>
  </si>
  <si>
    <t>Ryan Medina</t>
  </si>
  <si>
    <t>Julie Aguirre</t>
  </si>
  <si>
    <t>Timothy Mccoy</t>
  </si>
  <si>
    <t>Victor Murillo</t>
  </si>
  <si>
    <t>Matthew Anderson</t>
  </si>
  <si>
    <t>Nicole Williams</t>
  </si>
  <si>
    <t>Richard Wolf</t>
  </si>
  <si>
    <t>Heather Davidson</t>
  </si>
  <si>
    <t>Rachel Madden</t>
  </si>
  <si>
    <t>Betty Young</t>
  </si>
  <si>
    <t>Lynn Villarreal</t>
  </si>
  <si>
    <t>Chad Davis</t>
  </si>
  <si>
    <t>Jesse Dunn</t>
  </si>
  <si>
    <t>Lauren Hernandez</t>
  </si>
  <si>
    <t>Amanda Combs</t>
  </si>
  <si>
    <t>David Diaz</t>
  </si>
  <si>
    <t>Amy Sanchez</t>
  </si>
  <si>
    <t>Brian Moran</t>
  </si>
  <si>
    <t>Matthew Peterson</t>
  </si>
  <si>
    <t>Amanda Butler</t>
  </si>
  <si>
    <t>Sabrina Williams</t>
  </si>
  <si>
    <t>Jacob Bishop</t>
  </si>
  <si>
    <t>Marc Caldwell</t>
  </si>
  <si>
    <t>Michael Walton</t>
  </si>
  <si>
    <t>Edgar Smith</t>
  </si>
  <si>
    <t>John Newton</t>
  </si>
  <si>
    <t>Carrie Hudson</t>
  </si>
  <si>
    <t>Kristen Martinez</t>
  </si>
  <si>
    <t>Colleen Fischer</t>
  </si>
  <si>
    <t>Kimberly Maldonado</t>
  </si>
  <si>
    <t>Kristine Hernandez</t>
  </si>
  <si>
    <t>Tara Hubbard</t>
  </si>
  <si>
    <t>Virginia Joyce</t>
  </si>
  <si>
    <t>Valerie Sanchez</t>
  </si>
  <si>
    <t>Carlos Fields</t>
  </si>
  <si>
    <t>Kevin Mitchell</t>
  </si>
  <si>
    <t>Christie Odonnell</t>
  </si>
  <si>
    <t>David Gomez</t>
  </si>
  <si>
    <t>Linda Conrad</t>
  </si>
  <si>
    <t>Rebecca Pearson</t>
  </si>
  <si>
    <t>Randall Thompson</t>
  </si>
  <si>
    <t>Jessica Flores</t>
  </si>
  <si>
    <t>Carol Turner</t>
  </si>
  <si>
    <t>Joseph Patterson</t>
  </si>
  <si>
    <t>James Velazquez</t>
  </si>
  <si>
    <t>Carrie Gordon</t>
  </si>
  <si>
    <t>Joseph Marquez</t>
  </si>
  <si>
    <t>Christina Avery</t>
  </si>
  <si>
    <t>Courtney Miller</t>
  </si>
  <si>
    <t>Monique Green</t>
  </si>
  <si>
    <t>Audrey Perry</t>
  </si>
  <si>
    <t>Tom Hunt</t>
  </si>
  <si>
    <t>Tammy Wood</t>
  </si>
  <si>
    <t>Walter Robinson</t>
  </si>
  <si>
    <t>Jeffrey Gillespie</t>
  </si>
  <si>
    <t>Robert Gordon</t>
  </si>
  <si>
    <t>Jennifer Cohen</t>
  </si>
  <si>
    <t>Michelle Moore</t>
  </si>
  <si>
    <t>Sharon Brooks</t>
  </si>
  <si>
    <t>Lindsey Knight</t>
  </si>
  <si>
    <t>Haley Sanders</t>
  </si>
  <si>
    <t>Christopher Taylor</t>
  </si>
  <si>
    <t>Denise Carter</t>
  </si>
  <si>
    <t>Kathy Evans</t>
  </si>
  <si>
    <t>Claudia Ali</t>
  </si>
  <si>
    <t>Katherine Harris</t>
  </si>
  <si>
    <t>Lori Byrd</t>
  </si>
  <si>
    <t>Laura Huff</t>
  </si>
  <si>
    <t>Michael Lewis</t>
  </si>
  <si>
    <t>Charles Cruz</t>
  </si>
  <si>
    <t>Debra Hudson</t>
  </si>
  <si>
    <t>Hayley Day</t>
  </si>
  <si>
    <t>Anthony Glover</t>
  </si>
  <si>
    <t>Hunter King</t>
  </si>
  <si>
    <t>Toni Acosta</t>
  </si>
  <si>
    <t>Kimberly Rasmussen</t>
  </si>
  <si>
    <t>Brian Lamb</t>
  </si>
  <si>
    <t>Shawn Mullen</t>
  </si>
  <si>
    <t>Jeremy Jones</t>
  </si>
  <si>
    <t>Matthew Campos</t>
  </si>
  <si>
    <t>Brandon Kim</t>
  </si>
  <si>
    <t>Tyler Freeman</t>
  </si>
  <si>
    <t>Shannon Sutton</t>
  </si>
  <si>
    <t>Matthew Ortiz</t>
  </si>
  <si>
    <t>Mr. Kyle Patrick MD</t>
  </si>
  <si>
    <t>Anna Johnson</t>
  </si>
  <si>
    <t>Damon Baker</t>
  </si>
  <si>
    <t>Carl Miller</t>
  </si>
  <si>
    <t>Amy Burns</t>
  </si>
  <si>
    <t>Ashley English</t>
  </si>
  <si>
    <t>Adrian Miller</t>
  </si>
  <si>
    <t>Mark Mayo</t>
  </si>
  <si>
    <t>Jesse Walker</t>
  </si>
  <si>
    <t>Becky Stafford</t>
  </si>
  <si>
    <t>Seth Horne</t>
  </si>
  <si>
    <t>Shaun Johnson</t>
  </si>
  <si>
    <t>Zachary Freeman</t>
  </si>
  <si>
    <t>Deanna Rodriguez</t>
  </si>
  <si>
    <t>Christopher Cruz</t>
  </si>
  <si>
    <t>Jennifer Wallace</t>
  </si>
  <si>
    <t>Michael Smith</t>
  </si>
  <si>
    <t>Matthew Walker</t>
  </si>
  <si>
    <t>Mary Perry</t>
  </si>
  <si>
    <t>Kenneth Fields</t>
  </si>
  <si>
    <t>Audrey Gomez</t>
  </si>
  <si>
    <t>Deborah Whitney</t>
  </si>
  <si>
    <t>Sarah Watkins</t>
  </si>
  <si>
    <t>David Wood</t>
  </si>
  <si>
    <t>Brent Mays</t>
  </si>
  <si>
    <t>Christopher Oneill</t>
  </si>
  <si>
    <t>Phillip Cox</t>
  </si>
  <si>
    <t>William Daniel</t>
  </si>
  <si>
    <t>Jamie Smith</t>
  </si>
  <si>
    <t>Stephen Ward</t>
  </si>
  <si>
    <t>Chase Oneill</t>
  </si>
  <si>
    <t>Donald Guerra</t>
  </si>
  <si>
    <t>John Goodwin</t>
  </si>
  <si>
    <t>Alyssa Boyd</t>
  </si>
  <si>
    <t>James Turner</t>
  </si>
  <si>
    <t>Ryan Barnes</t>
  </si>
  <si>
    <t>Mary Wong</t>
  </si>
  <si>
    <t>Megan Kaiser</t>
  </si>
  <si>
    <t>Christopher Alexander</t>
  </si>
  <si>
    <t>Michael Jordan</t>
  </si>
  <si>
    <t>Thomas Blankenship</t>
  </si>
  <si>
    <t>Nicole Gonzales</t>
  </si>
  <si>
    <t>Leslie Shepherd</t>
  </si>
  <si>
    <t>Wendy Lopez</t>
  </si>
  <si>
    <t>Peter Cole</t>
  </si>
  <si>
    <t>Michael Rogers</t>
  </si>
  <si>
    <t>Ronald Sullivan</t>
  </si>
  <si>
    <t>Tina Lynch</t>
  </si>
  <si>
    <t>Erika Davis</t>
  </si>
  <si>
    <t>Catherine Ortega</t>
  </si>
  <si>
    <t>Kayla Perez</t>
  </si>
  <si>
    <t>Adrian Parker</t>
  </si>
  <si>
    <t>Sandra Taylor</t>
  </si>
  <si>
    <t>Kelly Tran</t>
  </si>
  <si>
    <t>Thomas Dixon</t>
  </si>
  <si>
    <t>Dawn Bell</t>
  </si>
  <si>
    <t>Tony Stone</t>
  </si>
  <si>
    <t>Brianna Henderson</t>
  </si>
  <si>
    <t>Nicholas Rodriguez</t>
  </si>
  <si>
    <t>Eric Edwards</t>
  </si>
  <si>
    <t>Dennis Davis</t>
  </si>
  <si>
    <t>Frances Castillo</t>
  </si>
  <si>
    <t>William Brock</t>
  </si>
  <si>
    <t>Mike Harris</t>
  </si>
  <si>
    <t>Tanya Joyce</t>
  </si>
  <si>
    <t>Madeline Mosley</t>
  </si>
  <si>
    <t>Joshua Brown</t>
  </si>
  <si>
    <t>Amanda Robinson</t>
  </si>
  <si>
    <t>Jason Hernandez</t>
  </si>
  <si>
    <t>Gabrielle Fields</t>
  </si>
  <si>
    <t>Richard Warner</t>
  </si>
  <si>
    <t>Michael Chavez</t>
  </si>
  <si>
    <t>Eric Durham</t>
  </si>
  <si>
    <t>Dr. Nicole Lopez</t>
  </si>
  <si>
    <t>Dustin Taylor</t>
  </si>
  <si>
    <t>Miguel Waters</t>
  </si>
  <si>
    <t>Katherine Henry</t>
  </si>
  <si>
    <t>Gina Boyer</t>
  </si>
  <si>
    <t>Elizabeth Jimenez</t>
  </si>
  <si>
    <t>Lindsey Baker</t>
  </si>
  <si>
    <t>Carl Maldonado</t>
  </si>
  <si>
    <t>Jennifer Odonnell</t>
  </si>
  <si>
    <t>Holly Jones</t>
  </si>
  <si>
    <t>Brenda Reyes</t>
  </si>
  <si>
    <t>Joseph Sutton</t>
  </si>
  <si>
    <t>Brenda Gardner</t>
  </si>
  <si>
    <t>Anna Owen</t>
  </si>
  <si>
    <t>Karen Dennis</t>
  </si>
  <si>
    <t>Karen Rogers</t>
  </si>
  <si>
    <t>Natalie Rivera</t>
  </si>
  <si>
    <t>Lisa Harding</t>
  </si>
  <si>
    <t>Donald Higgins</t>
  </si>
  <si>
    <t>Sarah Martin</t>
  </si>
  <si>
    <t>Bernard Barnes</t>
  </si>
  <si>
    <t>Blake Barrera</t>
  </si>
  <si>
    <t>Christian Gay</t>
  </si>
  <si>
    <t>Jesse Miller</t>
  </si>
  <si>
    <t>Tyler Wolfe</t>
  </si>
  <si>
    <t>Nicholas Thomas</t>
  </si>
  <si>
    <t>Linda Richard</t>
  </si>
  <si>
    <t>Lisa Robinson</t>
  </si>
  <si>
    <t>Kathryn Le</t>
  </si>
  <si>
    <t>Jennifer Williams</t>
  </si>
  <si>
    <t>Debbie Powers</t>
  </si>
  <si>
    <t>Kenneth Hernandez</t>
  </si>
  <si>
    <t>Kelly Ho</t>
  </si>
  <si>
    <t>Alejandra Olson</t>
  </si>
  <si>
    <t>Desiree Hill</t>
  </si>
  <si>
    <t>Mary Nielsen</t>
  </si>
  <si>
    <t>Richard Williams</t>
  </si>
  <si>
    <t>Cody Benton</t>
  </si>
  <si>
    <t>Yolanda Jones</t>
  </si>
  <si>
    <t>Christopher Morris</t>
  </si>
  <si>
    <t>Meagan Shaw</t>
  </si>
  <si>
    <t>Rebecca Boone</t>
  </si>
  <si>
    <t>Joseph Smith</t>
  </si>
  <si>
    <t>Gary Rowland</t>
  </si>
  <si>
    <t>Isabella Barrett</t>
  </si>
  <si>
    <t>Kathleen Stone</t>
  </si>
  <si>
    <t>Mr. Joshua Johnson</t>
  </si>
  <si>
    <t>Patricia Serrano</t>
  </si>
  <si>
    <t>Levi Cox</t>
  </si>
  <si>
    <t>Daniel Carpenter</t>
  </si>
  <si>
    <t>Diane Anderson</t>
  </si>
  <si>
    <t>David Peck</t>
  </si>
  <si>
    <t>Cheyenne Sampson</t>
  </si>
  <si>
    <t>Robert Shaw</t>
  </si>
  <si>
    <t>Phillip Dougherty</t>
  </si>
  <si>
    <t>William Weber</t>
  </si>
  <si>
    <t>Jared Taylor</t>
  </si>
  <si>
    <t>Benjamin Wilson</t>
  </si>
  <si>
    <t>Heather Romero</t>
  </si>
  <si>
    <t>Mark Olson</t>
  </si>
  <si>
    <t>Daniel Richmond</t>
  </si>
  <si>
    <t>Tiffany Arnold</t>
  </si>
  <si>
    <t>William Taylor</t>
  </si>
  <si>
    <t>Meredith Gomez</t>
  </si>
  <si>
    <t>Matthew Brown</t>
  </si>
  <si>
    <t>Christina Holmes</t>
  </si>
  <si>
    <t>Ryan Waters</t>
  </si>
  <si>
    <t>Diana Brown</t>
  </si>
  <si>
    <t>Steven Sexton</t>
  </si>
  <si>
    <t>Eric Tucker</t>
  </si>
  <si>
    <t>Michael Olson</t>
  </si>
  <si>
    <t>Krista Walters</t>
  </si>
  <si>
    <t>Darryl Hernandez</t>
  </si>
  <si>
    <t>Gregory Phillips Jr.</t>
  </si>
  <si>
    <t>Linda White</t>
  </si>
  <si>
    <t>Pamela Sullivan</t>
  </si>
  <si>
    <t>Samantha Graham MD</t>
  </si>
  <si>
    <t>Angela Dudley</t>
  </si>
  <si>
    <t>Caroline Howell</t>
  </si>
  <si>
    <t>Rachel Dillon</t>
  </si>
  <si>
    <t>Paula Williams</t>
  </si>
  <si>
    <t>Crystal Davis</t>
  </si>
  <si>
    <t>Blake Garcia</t>
  </si>
  <si>
    <t>Joseph James</t>
  </si>
  <si>
    <t>James Klein</t>
  </si>
  <si>
    <t>Cameron James</t>
  </si>
  <si>
    <t>Matthew Rollins</t>
  </si>
  <si>
    <t>Heather Heath</t>
  </si>
  <si>
    <t>Matthew Johnson</t>
  </si>
  <si>
    <t>James Perkins</t>
  </si>
  <si>
    <t>Michael Pierce</t>
  </si>
  <si>
    <t>Leslie Kim</t>
  </si>
  <si>
    <t>Crystal Williams</t>
  </si>
  <si>
    <t>Henry King</t>
  </si>
  <si>
    <t>Amanda Hernandez</t>
  </si>
  <si>
    <t>Jacqueline Ortiz</t>
  </si>
  <si>
    <t>Mr. Frank Wiggins</t>
  </si>
  <si>
    <t>Joseph Pierce</t>
  </si>
  <si>
    <t>Joseph Lewis</t>
  </si>
  <si>
    <t>Caroline Cooley</t>
  </si>
  <si>
    <t>Miss Angela Evans</t>
  </si>
  <si>
    <t>Kathy Shelton</t>
  </si>
  <si>
    <t>Thomas Bass</t>
  </si>
  <si>
    <t>Douglas Roach</t>
  </si>
  <si>
    <t>Debra Wright</t>
  </si>
  <si>
    <t>Kristin Hall</t>
  </si>
  <si>
    <t>Nicholas Francis</t>
  </si>
  <si>
    <t>Kevin Williams</t>
  </si>
  <si>
    <t>Christina Jones</t>
  </si>
  <si>
    <t>Shaun Brown</t>
  </si>
  <si>
    <t>Frederick Hudson</t>
  </si>
  <si>
    <t>Mariah Lee</t>
  </si>
  <si>
    <t>Craig Booth</t>
  </si>
  <si>
    <t>Jason Davis</t>
  </si>
  <si>
    <t>Mr. Shawn Scott MD</t>
  </si>
  <si>
    <t>Mrs. Michele Edwards</t>
  </si>
  <si>
    <t>Michael Wright</t>
  </si>
  <si>
    <t>Michael Moore</t>
  </si>
  <si>
    <t>Lauren Miller</t>
  </si>
  <si>
    <t>William Wilkerson</t>
  </si>
  <si>
    <t>Nicholas Lyons</t>
  </si>
  <si>
    <t>Sara King</t>
  </si>
  <si>
    <t>Kimberly Allen</t>
  </si>
  <si>
    <t>George Sanchez</t>
  </si>
  <si>
    <t>Miss Carla Jones</t>
  </si>
  <si>
    <t>Nicole Vargas</t>
  </si>
  <si>
    <t>Keith Bell</t>
  </si>
  <si>
    <t>Kevin Nguyen</t>
  </si>
  <si>
    <t>Ashley Spencer</t>
  </si>
  <si>
    <t>Christina Roberts</t>
  </si>
  <si>
    <t>Edward Christian</t>
  </si>
  <si>
    <t>Tammy Cain</t>
  </si>
  <si>
    <t>Gordon Rhodes</t>
  </si>
  <si>
    <t>Jessica Washington</t>
  </si>
  <si>
    <t>Stefanie Jones</t>
  </si>
  <si>
    <t>Jesse Snow</t>
  </si>
  <si>
    <t>Cynthia Brown</t>
  </si>
  <si>
    <t>Antonio Estrada</t>
  </si>
  <si>
    <t>Jessica Jackson</t>
  </si>
  <si>
    <t>Jonathan Chaney</t>
  </si>
  <si>
    <t>Oscar Atkins</t>
  </si>
  <si>
    <t>Johnathan Ramos</t>
  </si>
  <si>
    <t>Duane Garcia</t>
  </si>
  <si>
    <t>Andrew Hudson</t>
  </si>
  <si>
    <t>Howard Morris</t>
  </si>
  <si>
    <t>Jeremy Spence</t>
  </si>
  <si>
    <t>Michelle White</t>
  </si>
  <si>
    <t>Jesse Wilson</t>
  </si>
  <si>
    <t>James Higgins</t>
  </si>
  <si>
    <t>Casey Stone</t>
  </si>
  <si>
    <t>Tina Zamora</t>
  </si>
  <si>
    <t>Anna Diaz</t>
  </si>
  <si>
    <t>Carol Harmon</t>
  </si>
  <si>
    <t>Chad Brown</t>
  </si>
  <si>
    <t>Anna Ryan</t>
  </si>
  <si>
    <t>William Lynn</t>
  </si>
  <si>
    <t>James Hall</t>
  </si>
  <si>
    <t>Benjamin Robertson</t>
  </si>
  <si>
    <t>Daniel English</t>
  </si>
  <si>
    <t>Brandon Turner</t>
  </si>
  <si>
    <t>Tracey Williams</t>
  </si>
  <si>
    <t>Michael Whitaker</t>
  </si>
  <si>
    <t>Joseph Delacruz</t>
  </si>
  <si>
    <t>Cynthia Jones</t>
  </si>
  <si>
    <t>John Miles</t>
  </si>
  <si>
    <t>Kyle Stanley</t>
  </si>
  <si>
    <t>Christina Berry</t>
  </si>
  <si>
    <t>Dennis Camacho</t>
  </si>
  <si>
    <t>Joseph Reed</t>
  </si>
  <si>
    <t>Jordan Bell</t>
  </si>
  <si>
    <t>Kari Salas</t>
  </si>
  <si>
    <t>Stephanie Carter</t>
  </si>
  <si>
    <t>Steve Thompson</t>
  </si>
  <si>
    <t>Christopher Perry</t>
  </si>
  <si>
    <t>Donald Willis</t>
  </si>
  <si>
    <t>Tracy Vaughn</t>
  </si>
  <si>
    <t>Gregory Chapman</t>
  </si>
  <si>
    <t>William Palmer</t>
  </si>
  <si>
    <t>Karen Roth</t>
  </si>
  <si>
    <t>Jacob Williams</t>
  </si>
  <si>
    <t>Aaron Medina</t>
  </si>
  <si>
    <t>Austin Garcia</t>
  </si>
  <si>
    <t>Mckenzie Zavala</t>
  </si>
  <si>
    <t>Karen Smith</t>
  </si>
  <si>
    <t>Katherine Henderson</t>
  </si>
  <si>
    <t>Michael Pitts</t>
  </si>
  <si>
    <t>Julie Jones</t>
  </si>
  <si>
    <t>Stacie Johnson</t>
  </si>
  <si>
    <t>Erin King</t>
  </si>
  <si>
    <t>Erika Simpson</t>
  </si>
  <si>
    <t>Loretta Diaz</t>
  </si>
  <si>
    <t>Bonnie Moore</t>
  </si>
  <si>
    <t>Dustin Lopez</t>
  </si>
  <si>
    <t>Brent Todd</t>
  </si>
  <si>
    <t>Curtis Leonard</t>
  </si>
  <si>
    <t>Julian Jimenez</t>
  </si>
  <si>
    <t>Natalie Larson</t>
  </si>
  <si>
    <t>Joshua Hess</t>
  </si>
  <si>
    <t>Matthew Guzman</t>
  </si>
  <si>
    <t>Robert Smith</t>
  </si>
  <si>
    <t>Grant Lane</t>
  </si>
  <si>
    <t>Christopher Carter</t>
  </si>
  <si>
    <t>Jessica Wilson</t>
  </si>
  <si>
    <t>Suzanne Rocha</t>
  </si>
  <si>
    <t>Raymond Hinton</t>
  </si>
  <si>
    <t>Jessica Castaneda</t>
  </si>
  <si>
    <t>Rebecca Rasmussen</t>
  </si>
  <si>
    <t>Jessica Conrad</t>
  </si>
  <si>
    <t>Angela Santos</t>
  </si>
  <si>
    <t>Teresa Nelson</t>
  </si>
  <si>
    <t>Jessica Collins MD</t>
  </si>
  <si>
    <t>Scott Wilson</t>
  </si>
  <si>
    <t>Shane Wilson</t>
  </si>
  <si>
    <t>Chad Robinson</t>
  </si>
  <si>
    <t>Zachary Reese</t>
  </si>
  <si>
    <t>Tim Herrera</t>
  </si>
  <si>
    <t>Natalie Robertson</t>
  </si>
  <si>
    <t>Crystal Small</t>
  </si>
  <si>
    <t>Steven Liu</t>
  </si>
  <si>
    <t>Robert Adams</t>
  </si>
  <si>
    <t>Samuel Wolfe</t>
  </si>
  <si>
    <t>Kimberly Jackson</t>
  </si>
  <si>
    <t>Christopher Mason</t>
  </si>
  <si>
    <t>Arthur Smith</t>
  </si>
  <si>
    <t>Matthew Larson</t>
  </si>
  <si>
    <t>Kyle Chandler</t>
  </si>
  <si>
    <t>Kelly Miller</t>
  </si>
  <si>
    <t>Andrea Morris</t>
  </si>
  <si>
    <t>Tiffany Stewart</t>
  </si>
  <si>
    <t>Gloria Mann</t>
  </si>
  <si>
    <t>Chris Baker</t>
  </si>
  <si>
    <t>Cindy Conner</t>
  </si>
  <si>
    <t>Sandra Hart</t>
  </si>
  <si>
    <t>Mary Ward</t>
  </si>
  <si>
    <t>Cory Green</t>
  </si>
  <si>
    <t>Andrew Washington</t>
  </si>
  <si>
    <t>Thomas White</t>
  </si>
  <si>
    <t>Ashley Bender</t>
  </si>
  <si>
    <t>Anthony Lopez</t>
  </si>
  <si>
    <t>Selena Smith</t>
  </si>
  <si>
    <t>April Allen</t>
  </si>
  <si>
    <t>Russell Atkinson</t>
  </si>
  <si>
    <t>Kathleen Smith</t>
  </si>
  <si>
    <t>Carol King</t>
  </si>
  <si>
    <t>Joshua Edwards</t>
  </si>
  <si>
    <t>Christopher Mendoza</t>
  </si>
  <si>
    <t>Rose Johnson</t>
  </si>
  <si>
    <t>David Oconnor</t>
  </si>
  <si>
    <t>Jean Ramirez</t>
  </si>
  <si>
    <t>Alejandro Johnson</t>
  </si>
  <si>
    <t>Brandon Walker</t>
  </si>
  <si>
    <t>Kevin Johnson</t>
  </si>
  <si>
    <t>Robert Henry DDS</t>
  </si>
  <si>
    <t>Amanda Branch</t>
  </si>
  <si>
    <t>Paul Pham</t>
  </si>
  <si>
    <t>Jacob Maldonado</t>
  </si>
  <si>
    <t>Hannah Freeman</t>
  </si>
  <si>
    <t>Tanner Horne</t>
  </si>
  <si>
    <t>David Camacho</t>
  </si>
  <si>
    <t>April Brown</t>
  </si>
  <si>
    <t>Dennis Cardenas</t>
  </si>
  <si>
    <t>Elizabeth Swanson</t>
  </si>
  <si>
    <t>Sherry Elliott</t>
  </si>
  <si>
    <t>Deborah Baker MD</t>
  </si>
  <si>
    <t>Sarah Evans</t>
  </si>
  <si>
    <t>Collin Turner</t>
  </si>
  <si>
    <t>Stephanie Mendez</t>
  </si>
  <si>
    <t>Michelle Johnson</t>
  </si>
  <si>
    <t>Joseph Davis</t>
  </si>
  <si>
    <t>Rebecca Mcguire</t>
  </si>
  <si>
    <t>Antonio Atkins IV</t>
  </si>
  <si>
    <t>David Kelly</t>
  </si>
  <si>
    <t>Douglas Frank</t>
  </si>
  <si>
    <t>Mrs. Shannon Frazier DVM</t>
  </si>
  <si>
    <t>Travis Barnes</t>
  </si>
  <si>
    <t>Brandi Anderson</t>
  </si>
  <si>
    <t>Ethan Marquez</t>
  </si>
  <si>
    <t>Michael Ferguson</t>
  </si>
  <si>
    <t>Sarah Cochran</t>
  </si>
  <si>
    <t>Susan Wagner</t>
  </si>
  <si>
    <t>Andrea Shepherd</t>
  </si>
  <si>
    <t>Timothy Mccormick</t>
  </si>
  <si>
    <t>Renee Herrera</t>
  </si>
  <si>
    <t>Drew Lambert</t>
  </si>
  <si>
    <t>Sylvia Williams</t>
  </si>
  <si>
    <t>Lee Wilson</t>
  </si>
  <si>
    <t>Pamela Lynn</t>
  </si>
  <si>
    <t>Matthew Carlson</t>
  </si>
  <si>
    <t>John Santiago</t>
  </si>
  <si>
    <t>Vanessa Perry</t>
  </si>
  <si>
    <t>Charles Bailey</t>
  </si>
  <si>
    <t>Victor Griffin</t>
  </si>
  <si>
    <t>Jacqueline Boyd</t>
  </si>
  <si>
    <t>Dale Williams</t>
  </si>
  <si>
    <t>Shannon Russell</t>
  </si>
  <si>
    <t>Paul Hall</t>
  </si>
  <si>
    <t>Jeffrey Thompson</t>
  </si>
  <si>
    <t>Daniel Farley</t>
  </si>
  <si>
    <t>Paul Jackson</t>
  </si>
  <si>
    <t>Bruce Martinez</t>
  </si>
  <si>
    <t>Karen Yang</t>
  </si>
  <si>
    <t>Candace Galloway</t>
  </si>
  <si>
    <t>Dillon Solis</t>
  </si>
  <si>
    <t>Angela Russell</t>
  </si>
  <si>
    <t>Alexandra Knapp</t>
  </si>
  <si>
    <t>David Chase</t>
  </si>
  <si>
    <t>Christopher Landry</t>
  </si>
  <si>
    <t>David Moreno</t>
  </si>
  <si>
    <t>Jennifer Montes</t>
  </si>
  <si>
    <t>Darlene Smith</t>
  </si>
  <si>
    <t>Lindsay Mccormick</t>
  </si>
  <si>
    <t>Marie Smith</t>
  </si>
  <si>
    <t>Amanda Mitchell</t>
  </si>
  <si>
    <t>Autumn Wu</t>
  </si>
  <si>
    <t>Daniel Schmitt</t>
  </si>
  <si>
    <t>Donald Cortez</t>
  </si>
  <si>
    <t>Cory Singleton</t>
  </si>
  <si>
    <t>Jennifer Little</t>
  </si>
  <si>
    <t>Brittany Miller</t>
  </si>
  <si>
    <t>Heather Wright</t>
  </si>
  <si>
    <t>Dr. Cindy Roberts</t>
  </si>
  <si>
    <t>James Li</t>
  </si>
  <si>
    <t>Kelly Mills</t>
  </si>
  <si>
    <t>Christopher Ho</t>
  </si>
  <si>
    <t>Tanya Green</t>
  </si>
  <si>
    <t>Kevin Ochoa</t>
  </si>
  <si>
    <t>Travis Fox</t>
  </si>
  <si>
    <t>Dylan Martin</t>
  </si>
  <si>
    <t>Rachel Whitehead</t>
  </si>
  <si>
    <t>Jamie Adams</t>
  </si>
  <si>
    <t>Matthew Fisher MD</t>
  </si>
  <si>
    <t>Mike Davis</t>
  </si>
  <si>
    <t>Francisco Schneider</t>
  </si>
  <si>
    <t>Austin Beck</t>
  </si>
  <si>
    <t>John Skinner</t>
  </si>
  <si>
    <t>Valerie Nolan</t>
  </si>
  <si>
    <t>Shelley Welch</t>
  </si>
  <si>
    <t>Robert Conrad</t>
  </si>
  <si>
    <t>Stephanie Garcia</t>
  </si>
  <si>
    <t>Diane Sanders</t>
  </si>
  <si>
    <t>Denise Velez</t>
  </si>
  <si>
    <t>Scott Martin</t>
  </si>
  <si>
    <t>Christine Bradford</t>
  </si>
  <si>
    <t>Daniel Roberts</t>
  </si>
  <si>
    <t>Angela Ramos</t>
  </si>
  <si>
    <t>Andrew Townsend</t>
  </si>
  <si>
    <t>Bonnie Gomez</t>
  </si>
  <si>
    <t>Darlene Travis</t>
  </si>
  <si>
    <t>Mariah Wood</t>
  </si>
  <si>
    <t>Mary Taylor</t>
  </si>
  <si>
    <t>Veronica Tyler</t>
  </si>
  <si>
    <t>Leslie Scott</t>
  </si>
  <si>
    <t>Jeremy Santiago</t>
  </si>
  <si>
    <t>Eric Thornton</t>
  </si>
  <si>
    <t>Jason Kerr</t>
  </si>
  <si>
    <t>Lynn Harris</t>
  </si>
  <si>
    <t>Tara Glenn</t>
  </si>
  <si>
    <t>Carl Hernandez</t>
  </si>
  <si>
    <t>Jamie Braun</t>
  </si>
  <si>
    <t>Christine Parker</t>
  </si>
  <si>
    <t>Robert Woods</t>
  </si>
  <si>
    <t>Robin Mcintosh</t>
  </si>
  <si>
    <t>Lisa Riley DVM</t>
  </si>
  <si>
    <t>Jessica Martin</t>
  </si>
  <si>
    <t>Jenny Webster</t>
  </si>
  <si>
    <t>Jason Pugh</t>
  </si>
  <si>
    <t>Michael Henderson</t>
  </si>
  <si>
    <t>Ellen Brewer</t>
  </si>
  <si>
    <t>Melissa Cline</t>
  </si>
  <si>
    <t>Mrs. Jessica Wilson MD</t>
  </si>
  <si>
    <t>Caleb Martinez DDS</t>
  </si>
  <si>
    <t>Michelle Mendez</t>
  </si>
  <si>
    <t>Jason Jackson</t>
  </si>
  <si>
    <t>Michael Payne</t>
  </si>
  <si>
    <t>Michelle Fuller</t>
  </si>
  <si>
    <t>Kristy Brown</t>
  </si>
  <si>
    <t>Shannon Cruz</t>
  </si>
  <si>
    <t>Becky Castillo</t>
  </si>
  <si>
    <t>Charles Guerra</t>
  </si>
  <si>
    <t>Andrew Duncan</t>
  </si>
  <si>
    <t>Patrick Doyle</t>
  </si>
  <si>
    <t>Nathan Diaz</t>
  </si>
  <si>
    <t>Robert Graham</t>
  </si>
  <si>
    <t>Dana Mata</t>
  </si>
  <si>
    <t>Amy Pierce</t>
  </si>
  <si>
    <t>Kyle Hill</t>
  </si>
  <si>
    <t>Joseph Galvan</t>
  </si>
  <si>
    <t>Kevin Harvey</t>
  </si>
  <si>
    <t>Kirsten Pope</t>
  </si>
  <si>
    <t>Kendra Stein</t>
  </si>
  <si>
    <t>Peter Schmidt</t>
  </si>
  <si>
    <t>Sheena Lewis</t>
  </si>
  <si>
    <t>Jeffery Torres</t>
  </si>
  <si>
    <t>Carol Henry</t>
  </si>
  <si>
    <t>Levi Baker</t>
  </si>
  <si>
    <t>Stephen Perez</t>
  </si>
  <si>
    <t>Robert Coleman</t>
  </si>
  <si>
    <t>Brian Bates</t>
  </si>
  <si>
    <t>Jill Melton</t>
  </si>
  <si>
    <t>Alejandro Holt</t>
  </si>
  <si>
    <t>George Compton</t>
  </si>
  <si>
    <t>Cynthia Wells</t>
  </si>
  <si>
    <t>David Hughes</t>
  </si>
  <si>
    <t>Eric Hickman</t>
  </si>
  <si>
    <t>Karen Herman</t>
  </si>
  <si>
    <t>Jennifer Anderson</t>
  </si>
  <si>
    <t>Julia Fleming</t>
  </si>
  <si>
    <t>Daniel Patterson Jr.</t>
  </si>
  <si>
    <t>Jasmine Ferguson</t>
  </si>
  <si>
    <t>Molly Crawford</t>
  </si>
  <si>
    <t>Patricia Brooks</t>
  </si>
  <si>
    <t>Christie Hunter</t>
  </si>
  <si>
    <t>Kathryn White</t>
  </si>
  <si>
    <t>Nancy Davis</t>
  </si>
  <si>
    <t>Eric Hernandez</t>
  </si>
  <si>
    <t>Michele Morgan</t>
  </si>
  <si>
    <t>Kathryn Wolfe</t>
  </si>
  <si>
    <t>Andrew West</t>
  </si>
  <si>
    <t>Renee Phillips</t>
  </si>
  <si>
    <t>Stephen Newton</t>
  </si>
  <si>
    <t>Emily Moses</t>
  </si>
  <si>
    <t>Mary Henry</t>
  </si>
  <si>
    <t>Michelle Sherman</t>
  </si>
  <si>
    <t>Veronica White</t>
  </si>
  <si>
    <t>Dr. Kimberly Johnston</t>
  </si>
  <si>
    <t>Christine Scott</t>
  </si>
  <si>
    <t>Richard Garcia</t>
  </si>
  <si>
    <t>Jennifer Ritter</t>
  </si>
  <si>
    <t>Michelle Ayala</t>
  </si>
  <si>
    <t>Dominique Carlson</t>
  </si>
  <si>
    <t>Stephanie Spencer</t>
  </si>
  <si>
    <t>Audrey Cooper</t>
  </si>
  <si>
    <t>Nicole Rivera</t>
  </si>
  <si>
    <t>Mr. Jake Marquez</t>
  </si>
  <si>
    <t>Edward Brown</t>
  </si>
  <si>
    <t>Michael Murphy</t>
  </si>
  <si>
    <t>Sara Patrick</t>
  </si>
  <si>
    <t>Patrick Thomas</t>
  </si>
  <si>
    <t>Todd Edwards</t>
  </si>
  <si>
    <t>Michael Chandler</t>
  </si>
  <si>
    <t>Eileen Guzman</t>
  </si>
  <si>
    <t>Timothy Miller</t>
  </si>
  <si>
    <t>Susan Williams</t>
  </si>
  <si>
    <t>Robert Tucker</t>
  </si>
  <si>
    <t>Austin Montoya</t>
  </si>
  <si>
    <t>John Rogers</t>
  </si>
  <si>
    <t>Teresa Thompson</t>
  </si>
  <si>
    <t>John Glenn</t>
  </si>
  <si>
    <t>Walter Wallace</t>
  </si>
  <si>
    <t>Ashley Marquez</t>
  </si>
  <si>
    <t>Jose Roth</t>
  </si>
  <si>
    <t>Joseph Kerr</t>
  </si>
  <si>
    <t>Jeffery Garcia</t>
  </si>
  <si>
    <t>Alfred Butler</t>
  </si>
  <si>
    <t>Jonathan Burgess</t>
  </si>
  <si>
    <t>Christopher Smith</t>
  </si>
  <si>
    <t>Christine Moyer</t>
  </si>
  <si>
    <t>Ashley Carr</t>
  </si>
  <si>
    <t>Jeffrey Hicks</t>
  </si>
  <si>
    <t>Kayla Hernandez</t>
  </si>
  <si>
    <t>Terri Durham</t>
  </si>
  <si>
    <t>Donna Jones</t>
  </si>
  <si>
    <t>Brandon Morrow</t>
  </si>
  <si>
    <t>Maria White</t>
  </si>
  <si>
    <t>Shawn Hunt</t>
  </si>
  <si>
    <t>Joseph Livingston</t>
  </si>
  <si>
    <t>David Garrison</t>
  </si>
  <si>
    <t>Justin Moore</t>
  </si>
  <si>
    <t>David Grant</t>
  </si>
  <si>
    <t>Maria Briggs</t>
  </si>
  <si>
    <t>John Parker</t>
  </si>
  <si>
    <t>Roger Randolph</t>
  </si>
  <si>
    <t>Gabriel Garcia</t>
  </si>
  <si>
    <t>Jacob Moore</t>
  </si>
  <si>
    <t>Randy Noble</t>
  </si>
  <si>
    <t>Joshua Wilson DDS</t>
  </si>
  <si>
    <t>James Summers</t>
  </si>
  <si>
    <t>Nicholas Martinez</t>
  </si>
  <si>
    <t>Kenneth Tyler</t>
  </si>
  <si>
    <t>Robert Gibson</t>
  </si>
  <si>
    <t>Kirk Lowe</t>
  </si>
  <si>
    <t>Mary Torres</t>
  </si>
  <si>
    <t>Kathleen Perry</t>
  </si>
  <si>
    <t>Gerald Peterson</t>
  </si>
  <si>
    <t>Daniel Keller</t>
  </si>
  <si>
    <t>Samuel Bailey</t>
  </si>
  <si>
    <t>Pamela Fisher</t>
  </si>
  <si>
    <t>Kevin Lyons</t>
  </si>
  <si>
    <t>Anthony Fleming</t>
  </si>
  <si>
    <t>Joseph Adams</t>
  </si>
  <si>
    <t>Barry Decker</t>
  </si>
  <si>
    <t>Gary Mccarthy</t>
  </si>
  <si>
    <t>Mary Johnson</t>
  </si>
  <si>
    <t>Rebecca Blair</t>
  </si>
  <si>
    <t>Michael Carlson</t>
  </si>
  <si>
    <t>Brandon Brown</t>
  </si>
  <si>
    <t>Kevin Davis</t>
  </si>
  <si>
    <t>Sharon Williams</t>
  </si>
  <si>
    <t>Miranda Moore</t>
  </si>
  <si>
    <t>Hannah Perez</t>
  </si>
  <si>
    <t>Stephanie Stanley</t>
  </si>
  <si>
    <t>Donald Hickman</t>
  </si>
  <si>
    <t>Donald Smith</t>
  </si>
  <si>
    <t>Jennifer Diaz DVM</t>
  </si>
  <si>
    <t>Casey Saunders</t>
  </si>
  <si>
    <t>Laura Jones</t>
  </si>
  <si>
    <t>Anthony Brady MD</t>
  </si>
  <si>
    <t>Kim Aguilar DDS</t>
  </si>
  <si>
    <t>Bobby Kelly</t>
  </si>
  <si>
    <t>Danielle Mack</t>
  </si>
  <si>
    <t>Carol Liu</t>
  </si>
  <si>
    <t>James Taylor</t>
  </si>
  <si>
    <t>Michael Mcneil</t>
  </si>
  <si>
    <t>Jessica Hamilton</t>
  </si>
  <si>
    <t>Jessica Jimenez</t>
  </si>
  <si>
    <t>Jennifer Hernandez</t>
  </si>
  <si>
    <t>Jessica Guerrero</t>
  </si>
  <si>
    <t>Mark Dudley</t>
  </si>
  <si>
    <t>Christian Carter</t>
  </si>
  <si>
    <t>Alexander Stokes</t>
  </si>
  <si>
    <t>Gregory Lewis</t>
  </si>
  <si>
    <t>Christina Murphy</t>
  </si>
  <si>
    <t>Jesse Lawrence</t>
  </si>
  <si>
    <t>Brandon Wolf</t>
  </si>
  <si>
    <t>Jordan Evans</t>
  </si>
  <si>
    <t>Madison Rivera</t>
  </si>
  <si>
    <t>Nicholas Ballard</t>
  </si>
  <si>
    <t>Sharon Maxwell</t>
  </si>
  <si>
    <t>Mrs. Ruth Stanley MD</t>
  </si>
  <si>
    <t>Christopher Dominguez</t>
  </si>
  <si>
    <t>Tracy Ramirez</t>
  </si>
  <si>
    <t>Kimberly Hughes</t>
  </si>
  <si>
    <t>Casey Cohen</t>
  </si>
  <si>
    <t>Michelle Beck</t>
  </si>
  <si>
    <t>Darlene Johnson</t>
  </si>
  <si>
    <t>Thomas Peters</t>
  </si>
  <si>
    <t>Karla Blackwell</t>
  </si>
  <si>
    <t>Ryan Hernandez</t>
  </si>
  <si>
    <t>April Young</t>
  </si>
  <si>
    <t>Courtney Sullivan</t>
  </si>
  <si>
    <t>Megan Tate</t>
  </si>
  <si>
    <t>Jennifer Hall</t>
  </si>
  <si>
    <t>Erik Leonard</t>
  </si>
  <si>
    <t>Joel Garrett</t>
  </si>
  <si>
    <t>Lance Flores</t>
  </si>
  <si>
    <t>Jeffrey Cooper</t>
  </si>
  <si>
    <t>Melissa Jacobs</t>
  </si>
  <si>
    <t>Dillon Johnson</t>
  </si>
  <si>
    <t>Todd Fisher</t>
  </si>
  <si>
    <t>Jose King</t>
  </si>
  <si>
    <t>Zachary Hanson</t>
  </si>
  <si>
    <t>Andrew Roth</t>
  </si>
  <si>
    <t>Mrs. Regina Walker</t>
  </si>
  <si>
    <t>Courtney Wright</t>
  </si>
  <si>
    <t>Daniel Schaefer</t>
  </si>
  <si>
    <t>Angel Rose</t>
  </si>
  <si>
    <t>Juan Diaz</t>
  </si>
  <si>
    <t>Rachel Bowen</t>
  </si>
  <si>
    <t>Jennifer Williams MD</t>
  </si>
  <si>
    <t>Michael Orozco</t>
  </si>
  <si>
    <t>Nicholas Thompson PhD</t>
  </si>
  <si>
    <t>Donald Diaz</t>
  </si>
  <si>
    <t>Seth Lewis</t>
  </si>
  <si>
    <t>Joseph Tran</t>
  </si>
  <si>
    <t>Amanda Brown</t>
  </si>
  <si>
    <t>Gabriel Anderson</t>
  </si>
  <si>
    <t>Joshua Rogers</t>
  </si>
  <si>
    <t>Leslie Garcia</t>
  </si>
  <si>
    <t>Jennifer Norman</t>
  </si>
  <si>
    <t>Laura Brown</t>
  </si>
  <si>
    <t>Peter Christensen</t>
  </si>
  <si>
    <t>Cynthia Cabrera</t>
  </si>
  <si>
    <t>Alicia Mathis</t>
  </si>
  <si>
    <t>Stephen Russell</t>
  </si>
  <si>
    <t>Brandon Gonzalez</t>
  </si>
  <si>
    <t>Patrick Brady</t>
  </si>
  <si>
    <t>Carol Cabrera</t>
  </si>
  <si>
    <t>Zachary Brown</t>
  </si>
  <si>
    <t>Bradley Lopez</t>
  </si>
  <si>
    <t>Jessica Reid</t>
  </si>
  <si>
    <t>Deborah Perez</t>
  </si>
  <si>
    <t>Jason Murphy</t>
  </si>
  <si>
    <t>Rodney Thomas</t>
  </si>
  <si>
    <t>Timothy Ellis</t>
  </si>
  <si>
    <t>Lauren Murphy</t>
  </si>
  <si>
    <t>Randall Yang</t>
  </si>
  <si>
    <t>Angela Wood</t>
  </si>
  <si>
    <t>Cory Rogers</t>
  </si>
  <si>
    <t>Carol Taylor</t>
  </si>
  <si>
    <t>Bradley Wilcox</t>
  </si>
  <si>
    <t>Eduardo White</t>
  </si>
  <si>
    <t>Brenda Werner</t>
  </si>
  <si>
    <t>Debbie Smith</t>
  </si>
  <si>
    <t>Scott Donovan</t>
  </si>
  <si>
    <t>Charles Patrick</t>
  </si>
  <si>
    <t>Donald Gregory Jr.</t>
  </si>
  <si>
    <t>Roger Strong</t>
  </si>
  <si>
    <t>Adam Richardson</t>
  </si>
  <si>
    <t>Tracy Li</t>
  </si>
  <si>
    <t>Amber Wells</t>
  </si>
  <si>
    <t>Curtis Gutierrez</t>
  </si>
  <si>
    <t>Jorge Williams</t>
  </si>
  <si>
    <t>Russell Graham</t>
  </si>
  <si>
    <t>Benjamin Boyle</t>
  </si>
  <si>
    <t>David Guzman</t>
  </si>
  <si>
    <t>Sheila Frank</t>
  </si>
  <si>
    <t>Cindy Parker</t>
  </si>
  <si>
    <t>Amanda Ferrell</t>
  </si>
  <si>
    <t>Mrs. Jennifer Page</t>
  </si>
  <si>
    <t>Kyle Collins</t>
  </si>
  <si>
    <t>Lindsay Scott</t>
  </si>
  <si>
    <t>Roberta Wall</t>
  </si>
  <si>
    <t>Katherine Castro</t>
  </si>
  <si>
    <t>Colin Wilson</t>
  </si>
  <si>
    <t>Ian Armstrong</t>
  </si>
  <si>
    <t>Ashlee Guzman</t>
  </si>
  <si>
    <t>Charles Johnson</t>
  </si>
  <si>
    <t>Robert Conley</t>
  </si>
  <si>
    <t>Jessica Thompson</t>
  </si>
  <si>
    <t>Nancy Cooley</t>
  </si>
  <si>
    <t>Amy Hebert</t>
  </si>
  <si>
    <t>Ashley Benton</t>
  </si>
  <si>
    <t>Brian Mullen</t>
  </si>
  <si>
    <t>Christine Perez</t>
  </si>
  <si>
    <t>Jessica Navarro</t>
  </si>
  <si>
    <t>Michael Dawson</t>
  </si>
  <si>
    <t>Chelsea Lucero</t>
  </si>
  <si>
    <t>Stanley Perez</t>
  </si>
  <si>
    <t>Amber Williams</t>
  </si>
  <si>
    <t>Rachel Estrada</t>
  </si>
  <si>
    <t>Carl Wright</t>
  </si>
  <si>
    <t>Mrs. Karla Horn</t>
  </si>
  <si>
    <t>Angela Johnson</t>
  </si>
  <si>
    <t>Samuel Duke</t>
  </si>
  <si>
    <t>Glenn Gonzalez</t>
  </si>
  <si>
    <t>Kendra Clark</t>
  </si>
  <si>
    <t>James Sutton</t>
  </si>
  <si>
    <t>Tammy Ward</t>
  </si>
  <si>
    <t>Benjamin Burton</t>
  </si>
  <si>
    <t>Valerie Salazar</t>
  </si>
  <si>
    <t>Danielle Murphy</t>
  </si>
  <si>
    <t>Crystal Dean</t>
  </si>
  <si>
    <t>Brittney Hale</t>
  </si>
  <si>
    <t>Anthony Peters</t>
  </si>
  <si>
    <t>Brenda Adams</t>
  </si>
  <si>
    <t>Yvonne Harper</t>
  </si>
  <si>
    <t>Michelle Santana</t>
  </si>
  <si>
    <t>Andrea Diaz</t>
  </si>
  <si>
    <t>Stacey Bradley</t>
  </si>
  <si>
    <t>Tina Simpson</t>
  </si>
  <si>
    <t>Jerry King</t>
  </si>
  <si>
    <t>Chelsea Webb</t>
  </si>
  <si>
    <t>Matthew Cooper</t>
  </si>
  <si>
    <t>Julia Mcclain</t>
  </si>
  <si>
    <t>Kenneth Leon</t>
  </si>
  <si>
    <t>Tommy Gonzalez</t>
  </si>
  <si>
    <t>Joel Torres</t>
  </si>
  <si>
    <t>Daniel Case DVM</t>
  </si>
  <si>
    <t>Heather Gonzalez</t>
  </si>
  <si>
    <t>Michelle Bush</t>
  </si>
  <si>
    <t>Colton Cooper</t>
  </si>
  <si>
    <t>Dr. Michelle Guerra</t>
  </si>
  <si>
    <t>Paul Taylor</t>
  </si>
  <si>
    <t>Thomas Edwards</t>
  </si>
  <si>
    <t>Ryan Williamson</t>
  </si>
  <si>
    <t>Dana Hampton</t>
  </si>
  <si>
    <t>Kyle Jackson</t>
  </si>
  <si>
    <t>Mr. Shawn Johnson</t>
  </si>
  <si>
    <t>Richard Howard</t>
  </si>
  <si>
    <t>Larry Andrews</t>
  </si>
  <si>
    <t>Jacob Wade</t>
  </si>
  <si>
    <t>Christopher Jenkins</t>
  </si>
  <si>
    <t>Richard Anderson</t>
  </si>
  <si>
    <t>Caitlin Hughes</t>
  </si>
  <si>
    <t>Sean Robinson</t>
  </si>
  <si>
    <t>Lydia Fleming</t>
  </si>
  <si>
    <t>George Hawkins</t>
  </si>
  <si>
    <t>William Juarez</t>
  </si>
  <si>
    <t>Debbie Wells</t>
  </si>
  <si>
    <t>Kathryn Park</t>
  </si>
  <si>
    <t>Haley Campbell</t>
  </si>
  <si>
    <t>Kaitlin Rogers</t>
  </si>
  <si>
    <t>David Miles</t>
  </si>
  <si>
    <t>Angela Hall</t>
  </si>
  <si>
    <t>Albert George</t>
  </si>
  <si>
    <t>Brian Wagner</t>
  </si>
  <si>
    <t>Nathan Whitehead</t>
  </si>
  <si>
    <t>Jessica Becker</t>
  </si>
  <si>
    <t>Joseph Moore</t>
  </si>
  <si>
    <t>Phillip Conley</t>
  </si>
  <si>
    <t>Miss Andrea Cox</t>
  </si>
  <si>
    <t>Anthony Gordon</t>
  </si>
  <si>
    <t>Danny Hall</t>
  </si>
  <si>
    <t>Kevin Morris</t>
  </si>
  <si>
    <t>Christina Adkins</t>
  </si>
  <si>
    <t>Katie Bell</t>
  </si>
  <si>
    <t>Brian Ramos</t>
  </si>
  <si>
    <t>Hunter Mccoy</t>
  </si>
  <si>
    <t>Edward Fowler</t>
  </si>
  <si>
    <t>Jacob Woods</t>
  </si>
  <si>
    <t>Scott Humphrey</t>
  </si>
  <si>
    <t>Dr. Samantha Young</t>
  </si>
  <si>
    <t>John Nunez</t>
  </si>
  <si>
    <t>Amber Shaw</t>
  </si>
  <si>
    <t>Jeffrey Cameron</t>
  </si>
  <si>
    <t>Warren Matthews</t>
  </si>
  <si>
    <t>Debra Gaines</t>
  </si>
  <si>
    <t>Teresa Scott</t>
  </si>
  <si>
    <t>Nancy Miller</t>
  </si>
  <si>
    <t>Hannah Lawson</t>
  </si>
  <si>
    <t>Stephanie Osborne</t>
  </si>
  <si>
    <t>David Long</t>
  </si>
  <si>
    <t>Laura Mccullough</t>
  </si>
  <si>
    <t>Tina Sanchez</t>
  </si>
  <si>
    <t>Rebecca Thompson</t>
  </si>
  <si>
    <t>Patricia West</t>
  </si>
  <si>
    <t>Michael Michael</t>
  </si>
  <si>
    <t>Paige Miller</t>
  </si>
  <si>
    <t>Barbara Wong</t>
  </si>
  <si>
    <t>James Olsen</t>
  </si>
  <si>
    <t>Joseph Richard</t>
  </si>
  <si>
    <t>Daniel Branch</t>
  </si>
  <si>
    <t>Nicholas Snow</t>
  </si>
  <si>
    <t>Trevor Campbell</t>
  </si>
  <si>
    <t>Mrs. Misty Porter</t>
  </si>
  <si>
    <t>John Pollard</t>
  </si>
  <si>
    <t>Amy Ray</t>
  </si>
  <si>
    <t>Craig Colon</t>
  </si>
  <si>
    <t>Joseph Garcia</t>
  </si>
  <si>
    <t>Kyle Atkins</t>
  </si>
  <si>
    <t>Benjamin Meadows</t>
  </si>
  <si>
    <t>Eric Byrd</t>
  </si>
  <si>
    <t>Jasmine Crawford</t>
  </si>
  <si>
    <t>Alexander Reed</t>
  </si>
  <si>
    <t>Barbara Sanchez</t>
  </si>
  <si>
    <t>Meagan Mckenzie</t>
  </si>
  <si>
    <t>Jessica Berry</t>
  </si>
  <si>
    <t>Kari Garcia</t>
  </si>
  <si>
    <t>Sarah Mason</t>
  </si>
  <si>
    <t>Robert Navarro</t>
  </si>
  <si>
    <t>Lauren Medina</t>
  </si>
  <si>
    <t>Pamela Smith</t>
  </si>
  <si>
    <t>Stacey Brown</t>
  </si>
  <si>
    <t>Madison Brewer</t>
  </si>
  <si>
    <t>Erica Jones</t>
  </si>
  <si>
    <t>Sarah Jackson</t>
  </si>
  <si>
    <t>Julie Flowers</t>
  </si>
  <si>
    <t>Anthony Baker</t>
  </si>
  <si>
    <t>Claudia Campbell MD</t>
  </si>
  <si>
    <t>Robert Mack</t>
  </si>
  <si>
    <t>Julia Gardner</t>
  </si>
  <si>
    <t>Ashley Nelson</t>
  </si>
  <si>
    <t>Amy Burke</t>
  </si>
  <si>
    <t>Kevin Harrison</t>
  </si>
  <si>
    <t>Steven Hernandez</t>
  </si>
  <si>
    <t>Miranda Stanley</t>
  </si>
  <si>
    <t>Desiree Cannon</t>
  </si>
  <si>
    <t>Robert Burke</t>
  </si>
  <si>
    <t>Melissa Ford</t>
  </si>
  <si>
    <t>John Orozco</t>
  </si>
  <si>
    <t>Vanessa Vance</t>
  </si>
  <si>
    <t>Marie Evans</t>
  </si>
  <si>
    <t>Mark Brooks</t>
  </si>
  <si>
    <t>Tammy Brown</t>
  </si>
  <si>
    <t>Gregory Gonzalez</t>
  </si>
  <si>
    <t>James Gallagher</t>
  </si>
  <si>
    <t>Robert Blanchard</t>
  </si>
  <si>
    <t>Daniel Lin</t>
  </si>
  <si>
    <t>Mr. Ronald Nunez</t>
  </si>
  <si>
    <t>Sara Fletcher</t>
  </si>
  <si>
    <t>Kyle Garrison</t>
  </si>
  <si>
    <t>Krystal Glass</t>
  </si>
  <si>
    <t>Bryan Robbins</t>
  </si>
  <si>
    <t>Anne Ferrell</t>
  </si>
  <si>
    <t>Andrew Martinez</t>
  </si>
  <si>
    <t>David Garrett</t>
  </si>
  <si>
    <t>David Russell</t>
  </si>
  <si>
    <t>Michael Miller</t>
  </si>
  <si>
    <t>Edward Rodriguez</t>
  </si>
  <si>
    <t>Amanda Anderson</t>
  </si>
  <si>
    <t>Bryan Jones</t>
  </si>
  <si>
    <t>Nicole Parsons</t>
  </si>
  <si>
    <t>Jason Sparks</t>
  </si>
  <si>
    <t>John Olson</t>
  </si>
  <si>
    <t>Mark Greene</t>
  </si>
  <si>
    <t>Samantha Hill</t>
  </si>
  <si>
    <t>David Yang</t>
  </si>
  <si>
    <t>Christopher Roberts</t>
  </si>
  <si>
    <t>Jonathan Sullivan</t>
  </si>
  <si>
    <t>Joshua Ali</t>
  </si>
  <si>
    <t>Daniel Garcia</t>
  </si>
  <si>
    <t>David Johnson</t>
  </si>
  <si>
    <t>William Kerr</t>
  </si>
  <si>
    <t>Joseph Elliott</t>
  </si>
  <si>
    <t>Crystal Montoya</t>
  </si>
  <si>
    <t>Kirsten Thompson DDS</t>
  </si>
  <si>
    <t>Mark Wagner</t>
  </si>
  <si>
    <t>Timothy Sims</t>
  </si>
  <si>
    <t>Mary Griffin</t>
  </si>
  <si>
    <t>Morgan Blair</t>
  </si>
  <si>
    <t>Jacqueline Mcintosh</t>
  </si>
  <si>
    <t>Virginia Christensen</t>
  </si>
  <si>
    <t>Timothy Becker</t>
  </si>
  <si>
    <t>Andrew Bowen</t>
  </si>
  <si>
    <t>Kathleen Richardson</t>
  </si>
  <si>
    <t>Casey Marshall</t>
  </si>
  <si>
    <t>Susan Maxwell</t>
  </si>
  <si>
    <t>Jade Taylor</t>
  </si>
  <si>
    <t>Monica Patterson</t>
  </si>
  <si>
    <t>Samuel Harris</t>
  </si>
  <si>
    <t>Brianna Diaz</t>
  </si>
  <si>
    <t>Kevin Aguilar</t>
  </si>
  <si>
    <t>Dr. Daniel Young PhD</t>
  </si>
  <si>
    <t>Nicholas Lam</t>
  </si>
  <si>
    <t>Deanna Coleman</t>
  </si>
  <si>
    <t>George Johnson</t>
  </si>
  <si>
    <t>David Haynes</t>
  </si>
  <si>
    <t>Marie Green</t>
  </si>
  <si>
    <t>Olivia Nunez</t>
  </si>
  <si>
    <t>Allen Alvarado</t>
  </si>
  <si>
    <t>Judy Booker</t>
  </si>
  <si>
    <t>Herbert Harris PhD</t>
  </si>
  <si>
    <t>Justin Fry</t>
  </si>
  <si>
    <t>Pamela Anderson</t>
  </si>
  <si>
    <t>Glenda Contreras</t>
  </si>
  <si>
    <t>Joseph Salazar</t>
  </si>
  <si>
    <t>Eric Johnson</t>
  </si>
  <si>
    <t>Joshua Webb</t>
  </si>
  <si>
    <t>Edgar Jones</t>
  </si>
  <si>
    <t>Kelly Herman</t>
  </si>
  <si>
    <t>Jay Parks</t>
  </si>
  <si>
    <t>Michelle Hayes</t>
  </si>
  <si>
    <t>Anna Ponce</t>
  </si>
  <si>
    <t>Sharon Tapia</t>
  </si>
  <si>
    <t>Anthony Hernandez</t>
  </si>
  <si>
    <t>Toni Smith</t>
  </si>
  <si>
    <t>Shannon Chambers</t>
  </si>
  <si>
    <t>Shane Underwood</t>
  </si>
  <si>
    <t>Jose Green</t>
  </si>
  <si>
    <t>Ariana Boyd</t>
  </si>
  <si>
    <t>Vanessa Clark</t>
  </si>
  <si>
    <t>Olivia Hall</t>
  </si>
  <si>
    <t>Julie Carpenter</t>
  </si>
  <si>
    <t>Kevin Marshall</t>
  </si>
  <si>
    <t>Jenna Gomez</t>
  </si>
  <si>
    <t>Steven Jackson</t>
  </si>
  <si>
    <t>Emily Morse</t>
  </si>
  <si>
    <t>Maria Walker</t>
  </si>
  <si>
    <t>Nicole Warren</t>
  </si>
  <si>
    <t>Charles Holland</t>
  </si>
  <si>
    <t>Aaron Wells</t>
  </si>
  <si>
    <t>Timothy Blanchard</t>
  </si>
  <si>
    <t>Tiffany Mathews</t>
  </si>
  <si>
    <t>Kevin Wolfe</t>
  </si>
  <si>
    <t>Jason Yates</t>
  </si>
  <si>
    <t>Brian Cox</t>
  </si>
  <si>
    <t>Jessica Gilmore</t>
  </si>
  <si>
    <t>Andrea Hart MD</t>
  </si>
  <si>
    <t>Raymond West</t>
  </si>
  <si>
    <t>Jo Taylor</t>
  </si>
  <si>
    <t>Holly Hardy</t>
  </si>
  <si>
    <t>Angelica Hughes</t>
  </si>
  <si>
    <t>Jacob Stokes</t>
  </si>
  <si>
    <t>Janice Curtis</t>
  </si>
  <si>
    <t>Henry Ayala</t>
  </si>
  <si>
    <t>Melvin Martin</t>
  </si>
  <si>
    <t>Carrie Boyd</t>
  </si>
  <si>
    <t>James Vega</t>
  </si>
  <si>
    <t>Harold Hernandez DVM</t>
  </si>
  <si>
    <t>Mr. Nicholas Reynolds</t>
  </si>
  <si>
    <t>Tanner Collier</t>
  </si>
  <si>
    <t>Debbie Roberts</t>
  </si>
  <si>
    <t>Jose Ward</t>
  </si>
  <si>
    <t>Emily Bean</t>
  </si>
  <si>
    <t>Marcus Bullock</t>
  </si>
  <si>
    <t>William Glover DDS</t>
  </si>
  <si>
    <t>Erica Alexander</t>
  </si>
  <si>
    <t>Michael Brown</t>
  </si>
  <si>
    <t>Carlos Phelps</t>
  </si>
  <si>
    <t>Mr. Eric Harding</t>
  </si>
  <si>
    <t>Martin Wells</t>
  </si>
  <si>
    <t>Cheryl Cook</t>
  </si>
  <si>
    <t>Colin Welch</t>
  </si>
  <si>
    <t>Michele King</t>
  </si>
  <si>
    <t>Katelyn Mercado</t>
  </si>
  <si>
    <t>Rodney Howell</t>
  </si>
  <si>
    <t>Tina Zimmerman</t>
  </si>
  <si>
    <t>Caitlyn Bennett</t>
  </si>
  <si>
    <t>Sandra Chase</t>
  </si>
  <si>
    <t>Hannah Moore</t>
  </si>
  <si>
    <t>Elizabeth Taylor</t>
  </si>
  <si>
    <t>Victoria Lindsey</t>
  </si>
  <si>
    <t>Jennifer Stark</t>
  </si>
  <si>
    <t>Jesse Roberts</t>
  </si>
  <si>
    <t>Raymond Rocha</t>
  </si>
  <si>
    <t>Richard Nguyen</t>
  </si>
  <si>
    <t>John Bell</t>
  </si>
  <si>
    <t>Thomas Franklin DDS</t>
  </si>
  <si>
    <t>Jamie Tucker</t>
  </si>
  <si>
    <t>Joseph Burnett</t>
  </si>
  <si>
    <t>Pamela Johnson</t>
  </si>
  <si>
    <t>Robert Sparks</t>
  </si>
  <si>
    <t>George Kennedy</t>
  </si>
  <si>
    <t>Andrea Maxwell</t>
  </si>
  <si>
    <t>Todd Jordan</t>
  </si>
  <si>
    <t>Mark Sanders</t>
  </si>
  <si>
    <t>Chris Hernandez</t>
  </si>
  <si>
    <t>Melissa Farmer</t>
  </si>
  <si>
    <t>Candace Rowe</t>
  </si>
  <si>
    <t>Brian Valencia</t>
  </si>
  <si>
    <t>Allen Garcia</t>
  </si>
  <si>
    <t>Patricia Castillo</t>
  </si>
  <si>
    <t>Rickey Price</t>
  </si>
  <si>
    <t>Jacqueline Barr</t>
  </si>
  <si>
    <t>Tammy Bright</t>
  </si>
  <si>
    <t>Cindy Lee</t>
  </si>
  <si>
    <t>Jonathan Garner</t>
  </si>
  <si>
    <t>Andrea Combs</t>
  </si>
  <si>
    <t>Lisa Humphrey</t>
  </si>
  <si>
    <t>Laura Lee</t>
  </si>
  <si>
    <t>Matthew King</t>
  </si>
  <si>
    <t>Zachary Allen</t>
  </si>
  <si>
    <t>Russell Davidson</t>
  </si>
  <si>
    <t>Robert Collins</t>
  </si>
  <si>
    <t>Samantha Simmons</t>
  </si>
  <si>
    <t>Haley Burns</t>
  </si>
  <si>
    <t>Erica Hall</t>
  </si>
  <si>
    <t>Jason Hodge</t>
  </si>
  <si>
    <t>Mr. Michael Harmon</t>
  </si>
  <si>
    <t>Stacy Richmond</t>
  </si>
  <si>
    <t>Heather Norris</t>
  </si>
  <si>
    <t>Tyler Montgomery</t>
  </si>
  <si>
    <t>Janet Cole</t>
  </si>
  <si>
    <t>Ronald Castillo</t>
  </si>
  <si>
    <t>Jose Arroyo</t>
  </si>
  <si>
    <t>Elizabeth Fields</t>
  </si>
  <si>
    <t>Karen Kelley</t>
  </si>
  <si>
    <t>Nathaniel Baker</t>
  </si>
  <si>
    <t>Jonathon Lawson</t>
  </si>
  <si>
    <t>Casey Meyer</t>
  </si>
  <si>
    <t>Marie Chapman</t>
  </si>
  <si>
    <t>Monica Gray</t>
  </si>
  <si>
    <t>Mark Romero</t>
  </si>
  <si>
    <t>Krista Fletcher</t>
  </si>
  <si>
    <t>Rebecca Williams</t>
  </si>
  <si>
    <t>Cassandra Ayala</t>
  </si>
  <si>
    <t>Michael Terry</t>
  </si>
  <si>
    <t>Andrew Malone</t>
  </si>
  <si>
    <t>Shaun Watson</t>
  </si>
  <si>
    <t>Angela Martin</t>
  </si>
  <si>
    <t>Brandi Pineda</t>
  </si>
  <si>
    <t>Mr. James Hill</t>
  </si>
  <si>
    <t>Steven Bailey</t>
  </si>
  <si>
    <t>Julian Johns</t>
  </si>
  <si>
    <t>Cheryl Carroll</t>
  </si>
  <si>
    <t>Tina Perez</t>
  </si>
  <si>
    <t>Kaitlyn Stanley</t>
  </si>
  <si>
    <t>Drew Cantu</t>
  </si>
  <si>
    <t>Patricia Thompson</t>
  </si>
  <si>
    <t>John Jones</t>
  </si>
  <si>
    <t>James Macias</t>
  </si>
  <si>
    <t>Amy Johnson</t>
  </si>
  <si>
    <t>Jane Blake</t>
  </si>
  <si>
    <t>Steven Stevens</t>
  </si>
  <si>
    <t>Tiffany Hays</t>
  </si>
  <si>
    <t>Richard Moore</t>
  </si>
  <si>
    <t>Vickie Long</t>
  </si>
  <si>
    <t>James Thomas</t>
  </si>
  <si>
    <t>Scott Brown</t>
  </si>
  <si>
    <t>Debra Freeman</t>
  </si>
  <si>
    <t>Maria Jensen</t>
  </si>
  <si>
    <t>Donna Walker</t>
  </si>
  <si>
    <t>Aaron Williams</t>
  </si>
  <si>
    <t>Christopher Macdonald</t>
  </si>
  <si>
    <t>Elizabeth Riley</t>
  </si>
  <si>
    <t>Seth Thomas</t>
  </si>
  <si>
    <t>Christine Terrell</t>
  </si>
  <si>
    <t>Michael Owens</t>
  </si>
  <si>
    <t>Mario Rivera</t>
  </si>
  <si>
    <t>Abigail Morales</t>
  </si>
  <si>
    <t>Tony Wilson</t>
  </si>
  <si>
    <t>Michael Wilson MD</t>
  </si>
  <si>
    <t>Julie Gonzalez</t>
  </si>
  <si>
    <t>Steven King</t>
  </si>
  <si>
    <t>Cynthia Douglas</t>
  </si>
  <si>
    <t>Robert Mendoza</t>
  </si>
  <si>
    <t>Mr. Eric Powell</t>
  </si>
  <si>
    <t>Bryan Williams</t>
  </si>
  <si>
    <t>Maria Padilla</t>
  </si>
  <si>
    <t>Patrick Cisneros</t>
  </si>
  <si>
    <t>Jordan Sanford</t>
  </si>
  <si>
    <t>Alexander Munoz</t>
  </si>
  <si>
    <t>Bryan Burton</t>
  </si>
  <si>
    <t>Cynthia Carter</t>
  </si>
  <si>
    <t>Paul Robertson</t>
  </si>
  <si>
    <t>Timothy Rhodes</t>
  </si>
  <si>
    <t>Kimberly Cook</t>
  </si>
  <si>
    <t>Willie Rice</t>
  </si>
  <si>
    <t>Ethan Bauer</t>
  </si>
  <si>
    <t>Matthew Wallace</t>
  </si>
  <si>
    <t>Emma Taylor</t>
  </si>
  <si>
    <t>Tracey French</t>
  </si>
  <si>
    <t>Mr. David Mack MD</t>
  </si>
  <si>
    <t>Robert Li</t>
  </si>
  <si>
    <t>Arthur Shepherd</t>
  </si>
  <si>
    <t>Ronald Perry</t>
  </si>
  <si>
    <t>Patrick Taylor</t>
  </si>
  <si>
    <t>Heidi Parks</t>
  </si>
  <si>
    <t>Juan Coleman</t>
  </si>
  <si>
    <t>Mrs. Donna Mueller</t>
  </si>
  <si>
    <t>Tonya Hart</t>
  </si>
  <si>
    <t>Maria Simpson</t>
  </si>
  <si>
    <t>Michelle Scott</t>
  </si>
  <si>
    <t>Jason Gonzales</t>
  </si>
  <si>
    <t>Sharon Fuller</t>
  </si>
  <si>
    <t>Jessica Cook</t>
  </si>
  <si>
    <t>Amy Hawkins</t>
  </si>
  <si>
    <t>Jeffrey Patel</t>
  </si>
  <si>
    <t>Mark Lynch</t>
  </si>
  <si>
    <t>Jeffrey White</t>
  </si>
  <si>
    <t>Jeffrey Shaffer</t>
  </si>
  <si>
    <t>Teresa Franklin</t>
  </si>
  <si>
    <t>Tammy Bailey</t>
  </si>
  <si>
    <t>Joseph Meza</t>
  </si>
  <si>
    <t>Danny Jackson</t>
  </si>
  <si>
    <t>Joshua Molina</t>
  </si>
  <si>
    <t>Jessica Stevenson</t>
  </si>
  <si>
    <t>Cassidy Douglas</t>
  </si>
  <si>
    <t>Jonathon Davis</t>
  </si>
  <si>
    <t>Charles Franklin</t>
  </si>
  <si>
    <t>John Bush</t>
  </si>
  <si>
    <t>Robert Hester</t>
  </si>
  <si>
    <t>Larry Pugh</t>
  </si>
  <si>
    <t>Dr. Jordan Price</t>
  </si>
  <si>
    <t>Robert Mills</t>
  </si>
  <si>
    <t>Lauren Lambert</t>
  </si>
  <si>
    <t>Susan Phillips</t>
  </si>
  <si>
    <t>David Franklin</t>
  </si>
  <si>
    <t>Craig Hicks</t>
  </si>
  <si>
    <t>Kimberly Sheppard</t>
  </si>
  <si>
    <t>Melissa Jones</t>
  </si>
  <si>
    <t>Ariana Jones</t>
  </si>
  <si>
    <t>Alison Thomas</t>
  </si>
  <si>
    <t>Michael Stewart</t>
  </si>
  <si>
    <t>Michael Torres</t>
  </si>
  <si>
    <t>David Adams</t>
  </si>
  <si>
    <t>Jacqueline Pittman</t>
  </si>
  <si>
    <t>Mr. Andrew Dickson</t>
  </si>
  <si>
    <t>Harold Berry</t>
  </si>
  <si>
    <t>Jeremy Smith</t>
  </si>
  <si>
    <t>Chad Kim</t>
  </si>
  <si>
    <t>Amanda Riley</t>
  </si>
  <si>
    <t>Shannon Martin</t>
  </si>
  <si>
    <t>Linda Ayala DDS</t>
  </si>
  <si>
    <t>Joseph Wilcox</t>
  </si>
  <si>
    <t>Martin Ellison</t>
  </si>
  <si>
    <t>Holly Lee</t>
  </si>
  <si>
    <t>Stuart Jackson</t>
  </si>
  <si>
    <t>Krystal Johnson</t>
  </si>
  <si>
    <t>Sarah Monroe</t>
  </si>
  <si>
    <t>William Garcia</t>
  </si>
  <si>
    <t>Debra Anderson</t>
  </si>
  <si>
    <t>Brett Kim</t>
  </si>
  <si>
    <t>Sherry Foster</t>
  </si>
  <si>
    <t>Logan Johnston</t>
  </si>
  <si>
    <t>Nathan Taylor</t>
  </si>
  <si>
    <t>Brittany Hayes</t>
  </si>
  <si>
    <t>Lisa Carter</t>
  </si>
  <si>
    <t>Timothy Mcbride</t>
  </si>
  <si>
    <t>Brian Mack</t>
  </si>
  <si>
    <t>Barbara Garcia</t>
  </si>
  <si>
    <t>Thomas Brown</t>
  </si>
  <si>
    <t>Adrian Johnson</t>
  </si>
  <si>
    <t>Christina Morrison</t>
  </si>
  <si>
    <t>Anna Patton</t>
  </si>
  <si>
    <t>Cheryl Anthony</t>
  </si>
  <si>
    <t>Joseph Santos</t>
  </si>
  <si>
    <t>Anne Carr</t>
  </si>
  <si>
    <t>Pamela Moore</t>
  </si>
  <si>
    <t>Michael Hansen</t>
  </si>
  <si>
    <t>Lee Rivera</t>
  </si>
  <si>
    <t>Erin Adams</t>
  </si>
  <si>
    <t>Regina Park</t>
  </si>
  <si>
    <t>Stephen Webb</t>
  </si>
  <si>
    <t>Connor Martin</t>
  </si>
  <si>
    <t>Frank Schwartz</t>
  </si>
  <si>
    <t>Kyle Foster</t>
  </si>
  <si>
    <t>Kristina Pierce</t>
  </si>
  <si>
    <t>Stuart Ramirez</t>
  </si>
  <si>
    <t>Margaret Burke</t>
  </si>
  <si>
    <t>Kevin Ross</t>
  </si>
  <si>
    <t>Juan Edwards</t>
  </si>
  <si>
    <t>Rebecca Bryan</t>
  </si>
  <si>
    <t>Vanessa Gallegos</t>
  </si>
  <si>
    <t>Zachary Ross</t>
  </si>
  <si>
    <t>Elaine Ortiz</t>
  </si>
  <si>
    <t>Nicole Murray</t>
  </si>
  <si>
    <t>Theresa Perry</t>
  </si>
  <si>
    <t>Edward Burton</t>
  </si>
  <si>
    <t>Jonathon Garcia</t>
  </si>
  <si>
    <t>Zachary Stevens</t>
  </si>
  <si>
    <t>Crystal Hurley</t>
  </si>
  <si>
    <t>Joshua Wagner</t>
  </si>
  <si>
    <t>Jasmine Hunt</t>
  </si>
  <si>
    <t>Jacob Miller</t>
  </si>
  <si>
    <t>Heather Mclaughlin</t>
  </si>
  <si>
    <t>Anthony Vasquez</t>
  </si>
  <si>
    <t>Shelby Baker</t>
  </si>
  <si>
    <t>Jody White</t>
  </si>
  <si>
    <t>Erica Merritt</t>
  </si>
  <si>
    <t>Amanda Ho</t>
  </si>
  <si>
    <t>Michelle Ross</t>
  </si>
  <si>
    <t>Matthew Gonzalez</t>
  </si>
  <si>
    <t>Dylan Myers</t>
  </si>
  <si>
    <t>Jason Gray</t>
  </si>
  <si>
    <t>Jill Sanchez</t>
  </si>
  <si>
    <t>Steven Clements</t>
  </si>
  <si>
    <t>Zachary Wiggins</t>
  </si>
  <si>
    <t>Leslie Barrett</t>
  </si>
  <si>
    <t>Belinda Williams</t>
  </si>
  <si>
    <t>Sarah Robinson</t>
  </si>
  <si>
    <t>Ashley Smith</t>
  </si>
  <si>
    <t>Jennifer Moore</t>
  </si>
  <si>
    <t>Jessica Brown</t>
  </si>
  <si>
    <t>Michelle Miller</t>
  </si>
  <si>
    <t>Philip Wolf</t>
  </si>
  <si>
    <t>Rachel Ward</t>
  </si>
  <si>
    <t>Mitchell Black</t>
  </si>
  <si>
    <t>Tyler Fisher</t>
  </si>
  <si>
    <t>Nathan Bell</t>
  </si>
  <si>
    <t>Kathy King</t>
  </si>
  <si>
    <t>Lisa Middleton</t>
  </si>
  <si>
    <t>Shannon Thomas</t>
  </si>
  <si>
    <t>William Cameron</t>
  </si>
  <si>
    <t>Joanna Lamb</t>
  </si>
  <si>
    <t>Rachel Kim</t>
  </si>
  <si>
    <t>Monica Anderson</t>
  </si>
  <si>
    <t>Diana Clark</t>
  </si>
  <si>
    <t>Krista Cortez</t>
  </si>
  <si>
    <t>Kevin Flynn</t>
  </si>
  <si>
    <t>Elizabeth Huber</t>
  </si>
  <si>
    <t>Joshua Davis</t>
  </si>
  <si>
    <t>Robert Mason</t>
  </si>
  <si>
    <t>Jacob Lopez</t>
  </si>
  <si>
    <t>David Ramirez</t>
  </si>
  <si>
    <t>Lauren Sanchez MD</t>
  </si>
  <si>
    <t>Joshua Chapman</t>
  </si>
  <si>
    <t>Dennis Burke</t>
  </si>
  <si>
    <t>Christine Ellis</t>
  </si>
  <si>
    <t>Joseph Crosby</t>
  </si>
  <si>
    <t>Robert Thompson</t>
  </si>
  <si>
    <t>Donald Figueroa</t>
  </si>
  <si>
    <t>Shelia Patel</t>
  </si>
  <si>
    <t>Lindsey Turner</t>
  </si>
  <si>
    <t>Mark Kim</t>
  </si>
  <si>
    <t>Ellen Gonzalez</t>
  </si>
  <si>
    <t>Sheryl Mason</t>
  </si>
  <si>
    <t>Kathy Kelly</t>
  </si>
  <si>
    <t>Jessica Richards</t>
  </si>
  <si>
    <t>Stephanie Galloway</t>
  </si>
  <si>
    <t>Tina Garcia</t>
  </si>
  <si>
    <t>Sheila Romero</t>
  </si>
  <si>
    <t>Grace Elliott</t>
  </si>
  <si>
    <t>Thomas Jones</t>
  </si>
  <si>
    <t>Dr. Martin Simmons PhD</t>
  </si>
  <si>
    <t>Kenneth Morris</t>
  </si>
  <si>
    <t>John Zimmerman</t>
  </si>
  <si>
    <t>Janice Wolf</t>
  </si>
  <si>
    <t>Deborah Lee</t>
  </si>
  <si>
    <t>Caleb Harrington</t>
  </si>
  <si>
    <t>Sara Torres</t>
  </si>
  <si>
    <t>Jonathan Weeks</t>
  </si>
  <si>
    <t>Mr. Johnny Bird Jr.</t>
  </si>
  <si>
    <t>Lori Mckee</t>
  </si>
  <si>
    <t>Traci Brown</t>
  </si>
  <si>
    <t>Shelia Scott</t>
  </si>
  <si>
    <t>Angela Dunlap</t>
  </si>
  <si>
    <t>Craig Sanders</t>
  </si>
  <si>
    <t>Luke Robinson</t>
  </si>
  <si>
    <t>William Tran</t>
  </si>
  <si>
    <t>Christopher Evans</t>
  </si>
  <si>
    <t>James Hatfield</t>
  </si>
  <si>
    <t>Jason Duffy</t>
  </si>
  <si>
    <t>Monica Perez</t>
  </si>
  <si>
    <t>Larry Banks</t>
  </si>
  <si>
    <t>Roy Taylor DVM</t>
  </si>
  <si>
    <t>Terry Ward</t>
  </si>
  <si>
    <t>Sheila Huynh</t>
  </si>
  <si>
    <t>Zachary Woods</t>
  </si>
  <si>
    <t>Thomas Cantu</t>
  </si>
  <si>
    <t>Jim Patterson</t>
  </si>
  <si>
    <t>Robin Johnson</t>
  </si>
  <si>
    <t>Christopher Nunez</t>
  </si>
  <si>
    <t>Cindy Rodriguez MD</t>
  </si>
  <si>
    <t>Alyssa Smith</t>
  </si>
  <si>
    <t>Karen Coffey</t>
  </si>
  <si>
    <t>Kevin Miller</t>
  </si>
  <si>
    <t>Kayla Hardy</t>
  </si>
  <si>
    <t>Caleb Bentley</t>
  </si>
  <si>
    <t>Margaret Wilson</t>
  </si>
  <si>
    <t>Bryan Becker</t>
  </si>
  <si>
    <t>David Aguirre</t>
  </si>
  <si>
    <t>Austin Henry</t>
  </si>
  <si>
    <t>Amy Hernandez</t>
  </si>
  <si>
    <t>Caleb Stewart</t>
  </si>
  <si>
    <t>Andrew Adams</t>
  </si>
  <si>
    <t>Matthew Graham</t>
  </si>
  <si>
    <t>Rebekah Holt</t>
  </si>
  <si>
    <t>Amanda Davis</t>
  </si>
  <si>
    <t>Michael Lane</t>
  </si>
  <si>
    <t>Chris Ruiz</t>
  </si>
  <si>
    <t>Michelle Hunter</t>
  </si>
  <si>
    <t>Pamela Keller</t>
  </si>
  <si>
    <t>Christina Daniels</t>
  </si>
  <si>
    <t>Tina Watson MD</t>
  </si>
  <si>
    <t>Ashley Dixon</t>
  </si>
  <si>
    <t>Kelly Morgan</t>
  </si>
  <si>
    <t>Paula Moore</t>
  </si>
  <si>
    <t>Stephanie Barber</t>
  </si>
  <si>
    <t>Wesley Snow</t>
  </si>
  <si>
    <t>Jennifer Gomez</t>
  </si>
  <si>
    <t>Brandon Waller</t>
  </si>
  <si>
    <t>Carl Tran</t>
  </si>
  <si>
    <t>Krista Sanders</t>
  </si>
  <si>
    <t>Amanda Rosales</t>
  </si>
  <si>
    <t>Tiffany Dunn</t>
  </si>
  <si>
    <t>Hailey Short</t>
  </si>
  <si>
    <t>Matthew Crane</t>
  </si>
  <si>
    <t>Cindy Mcmillan</t>
  </si>
  <si>
    <t>Lisa Rosales</t>
  </si>
  <si>
    <t>Tiffany Fisher</t>
  </si>
  <si>
    <t>Jessica Hancock</t>
  </si>
  <si>
    <t>Melinda Stevens</t>
  </si>
  <si>
    <t>Stephanie Bowman</t>
  </si>
  <si>
    <t>Maria Nielsen</t>
  </si>
  <si>
    <t>Mary Hayes</t>
  </si>
  <si>
    <t>William Hart</t>
  </si>
  <si>
    <t>Melissa Johns</t>
  </si>
  <si>
    <t>Craig Brown</t>
  </si>
  <si>
    <t>Christine Olson</t>
  </si>
  <si>
    <t>Thomas Case</t>
  </si>
  <si>
    <t>Andrew Holmes</t>
  </si>
  <si>
    <t>Justin Lozano</t>
  </si>
  <si>
    <t>Angela Garcia</t>
  </si>
  <si>
    <t>Courtney Zuniga</t>
  </si>
  <si>
    <t>Stephanie Fisher</t>
  </si>
  <si>
    <t>Katherine Arroyo</t>
  </si>
  <si>
    <t>Tonya Short</t>
  </si>
  <si>
    <t>Philip Morris</t>
  </si>
  <si>
    <t>Mark Smith</t>
  </si>
  <si>
    <t>Jeremy Nichols</t>
  </si>
  <si>
    <t>John Rodriguez</t>
  </si>
  <si>
    <t>Jason Taylor</t>
  </si>
  <si>
    <t>David Morgan</t>
  </si>
  <si>
    <t>Luis Hall</t>
  </si>
  <si>
    <t>Joseph Crane</t>
  </si>
  <si>
    <t>Michael Schultz</t>
  </si>
  <si>
    <t>Vincent Webster</t>
  </si>
  <si>
    <t>Grant Turner</t>
  </si>
  <si>
    <t>Christy Davies MD</t>
  </si>
  <si>
    <t>Erika Farrell</t>
  </si>
  <si>
    <t>Matthew Jenkins</t>
  </si>
  <si>
    <t>Regina Fleming</t>
  </si>
  <si>
    <t>Marc Gonzalez</t>
  </si>
  <si>
    <t>Amber Hernandez</t>
  </si>
  <si>
    <t>Jay Calhoun</t>
  </si>
  <si>
    <t>Chris Morrison</t>
  </si>
  <si>
    <t>Michael Johnson</t>
  </si>
  <si>
    <t>Audrey Kirk</t>
  </si>
  <si>
    <t>Sarah Gibson</t>
  </si>
  <si>
    <t>Christian Taylor</t>
  </si>
  <si>
    <t>Melissa Mooney</t>
  </si>
  <si>
    <t>David Parker</t>
  </si>
  <si>
    <t>Jacob Dickson</t>
  </si>
  <si>
    <t>Alicia Schroeder</t>
  </si>
  <si>
    <t>Casey Gaines</t>
  </si>
  <si>
    <t>Felicia Rich</t>
  </si>
  <si>
    <t>Benjamin Bright</t>
  </si>
  <si>
    <t>Brittany Herrera</t>
  </si>
  <si>
    <t>Jo Bennett</t>
  </si>
  <si>
    <t>Melinda Leonard</t>
  </si>
  <si>
    <t>Jason Leonard</t>
  </si>
  <si>
    <t>Michael Tapia</t>
  </si>
  <si>
    <t>Stephen Olson</t>
  </si>
  <si>
    <t>Karen Mendoza</t>
  </si>
  <si>
    <t>Julie Lewis</t>
  </si>
  <si>
    <t>Renee Vance</t>
  </si>
  <si>
    <t>Lisa Holloway</t>
  </si>
  <si>
    <t>Rebecca Williamson</t>
  </si>
  <si>
    <t>Marilyn Valdez</t>
  </si>
  <si>
    <t>Jose Kelly</t>
  </si>
  <si>
    <t>Timothy Hunter</t>
  </si>
  <si>
    <t>Deborah Robinson</t>
  </si>
  <si>
    <t>Victoria Kim</t>
  </si>
  <si>
    <t>Stephanie Davis</t>
  </si>
  <si>
    <t>Edward Dougherty</t>
  </si>
  <si>
    <t>Sherry Terry</t>
  </si>
  <si>
    <t>Rickey Tran</t>
  </si>
  <si>
    <t>Mary Rogers</t>
  </si>
  <si>
    <t>Kyle Caldwell</t>
  </si>
  <si>
    <t>Jacqueline Anderson</t>
  </si>
  <si>
    <t>Robin Gay</t>
  </si>
  <si>
    <t>Laura Bridges</t>
  </si>
  <si>
    <t>William Robbins</t>
  </si>
  <si>
    <t>Sophia Moreno</t>
  </si>
  <si>
    <t>Crystal Norris</t>
  </si>
  <si>
    <t>Joshua Graves</t>
  </si>
  <si>
    <t>Christina Long</t>
  </si>
  <si>
    <t>Kimberly Henderson</t>
  </si>
  <si>
    <t>Amy Jackson</t>
  </si>
  <si>
    <t>Rachel Booth</t>
  </si>
  <si>
    <t>Christian Ortega</t>
  </si>
  <si>
    <t>Jared Berry</t>
  </si>
  <si>
    <t>Kelly Curry</t>
  </si>
  <si>
    <t>Joseph Allen</t>
  </si>
  <si>
    <t>Stephanie Grant</t>
  </si>
  <si>
    <t>Marc Daniel</t>
  </si>
  <si>
    <t>Jonathan Robbins</t>
  </si>
  <si>
    <t>Justin Mitchell</t>
  </si>
  <si>
    <t>Rachel Smith</t>
  </si>
  <si>
    <t>Gregory Lutz</t>
  </si>
  <si>
    <t>Jason Mcpherson</t>
  </si>
  <si>
    <t>Rebecca Scott</t>
  </si>
  <si>
    <t>Michelle Stone</t>
  </si>
  <si>
    <t>Theresa Nguyen</t>
  </si>
  <si>
    <t>Diana Francis</t>
  </si>
  <si>
    <t>Mikayla Haynes</t>
  </si>
  <si>
    <t>Samantha White</t>
  </si>
  <si>
    <t>Steven Collins</t>
  </si>
  <si>
    <t>Tracey Andrews</t>
  </si>
  <si>
    <t>Alexandra Harris</t>
  </si>
  <si>
    <t>Christian Jones</t>
  </si>
  <si>
    <t>Amanda Garcia</t>
  </si>
  <si>
    <t>Angela Thomas</t>
  </si>
  <si>
    <t>Wayne Cook</t>
  </si>
  <si>
    <t>Ryan Arnold</t>
  </si>
  <si>
    <t>Michelle Russell</t>
  </si>
  <si>
    <t>Megan Myers</t>
  </si>
  <si>
    <t>Allison Cannon</t>
  </si>
  <si>
    <t>Lisa Alvarez</t>
  </si>
  <si>
    <t>Austin Reynolds</t>
  </si>
  <si>
    <t>Joseph Cook</t>
  </si>
  <si>
    <t>Cynthia Evans</t>
  </si>
  <si>
    <t>Daniel Williams</t>
  </si>
  <si>
    <t>Jessica Small</t>
  </si>
  <si>
    <t>Dennis Weiss</t>
  </si>
  <si>
    <t>Leslie Sanders</t>
  </si>
  <si>
    <t>Deanna Newman</t>
  </si>
  <si>
    <t>Angela Anderson</t>
  </si>
  <si>
    <t>Anna Evans</t>
  </si>
  <si>
    <t>Brian Bishop</t>
  </si>
  <si>
    <t>Rhonda Schmidt</t>
  </si>
  <si>
    <t>James Moreno</t>
  </si>
  <si>
    <t>Barbara Warren</t>
  </si>
  <si>
    <t>Jennifer Crawford</t>
  </si>
  <si>
    <t>Jason Williams</t>
  </si>
  <si>
    <t>Bradley Davis</t>
  </si>
  <si>
    <t>Debra Fletcher</t>
  </si>
  <si>
    <t>Amanda Ford</t>
  </si>
  <si>
    <t>Sarah Lam</t>
  </si>
  <si>
    <t>Carmen Ritter</t>
  </si>
  <si>
    <t>Tracey Walls</t>
  </si>
  <si>
    <t>Christopher Parsons</t>
  </si>
  <si>
    <t>Scott Beltran</t>
  </si>
  <si>
    <t>Nicholas Richards</t>
  </si>
  <si>
    <t>Joseph Huff</t>
  </si>
  <si>
    <t>Megan Frederick</t>
  </si>
  <si>
    <t>Steven Schneider</t>
  </si>
  <si>
    <t>Sherri Rangel</t>
  </si>
  <si>
    <t>Carolyn Reeves</t>
  </si>
  <si>
    <t>George Archer</t>
  </si>
  <si>
    <t>Dr. Lori May MD</t>
  </si>
  <si>
    <t>Devin Vasquez</t>
  </si>
  <si>
    <t>Thomas Long III</t>
  </si>
  <si>
    <t>Michelle Goodman</t>
  </si>
  <si>
    <t>Taylor Phillips</t>
  </si>
  <si>
    <t>Christopher Riley</t>
  </si>
  <si>
    <t>Robin Perez</t>
  </si>
  <si>
    <t>Sarah Russell</t>
  </si>
  <si>
    <t>Sherry Brooks</t>
  </si>
  <si>
    <t>Timothy Andrews</t>
  </si>
  <si>
    <t>Mark Jenkins</t>
  </si>
  <si>
    <t>Michelle Tate</t>
  </si>
  <si>
    <t>Deborah Humphrey</t>
  </si>
  <si>
    <t>Annette James</t>
  </si>
  <si>
    <t>Cheryl Davis</t>
  </si>
  <si>
    <t>Lauren Byrd</t>
  </si>
  <si>
    <t>Bobby Sullivan</t>
  </si>
  <si>
    <t>Dr. Wesley Wise</t>
  </si>
  <si>
    <t>Dawn Turner</t>
  </si>
  <si>
    <t>Paul Mclaughlin</t>
  </si>
  <si>
    <t>Thomas Welch</t>
  </si>
  <si>
    <t>Theresa Anderson</t>
  </si>
  <si>
    <t>Diana Todd</t>
  </si>
  <si>
    <t>Paul Flores</t>
  </si>
  <si>
    <t>Julie Lowe</t>
  </si>
  <si>
    <t>Rhonda Cannon</t>
  </si>
  <si>
    <t>Lisa Wilson</t>
  </si>
  <si>
    <t>Miss Tina Bishop DVM</t>
  </si>
  <si>
    <t>Timothy Wyatt</t>
  </si>
  <si>
    <t>Kimberly Dixon</t>
  </si>
  <si>
    <t>Brandi Sloan</t>
  </si>
  <si>
    <t>Angela Mccann</t>
  </si>
  <si>
    <t>Joseph Perez</t>
  </si>
  <si>
    <t>Tiffany Pruitt</t>
  </si>
  <si>
    <t>Steven Duran</t>
  </si>
  <si>
    <t>Laura Ramirez</t>
  </si>
  <si>
    <t>Jenna Powers</t>
  </si>
  <si>
    <t>Mark Beltran</t>
  </si>
  <si>
    <t>Ellen Freeman</t>
  </si>
  <si>
    <t>David Roy</t>
  </si>
  <si>
    <t>Austin Matthews</t>
  </si>
  <si>
    <t>Edward Erickson</t>
  </si>
  <si>
    <t>Jamie Pope</t>
  </si>
  <si>
    <t>Kristy Wilson</t>
  </si>
  <si>
    <t>Douglas Johnson</t>
  </si>
  <si>
    <t>Kathryn Myers</t>
  </si>
  <si>
    <t>Stephanie Baldwin</t>
  </si>
  <si>
    <t>Julie Avery</t>
  </si>
  <si>
    <t>Brittany Mooney</t>
  </si>
  <si>
    <t>Meghan Cooley</t>
  </si>
  <si>
    <t>Andrea Nguyen</t>
  </si>
  <si>
    <t>Brian Nicholson</t>
  </si>
  <si>
    <t>Miguel Reyes</t>
  </si>
  <si>
    <t>Derrick Hernandez</t>
  </si>
  <si>
    <t>Cheryl Gonzalez</t>
  </si>
  <si>
    <t>Regina Williams</t>
  </si>
  <si>
    <t>Lynn Lopez</t>
  </si>
  <si>
    <t>Victor Atkins</t>
  </si>
  <si>
    <t>William Wright</t>
  </si>
  <si>
    <t>Brandon Strickland</t>
  </si>
  <si>
    <t>Ryan Estrada</t>
  </si>
  <si>
    <t>Miss Holly Phillips</t>
  </si>
  <si>
    <t>Brian Kim</t>
  </si>
  <si>
    <t>Craig Klein</t>
  </si>
  <si>
    <t>Austin Arroyo</t>
  </si>
  <si>
    <t>Kayla Young</t>
  </si>
  <si>
    <t>Latoya Taylor</t>
  </si>
  <si>
    <t>Earl Brewer</t>
  </si>
  <si>
    <t>Jeanette Leonard</t>
  </si>
  <si>
    <t>Shari Brown</t>
  </si>
  <si>
    <t>Meghan Rodriguez</t>
  </si>
  <si>
    <t>Patrick Santiago</t>
  </si>
  <si>
    <t>Carol Smith</t>
  </si>
  <si>
    <t>Kelly Thomas</t>
  </si>
  <si>
    <t>Ashley Mcconnell</t>
  </si>
  <si>
    <t>Renee Sharp</t>
  </si>
  <si>
    <t>Kimberly Pena</t>
  </si>
  <si>
    <t>Tracy Zavala</t>
  </si>
  <si>
    <t>Richard Ortiz</t>
  </si>
  <si>
    <t>Susan Flynn</t>
  </si>
  <si>
    <t>John Leonard</t>
  </si>
  <si>
    <t>Valerie Blackwell</t>
  </si>
  <si>
    <t>Jordan Nelson</t>
  </si>
  <si>
    <t>Benjamin Christian</t>
  </si>
  <si>
    <t>Andrew Wagner</t>
  </si>
  <si>
    <t>Diane Williams</t>
  </si>
  <si>
    <t>Shelly Robertson DVM</t>
  </si>
  <si>
    <t>Rodney Wiggins</t>
  </si>
  <si>
    <t>Jamie Clark</t>
  </si>
  <si>
    <t>Fred Blevins MD</t>
  </si>
  <si>
    <t>Patrick Reed</t>
  </si>
  <si>
    <t>Kimberly Lawrence</t>
  </si>
  <si>
    <t>Timothy Peterson</t>
  </si>
  <si>
    <t>Carl Sutton</t>
  </si>
  <si>
    <t>Robert Green</t>
  </si>
  <si>
    <t>Megan Roberts</t>
  </si>
  <si>
    <t>Joshua Green</t>
  </si>
  <si>
    <t>Denise Johnson</t>
  </si>
  <si>
    <t>Ryan Hunt</t>
  </si>
  <si>
    <t>Carol Dominguez</t>
  </si>
  <si>
    <t>Shane White</t>
  </si>
  <si>
    <t>Philip Spears</t>
  </si>
  <si>
    <t>Corey Compton</t>
  </si>
  <si>
    <t>Edward Barnes</t>
  </si>
  <si>
    <t>Allen Howell</t>
  </si>
  <si>
    <t>Hannah Weaver</t>
  </si>
  <si>
    <t>Stephen Hamilton</t>
  </si>
  <si>
    <t>Regina Moody</t>
  </si>
  <si>
    <t>Jasmine Jones</t>
  </si>
  <si>
    <t>Caitlin Townsend</t>
  </si>
  <si>
    <t>Annette Russo</t>
  </si>
  <si>
    <t>Andrew Brown</t>
  </si>
  <si>
    <t>Michelle Coleman</t>
  </si>
  <si>
    <t>Brandon Sweeney</t>
  </si>
  <si>
    <t>Lisa Clark</t>
  </si>
  <si>
    <t>Christine Gross</t>
  </si>
  <si>
    <t>Patrick Green</t>
  </si>
  <si>
    <t>Gina Hall</t>
  </si>
  <si>
    <t>Brett Owens</t>
  </si>
  <si>
    <t>Elaine Pearson</t>
  </si>
  <si>
    <t>Katelyn Velasquez</t>
  </si>
  <si>
    <t>Brandon Mills</t>
  </si>
  <si>
    <t>Bradley Shepherd</t>
  </si>
  <si>
    <t>Kenneth Avery</t>
  </si>
  <si>
    <t>Melissa Baker</t>
  </si>
  <si>
    <t>Roger Livingston</t>
  </si>
  <si>
    <t>Victor Ochoa</t>
  </si>
  <si>
    <t>Sarah Bullock</t>
  </si>
  <si>
    <t>Stephanie Griffith</t>
  </si>
  <si>
    <t>Sharon Mccullough</t>
  </si>
  <si>
    <t>Kristen White</t>
  </si>
  <si>
    <t>Deborah Brock</t>
  </si>
  <si>
    <t>Juan Keith</t>
  </si>
  <si>
    <t>Ann Franco</t>
  </si>
  <si>
    <t>Jared Bryan</t>
  </si>
  <si>
    <t>Amanda Warren</t>
  </si>
  <si>
    <t>Peter Spencer</t>
  </si>
  <si>
    <t>Daniel Atkins</t>
  </si>
  <si>
    <t>Deborah Clayton</t>
  </si>
  <si>
    <t>Anthony Vaughn</t>
  </si>
  <si>
    <t>Joshua Dean</t>
  </si>
  <si>
    <t>Steve Jones</t>
  </si>
  <si>
    <t>William Brown</t>
  </si>
  <si>
    <t>Crystal Mccarthy</t>
  </si>
  <si>
    <t>Phillip Bullock</t>
  </si>
  <si>
    <t>Krista Estes</t>
  </si>
  <si>
    <t>Jason Vang</t>
  </si>
  <si>
    <t>Cameron Ortega</t>
  </si>
  <si>
    <t>Steven Bentley</t>
  </si>
  <si>
    <t>Alice Mendoza</t>
  </si>
  <si>
    <t>Megan Estes</t>
  </si>
  <si>
    <t>Jennifer Ramsey</t>
  </si>
  <si>
    <t>Sandra Brown</t>
  </si>
  <si>
    <t>Bradley Gardner</t>
  </si>
  <si>
    <t>Barry Gordon</t>
  </si>
  <si>
    <t>Jamie Holland</t>
  </si>
  <si>
    <t>Brandon Valencia</t>
  </si>
  <si>
    <t>Gregory Gutierrez</t>
  </si>
  <si>
    <t>Joseph Ortiz</t>
  </si>
  <si>
    <t>Trevor Luna</t>
  </si>
  <si>
    <t>Denise Dougherty</t>
  </si>
  <si>
    <t>John Robinson</t>
  </si>
  <si>
    <t>Richard Olsen</t>
  </si>
  <si>
    <t>Donna Howe</t>
  </si>
  <si>
    <t>Kathryn Johnson</t>
  </si>
  <si>
    <t>Daniel Bell</t>
  </si>
  <si>
    <t>Megan Dixon</t>
  </si>
  <si>
    <t>Brian Hall</t>
  </si>
  <si>
    <t>Patrick Green Jr.</t>
  </si>
  <si>
    <t>Dr. Jennifer Carter</t>
  </si>
  <si>
    <t>Lisa Larsen</t>
  </si>
  <si>
    <t>Lance Saunders</t>
  </si>
  <si>
    <t>Scott Miller</t>
  </si>
  <si>
    <t>Madison Hernandez</t>
  </si>
  <si>
    <t>Dr. Roger Buchanan</t>
  </si>
  <si>
    <t>James Allen</t>
  </si>
  <si>
    <t>Heather Bryant</t>
  </si>
  <si>
    <t>Francisco Henry</t>
  </si>
  <si>
    <t>Dennis Foster</t>
  </si>
  <si>
    <t>Michelle Barnett</t>
  </si>
  <si>
    <t>Mark Johnson</t>
  </si>
  <si>
    <t>Brian Waters</t>
  </si>
  <si>
    <t>Stephanie Williams</t>
  </si>
  <si>
    <t>Charles Davis</t>
  </si>
  <si>
    <t>Jo Smith</t>
  </si>
  <si>
    <t>Danielle Ramsey</t>
  </si>
  <si>
    <t>Omar Snyder</t>
  </si>
  <si>
    <t>Tasha Jackson</t>
  </si>
  <si>
    <t>Lori Baldwin</t>
  </si>
  <si>
    <t>Jessica Hunt</t>
  </si>
  <si>
    <t>Teresa Hamilton</t>
  </si>
  <si>
    <t>Charles Oliver</t>
  </si>
  <si>
    <t>Joseph Holland DDS</t>
  </si>
  <si>
    <t>Michael Peterson</t>
  </si>
  <si>
    <t>Holly Howard</t>
  </si>
  <si>
    <t>Kyle Dean</t>
  </si>
  <si>
    <t>Robert Perry</t>
  </si>
  <si>
    <t>Robert Burton</t>
  </si>
  <si>
    <t>Hannah Brown</t>
  </si>
  <si>
    <t>Nicole Collins</t>
  </si>
  <si>
    <t>Eric Anderson</t>
  </si>
  <si>
    <t>Julie Palmer</t>
  </si>
  <si>
    <t>Julie Stanley</t>
  </si>
  <si>
    <t>Sheila Austin</t>
  </si>
  <si>
    <t>Brendan Singleton MD</t>
  </si>
  <si>
    <t>Kelly Stout</t>
  </si>
  <si>
    <t>Nathan Yang</t>
  </si>
  <si>
    <t>Victoria Jefferson</t>
  </si>
  <si>
    <t>James Cox</t>
  </si>
  <si>
    <t>Veronica Pratt</t>
  </si>
  <si>
    <t>Julie Kelly</t>
  </si>
  <si>
    <t>Jeanne Cole</t>
  </si>
  <si>
    <t>Zachary Mcdonald</t>
  </si>
  <si>
    <t>Alex Anderson</t>
  </si>
  <si>
    <t>Brianna Knight</t>
  </si>
  <si>
    <t>Mrs. Michele Hill</t>
  </si>
  <si>
    <t>Sonya Williams</t>
  </si>
  <si>
    <t>Lisa Rivera</t>
  </si>
  <si>
    <t>Michael Shelton</t>
  </si>
  <si>
    <t>Crystal Lee</t>
  </si>
  <si>
    <t>James Stone</t>
  </si>
  <si>
    <t>Jacqueline Murphy</t>
  </si>
  <si>
    <t>Misty Wagner</t>
  </si>
  <si>
    <t>Amber Glenn</t>
  </si>
  <si>
    <t>James Martinez</t>
  </si>
  <si>
    <t>Jessica White</t>
  </si>
  <si>
    <t>Sherry Stewart</t>
  </si>
  <si>
    <t>Cynthia Anderson</t>
  </si>
  <si>
    <t>George Burke</t>
  </si>
  <si>
    <t>Linda Owens</t>
  </si>
  <si>
    <t>Paul Walker</t>
  </si>
  <si>
    <t>Hannah Reed</t>
  </si>
  <si>
    <t>Dr. Dustin Lawrence</t>
  </si>
  <si>
    <t>Tom Gomez</t>
  </si>
  <si>
    <t>James Fuentes PhD</t>
  </si>
  <si>
    <t>Shane Brown</t>
  </si>
  <si>
    <t>Jason Klein</t>
  </si>
  <si>
    <t>Lauren Stephens</t>
  </si>
  <si>
    <t>Kristine Davis</t>
  </si>
  <si>
    <t>Carol Beard</t>
  </si>
  <si>
    <t>Hunter Todd</t>
  </si>
  <si>
    <t>Christine Brown</t>
  </si>
  <si>
    <t>Jason Mack</t>
  </si>
  <si>
    <t>Joshua Freeman</t>
  </si>
  <si>
    <t>Mary Reed</t>
  </si>
  <si>
    <t>Brendan Farmer</t>
  </si>
  <si>
    <t>Theresa Gibbs</t>
  </si>
  <si>
    <t>Matthew Terry</t>
  </si>
  <si>
    <t>Samantha Hampton</t>
  </si>
  <si>
    <t>Hannah Francis</t>
  </si>
  <si>
    <t>Jose Fuller</t>
  </si>
  <si>
    <t>Lorraine Brown</t>
  </si>
  <si>
    <t>James Yoder</t>
  </si>
  <si>
    <t>Gerald Adkins</t>
  </si>
  <si>
    <t>Frederick Rice</t>
  </si>
  <si>
    <t>Jason Harrison</t>
  </si>
  <si>
    <t>Andrew Campbell</t>
  </si>
  <si>
    <t>Alexander Armstrong</t>
  </si>
  <si>
    <t>Kathy Price</t>
  </si>
  <si>
    <t>Elizabeth Pena</t>
  </si>
  <si>
    <t>Cheryl Jensen</t>
  </si>
  <si>
    <t>Emily Hunt</t>
  </si>
  <si>
    <t>Megan Peterson</t>
  </si>
  <si>
    <t>Terry Smith</t>
  </si>
  <si>
    <t>Eric Lawrence Jr.</t>
  </si>
  <si>
    <t>William Nelson</t>
  </si>
  <si>
    <t>Bryan Hansen</t>
  </si>
  <si>
    <t>Natalie Massey</t>
  </si>
  <si>
    <t>Hannah Roach</t>
  </si>
  <si>
    <t>Amanda Smith</t>
  </si>
  <si>
    <t>Sherry Dixon</t>
  </si>
  <si>
    <t>Robert Walton</t>
  </si>
  <si>
    <t>Heather Salinas</t>
  </si>
  <si>
    <t>Rachel Rodriguez</t>
  </si>
  <si>
    <t>Linda Parker</t>
  </si>
  <si>
    <t>Maria Harmon</t>
  </si>
  <si>
    <t>Kelli Brown</t>
  </si>
  <si>
    <t>Jasmine Blake</t>
  </si>
  <si>
    <t>Candice Rodriguez</t>
  </si>
  <si>
    <t>Jennifer Walker</t>
  </si>
  <si>
    <t>Susan Chapman</t>
  </si>
  <si>
    <t>Jordan James</t>
  </si>
  <si>
    <t>Sandra Hopkins</t>
  </si>
  <si>
    <t>Douglas Mcdonald</t>
  </si>
  <si>
    <t>Denise Trevino</t>
  </si>
  <si>
    <t>John Moore</t>
  </si>
  <si>
    <t>Jerry Santana</t>
  </si>
  <si>
    <t>Brian Carroll</t>
  </si>
  <si>
    <t>Tina Miranda</t>
  </si>
  <si>
    <t>Tanner Townsend</t>
  </si>
  <si>
    <t>Jane Davis</t>
  </si>
  <si>
    <t>Jennifer Oneill</t>
  </si>
  <si>
    <t>Micheal Stevens</t>
  </si>
  <si>
    <t>Madison Black</t>
  </si>
  <si>
    <t>Emily Lewis</t>
  </si>
  <si>
    <t>Leah White</t>
  </si>
  <si>
    <t>Angela Perez</t>
  </si>
  <si>
    <t>Nicole Rodriguez</t>
  </si>
  <si>
    <t>Toni Baker</t>
  </si>
  <si>
    <t>Randy Johnson Jr.</t>
  </si>
  <si>
    <t>John Murray</t>
  </si>
  <si>
    <t>Kimberly Barber</t>
  </si>
  <si>
    <t>Sean Richards</t>
  </si>
  <si>
    <t>John Maddox</t>
  </si>
  <si>
    <t>Caitlin Griffin</t>
  </si>
  <si>
    <t>Kristen Hall</t>
  </si>
  <si>
    <t>Courtney Barnett</t>
  </si>
  <si>
    <t>Joseph Glover</t>
  </si>
  <si>
    <t>Brooke Sharp</t>
  </si>
  <si>
    <t>John Jackson</t>
  </si>
  <si>
    <t>Kathy Horton</t>
  </si>
  <si>
    <t>Aimee Brown</t>
  </si>
  <si>
    <t>Mary James</t>
  </si>
  <si>
    <t>Katherine Levy</t>
  </si>
  <si>
    <t>Richard Prince</t>
  </si>
  <si>
    <t>Matthew Taylor</t>
  </si>
  <si>
    <t>Amanda Glover</t>
  </si>
  <si>
    <t>Lisa Marshall</t>
  </si>
  <si>
    <t>Amanda Henderson</t>
  </si>
  <si>
    <t>Lisa Hall</t>
  </si>
  <si>
    <t>Jared Adams</t>
  </si>
  <si>
    <t>Connor White</t>
  </si>
  <si>
    <t>Brittany Fry</t>
  </si>
  <si>
    <t>Mrs. Holly Allison</t>
  </si>
  <si>
    <t>Michelle Sexton</t>
  </si>
  <si>
    <t>Sergio Johnson</t>
  </si>
  <si>
    <t>Melissa Wagner</t>
  </si>
  <si>
    <t>Erin Sullivan</t>
  </si>
  <si>
    <t>Sandra Garrett</t>
  </si>
  <si>
    <t>Johnny Andersen</t>
  </si>
  <si>
    <t>Lisa Rios</t>
  </si>
  <si>
    <t>James Jones</t>
  </si>
  <si>
    <t>Michael Willis</t>
  </si>
  <si>
    <t>Calvin Rodriguez</t>
  </si>
  <si>
    <t>Gary Sims</t>
  </si>
  <si>
    <t>David Wheeler</t>
  </si>
  <si>
    <t>Lisa Perez</t>
  </si>
  <si>
    <t>Maria Lopez</t>
  </si>
  <si>
    <t>Shane Ryan</t>
  </si>
  <si>
    <t>Michelle Long</t>
  </si>
  <si>
    <t>John Bennett</t>
  </si>
  <si>
    <t>Michele Simmons</t>
  </si>
  <si>
    <t>Thomas Watkins</t>
  </si>
  <si>
    <t>Kenneth Jacobs</t>
  </si>
  <si>
    <t>Rose Nelson</t>
  </si>
  <si>
    <t>Matthew Cook</t>
  </si>
  <si>
    <t>Sharon Rasmussen</t>
  </si>
  <si>
    <t>Sarah Watts</t>
  </si>
  <si>
    <t>Casey Jones</t>
  </si>
  <si>
    <t>Norman Huang</t>
  </si>
  <si>
    <t>Steven Walters</t>
  </si>
  <si>
    <t>Miss Betty Glenn</t>
  </si>
  <si>
    <t>Clarence Ramirez</t>
  </si>
  <si>
    <t>James Wood</t>
  </si>
  <si>
    <t>Matthew Williams</t>
  </si>
  <si>
    <t>Drew Chavez</t>
  </si>
  <si>
    <t>Christopher Cook</t>
  </si>
  <si>
    <t>Anthony Mckenzie</t>
  </si>
  <si>
    <t>Tyrone Miller</t>
  </si>
  <si>
    <t>Jose Johnson</t>
  </si>
  <si>
    <t>Adam Smith</t>
  </si>
  <si>
    <t>Lisa Patel</t>
  </si>
  <si>
    <t>Deborah Jones</t>
  </si>
  <si>
    <t>James Adams</t>
  </si>
  <si>
    <t>Kathryn Kemp</t>
  </si>
  <si>
    <t>Thomas Moore</t>
  </si>
  <si>
    <t>Jonathan Villa</t>
  </si>
  <si>
    <t>Samuel Wright</t>
  </si>
  <si>
    <t>Anna Jacobson</t>
  </si>
  <si>
    <t>Jared Gomez</t>
  </si>
  <si>
    <t>David Hernandez</t>
  </si>
  <si>
    <t>Nicholas Turner</t>
  </si>
  <si>
    <t>Duane Larson</t>
  </si>
  <si>
    <t>Morgan Williams</t>
  </si>
  <si>
    <t>Ricardo Parker</t>
  </si>
  <si>
    <t>Jordan Cooper</t>
  </si>
  <si>
    <t>Michael Sanchez</t>
  </si>
  <si>
    <t>Madison Johnson</t>
  </si>
  <si>
    <t>Kathryn Cox</t>
  </si>
  <si>
    <t>Anna Lee</t>
  </si>
  <si>
    <t>Derrick Carr</t>
  </si>
  <si>
    <t>Brandi Matthews</t>
  </si>
  <si>
    <t>Mary Anderson</t>
  </si>
  <si>
    <t>Vernon Hicks</t>
  </si>
  <si>
    <t>Gail Aguilar</t>
  </si>
  <si>
    <t>Danielle Craig</t>
  </si>
  <si>
    <t>Jonathon Wagner</t>
  </si>
  <si>
    <t>Amy Delgado</t>
  </si>
  <si>
    <t>Kelly Hayes</t>
  </si>
  <si>
    <t>Douglas Summers</t>
  </si>
  <si>
    <t>Eugene Miller</t>
  </si>
  <si>
    <t>Eric Schultz</t>
  </si>
  <si>
    <t>Beth Wheeler</t>
  </si>
  <si>
    <t>Daniel Stephenson</t>
  </si>
  <si>
    <t>Emily Cook</t>
  </si>
  <si>
    <t>James Houston</t>
  </si>
  <si>
    <t>James Perry</t>
  </si>
  <si>
    <t>Heather Huerta</t>
  </si>
  <si>
    <t>Jill Bryant</t>
  </si>
  <si>
    <t>Elizabeth Jones</t>
  </si>
  <si>
    <t>Kelly Santiago</t>
  </si>
  <si>
    <t>Kimberly Sherman</t>
  </si>
  <si>
    <t>Joshua Harper</t>
  </si>
  <si>
    <t>Maria Washington</t>
  </si>
  <si>
    <t>Lauren Hughes</t>
  </si>
  <si>
    <t>Elaine Mejia</t>
  </si>
  <si>
    <t>Lisa Williams</t>
  </si>
  <si>
    <t>Rebecca Mccoy</t>
  </si>
  <si>
    <t>Summer Mitchell</t>
  </si>
  <si>
    <t>Mark Gibson</t>
  </si>
  <si>
    <t>Natasha Haas</t>
  </si>
  <si>
    <t>Samantha Williams</t>
  </si>
  <si>
    <t>Roberto Brown</t>
  </si>
  <si>
    <t>Carla Fox</t>
  </si>
  <si>
    <t>Brandy Fuentes</t>
  </si>
  <si>
    <t>Jordan Lloyd</t>
  </si>
  <si>
    <t>Alan Combs</t>
  </si>
  <si>
    <t>Jamie Martinez</t>
  </si>
  <si>
    <t>Carla Kelly</t>
  </si>
  <si>
    <t>Alex Edwards</t>
  </si>
  <si>
    <t>Lauren Dalton</t>
  </si>
  <si>
    <t>Elizabeth Osborn</t>
  </si>
  <si>
    <t>Catherine Fuller</t>
  </si>
  <si>
    <t>Brandon Thomas</t>
  </si>
  <si>
    <t>Erika Hughes</t>
  </si>
  <si>
    <t>Matthew Lee</t>
  </si>
  <si>
    <t>Randy Jordan</t>
  </si>
  <si>
    <t>Steven Page</t>
  </si>
  <si>
    <t>Anna Holmes</t>
  </si>
  <si>
    <t>Jerome Walker</t>
  </si>
  <si>
    <t>Mr. Thomas Jacobs</t>
  </si>
  <si>
    <t>Shawna Holloway</t>
  </si>
  <si>
    <t>Gabrielle Mitchell</t>
  </si>
  <si>
    <t>Terry Hudson</t>
  </si>
  <si>
    <t>Mark Heath</t>
  </si>
  <si>
    <t>David Morales</t>
  </si>
  <si>
    <t>Richard Gonzalez</t>
  </si>
  <si>
    <t>Nathan Adams</t>
  </si>
  <si>
    <t>David Alvarez</t>
  </si>
  <si>
    <t>Christine Powers</t>
  </si>
  <si>
    <t>Brandon Wood</t>
  </si>
  <si>
    <t>Andrew Buchanan</t>
  </si>
  <si>
    <t>Gerald Roberts</t>
  </si>
  <si>
    <t>Veronica Jones</t>
  </si>
  <si>
    <t>Jason Rodriguez</t>
  </si>
  <si>
    <t>Michelle Nguyen</t>
  </si>
  <si>
    <t>Pamela Lopez</t>
  </si>
  <si>
    <t>Gary Holmes</t>
  </si>
  <si>
    <t>Beverly Mcknight</t>
  </si>
  <si>
    <t>Rose Brooks</t>
  </si>
  <si>
    <t>Veronica Roman</t>
  </si>
  <si>
    <t>David James</t>
  </si>
  <si>
    <t>Michael Nielsen</t>
  </si>
  <si>
    <t>Anthony Gilbert</t>
  </si>
  <si>
    <t>Jeffery Schneider</t>
  </si>
  <si>
    <t>Benjamin Mills</t>
  </si>
  <si>
    <t>Kirk Brooks</t>
  </si>
  <si>
    <t>Angela Blackwell</t>
  </si>
  <si>
    <t>Alex Knapp</t>
  </si>
  <si>
    <t>Tammy English</t>
  </si>
  <si>
    <t>Tammy Gonzalez DDS</t>
  </si>
  <si>
    <t>Pamela Thompson</t>
  </si>
  <si>
    <t>Rachel Hicks</t>
  </si>
  <si>
    <t>Katrina Stevenson</t>
  </si>
  <si>
    <t>George Torres</t>
  </si>
  <si>
    <t>Isabella Rivera</t>
  </si>
  <si>
    <t>Amanda Dunlap</t>
  </si>
  <si>
    <t>Andrea Beasley</t>
  </si>
  <si>
    <t>Brittany Stone</t>
  </si>
  <si>
    <t>Joel Ayala</t>
  </si>
  <si>
    <t>Sylvia Cordova</t>
  </si>
  <si>
    <t>Eddie Newman</t>
  </si>
  <si>
    <t>Patricia Gonzalez</t>
  </si>
  <si>
    <t>Susan Wilson</t>
  </si>
  <si>
    <t>Deborah Patterson</t>
  </si>
  <si>
    <t>Kyle Moore</t>
  </si>
  <si>
    <t>Jackie Rivera</t>
  </si>
  <si>
    <t>Steven Schmitt</t>
  </si>
  <si>
    <t>Denise Daniel</t>
  </si>
  <si>
    <t>Nicholas Huber</t>
  </si>
  <si>
    <t>Ashley Delgado</t>
  </si>
  <si>
    <t>Michelle Ashley</t>
  </si>
  <si>
    <t>Christopher Valenzuela</t>
  </si>
  <si>
    <t>Charles Greer</t>
  </si>
  <si>
    <t>Alexandra Meza</t>
  </si>
  <si>
    <t>Jennifer Chambers</t>
  </si>
  <si>
    <t>Tracy Chandler</t>
  </si>
  <si>
    <t>Andrew Romero</t>
  </si>
  <si>
    <t>Jeff Johnson</t>
  </si>
  <si>
    <t>Stephanie Stewart</t>
  </si>
  <si>
    <t>Stephanie Mendoza</t>
  </si>
  <si>
    <t>Terrance Rios</t>
  </si>
  <si>
    <t>Marissa Riddle</t>
  </si>
  <si>
    <t>Susan Eaton</t>
  </si>
  <si>
    <t>Jeremy Powell</t>
  </si>
  <si>
    <t>Gregory Monroe</t>
  </si>
  <si>
    <t>Diamond King</t>
  </si>
  <si>
    <t>Peter Potter</t>
  </si>
  <si>
    <t>Seth Davies</t>
  </si>
  <si>
    <t>Robert Bullock</t>
  </si>
  <si>
    <t>Cameron Yoder</t>
  </si>
  <si>
    <t>Laurie Gonzalez</t>
  </si>
  <si>
    <t>Rachel Hudson</t>
  </si>
  <si>
    <t>Katherine Mcdaniel</t>
  </si>
  <si>
    <t>Sheila Horn</t>
  </si>
  <si>
    <t>Tommy Neal</t>
  </si>
  <si>
    <t>Mrs. Samantha Brooks</t>
  </si>
  <si>
    <t>Brittany Sanchez</t>
  </si>
  <si>
    <t>Jaime Gallagher</t>
  </si>
  <si>
    <t>Valerie Malone</t>
  </si>
  <si>
    <t>Helen Ball</t>
  </si>
  <si>
    <t>Susan Ford</t>
  </si>
  <si>
    <t>Mark Jones</t>
  </si>
  <si>
    <t>Allison Grant</t>
  </si>
  <si>
    <t>Dr. David Ramirez Jr.</t>
  </si>
  <si>
    <t>Donna Kemp</t>
  </si>
  <si>
    <t>Kimberly Christensen</t>
  </si>
  <si>
    <t>Philip Keller</t>
  </si>
  <si>
    <t>Dana Bender</t>
  </si>
  <si>
    <t>Kevin Frye</t>
  </si>
  <si>
    <t>Michael Downs</t>
  </si>
  <si>
    <t>Christine Anderson</t>
  </si>
  <si>
    <t>Emma Waller</t>
  </si>
  <si>
    <t>Kelsey Miller</t>
  </si>
  <si>
    <t>Stacey Gonzalez</t>
  </si>
  <si>
    <t>Bethany Guerra</t>
  </si>
  <si>
    <t>Gregory Black</t>
  </si>
  <si>
    <t>Mark Montgomery</t>
  </si>
  <si>
    <t>Christopher Rodriguez</t>
  </si>
  <si>
    <t>Jordan Howard</t>
  </si>
  <si>
    <t>Charles Black</t>
  </si>
  <si>
    <t>Patricia Vega DVM</t>
  </si>
  <si>
    <t>Megan White</t>
  </si>
  <si>
    <t>Jeff Dixon</t>
  </si>
  <si>
    <t>Henry Khan</t>
  </si>
  <si>
    <t>William Cox</t>
  </si>
  <si>
    <t>Karen Johnson</t>
  </si>
  <si>
    <t>James Reed</t>
  </si>
  <si>
    <t>Darrell Williams</t>
  </si>
  <si>
    <t>Paul Sloan</t>
  </si>
  <si>
    <t>Danielle Manning</t>
  </si>
  <si>
    <t>Michele Green MD</t>
  </si>
  <si>
    <t>Debra Hutchinson</t>
  </si>
  <si>
    <t>Lauren Ray</t>
  </si>
  <si>
    <t>Anna Jenkins</t>
  </si>
  <si>
    <t>Sarah Johnston</t>
  </si>
  <si>
    <t>Donna Rodriguez</t>
  </si>
  <si>
    <t>Gabriel Adams</t>
  </si>
  <si>
    <t>Tracy Burns</t>
  </si>
  <si>
    <t>Wendy Burton</t>
  </si>
  <si>
    <t>Michael Roman</t>
  </si>
  <si>
    <t>Michael Shaw</t>
  </si>
  <si>
    <t>Matthew Flores</t>
  </si>
  <si>
    <t>Ernest Farley</t>
  </si>
  <si>
    <t>Alexander Robertson</t>
  </si>
  <si>
    <t>Mikayla Davila</t>
  </si>
  <si>
    <t>Jennifer Neal</t>
  </si>
  <si>
    <t>Jared Elliott</t>
  </si>
  <si>
    <t>Mary Hinton</t>
  </si>
  <si>
    <t>Susan Norris</t>
  </si>
  <si>
    <t>Christine Jackson</t>
  </si>
  <si>
    <t>Brooke Brown</t>
  </si>
  <si>
    <t>Patrick Burnett</t>
  </si>
  <si>
    <t>Tara Johnson DVM</t>
  </si>
  <si>
    <t>William Ward</t>
  </si>
  <si>
    <t>Amanda Adams</t>
  </si>
  <si>
    <t>Daniel Forbes</t>
  </si>
  <si>
    <t>Kristin Kelly</t>
  </si>
  <si>
    <t>Anthony Scott</t>
  </si>
  <si>
    <t>Norman Combs</t>
  </si>
  <si>
    <t>Derrick Palmer</t>
  </si>
  <si>
    <t>Jennifer Chapman</t>
  </si>
  <si>
    <t>Michael Gonzalez</t>
  </si>
  <si>
    <t>Amy Salazar</t>
  </si>
  <si>
    <t>Timothy Murray</t>
  </si>
  <si>
    <t>Julie Fletcher</t>
  </si>
  <si>
    <t>David Martinez</t>
  </si>
  <si>
    <t>Isabella Boyd</t>
  </si>
  <si>
    <t>Matthew Stewart</t>
  </si>
  <si>
    <t>David Smith</t>
  </si>
  <si>
    <t>Jesse Stuart</t>
  </si>
  <si>
    <t>Veronica Pacheco</t>
  </si>
  <si>
    <t>Sabrina Owens</t>
  </si>
  <si>
    <t>Laura Acevedo</t>
  </si>
  <si>
    <t>Carrie Kline</t>
  </si>
  <si>
    <t>Gary Montgomery</t>
  </si>
  <si>
    <t>Jamie Perkins</t>
  </si>
  <si>
    <t>Glenda Gibson</t>
  </si>
  <si>
    <t>Robert Walker</t>
  </si>
  <si>
    <t>Abigail Garcia</t>
  </si>
  <si>
    <t>Jordan Horn MD</t>
  </si>
  <si>
    <t>Johnathan Young</t>
  </si>
  <si>
    <t>Stephanie Webb</t>
  </si>
  <si>
    <t>Gary Douglas</t>
  </si>
  <si>
    <t>Claudia Torres</t>
  </si>
  <si>
    <t>Haley Cochran</t>
  </si>
  <si>
    <t>David Brandt</t>
  </si>
  <si>
    <t>Tara Weeks</t>
  </si>
  <si>
    <t>Vanessa Franco</t>
  </si>
  <si>
    <t>Karen Harris</t>
  </si>
  <si>
    <t>Micheal Knapp</t>
  </si>
  <si>
    <t>Christina Espinoza</t>
  </si>
  <si>
    <t>Tiffany Crawford</t>
  </si>
  <si>
    <t>Heather Hanson</t>
  </si>
  <si>
    <t>Gary Hoffman</t>
  </si>
  <si>
    <t>Eric Bauer</t>
  </si>
  <si>
    <t>John Morris</t>
  </si>
  <si>
    <t>Glenn Garcia</t>
  </si>
  <si>
    <t>Vicki Bruce</t>
  </si>
  <si>
    <t>Tracey Elliott</t>
  </si>
  <si>
    <t>Megan Welch</t>
  </si>
  <si>
    <t>Mary Jackson</t>
  </si>
  <si>
    <t>Steven Vasquez</t>
  </si>
  <si>
    <t>Jesus Mason</t>
  </si>
  <si>
    <t>Jordan Lawson</t>
  </si>
  <si>
    <t>Jennifer Bell</t>
  </si>
  <si>
    <t>Laurie Mcdaniel</t>
  </si>
  <si>
    <t>Jonathan Carter</t>
  </si>
  <si>
    <t>Barry Hamilton</t>
  </si>
  <si>
    <t>Cameron Galvan</t>
  </si>
  <si>
    <t>Sean Graves</t>
  </si>
  <si>
    <t>James Stanton</t>
  </si>
  <si>
    <t>Roger Combs</t>
  </si>
  <si>
    <t>James Bartlett</t>
  </si>
  <si>
    <t>Madison Lewis</t>
  </si>
  <si>
    <t>Jennifer Pope</t>
  </si>
  <si>
    <t>Nathan Lee</t>
  </si>
  <si>
    <t>Phillip Mccoy</t>
  </si>
  <si>
    <t>Danielle Morgan</t>
  </si>
  <si>
    <t>Joseph Matthews</t>
  </si>
  <si>
    <t>Gregg Fox</t>
  </si>
  <si>
    <t>Christopher Patterson</t>
  </si>
  <si>
    <t>Kerry Johnson</t>
  </si>
  <si>
    <t>Nicholas Patterson MD</t>
  </si>
  <si>
    <t>Holly Thompson</t>
  </si>
  <si>
    <t>Karen Elliott</t>
  </si>
  <si>
    <t>Nathan Jones</t>
  </si>
  <si>
    <t>Christina Pena</t>
  </si>
  <si>
    <t>Christian Stewart</t>
  </si>
  <si>
    <t>Rebecca Marshall</t>
  </si>
  <si>
    <t>Monica Harrell</t>
  </si>
  <si>
    <t>Ashley Williams</t>
  </si>
  <si>
    <t>Michael Cardenas</t>
  </si>
  <si>
    <t>Amanda Wallace</t>
  </si>
  <si>
    <t>Jennifer Carlson</t>
  </si>
  <si>
    <t>Margaret Vaughn</t>
  </si>
  <si>
    <t>Virginia Gomez</t>
  </si>
  <si>
    <t>Robert Holden</t>
  </si>
  <si>
    <t>Candace Ruiz</t>
  </si>
  <si>
    <t>Alexandra Garcia</t>
  </si>
  <si>
    <t>Rachel Ramirez</t>
  </si>
  <si>
    <t>Jasmine Brooks</t>
  </si>
  <si>
    <t>Luis Conway</t>
  </si>
  <si>
    <t>Marie King</t>
  </si>
  <si>
    <t>Katherine Daniel</t>
  </si>
  <si>
    <t>Kimberly Shelton</t>
  </si>
  <si>
    <t>Andrea Scott</t>
  </si>
  <si>
    <t>Kathleen Wolfe</t>
  </si>
  <si>
    <t>Steven Baker</t>
  </si>
  <si>
    <t>Craig Martin</t>
  </si>
  <si>
    <t>Julie Cox</t>
  </si>
  <si>
    <t>Joseph Ramsey</t>
  </si>
  <si>
    <t>Tina Martinez</t>
  </si>
  <si>
    <t>Carrie Chavez</t>
  </si>
  <si>
    <t>Sarah Oneill</t>
  </si>
  <si>
    <t>Meghan Green</t>
  </si>
  <si>
    <t>Sandra Mcintyre</t>
  </si>
  <si>
    <t>Cody Garcia</t>
  </si>
  <si>
    <t>Brittney Barr</t>
  </si>
  <si>
    <t>Christine Perkins</t>
  </si>
  <si>
    <t>Michelle Payne</t>
  </si>
  <si>
    <t>Micheal Stewart</t>
  </si>
  <si>
    <t>Anthony Wilson</t>
  </si>
  <si>
    <t>Marie Cole</t>
  </si>
  <si>
    <t>Richard Reid</t>
  </si>
  <si>
    <t>Shawn Williams</t>
  </si>
  <si>
    <t>Joyce Gross</t>
  </si>
  <si>
    <t>Jesse Reilly</t>
  </si>
  <si>
    <t>Daniel Cox</t>
  </si>
  <si>
    <t>Kelly Evans</t>
  </si>
  <si>
    <t>Michael Price</t>
  </si>
  <si>
    <t>Melissa Roberts</t>
  </si>
  <si>
    <t>Mary Burns</t>
  </si>
  <si>
    <t>Kevin Lozano</t>
  </si>
  <si>
    <t>Troy Hamilton</t>
  </si>
  <si>
    <t>Jason Dalton</t>
  </si>
  <si>
    <t>David Carroll</t>
  </si>
  <si>
    <t>Lucas Ingram</t>
  </si>
  <si>
    <t>David Woods</t>
  </si>
  <si>
    <t>Jonathan Smith</t>
  </si>
  <si>
    <t>Joshua Turner</t>
  </si>
  <si>
    <t>Deborah Bryan</t>
  </si>
  <si>
    <t>Cynthia Adams</t>
  </si>
  <si>
    <t>Suzanne May</t>
  </si>
  <si>
    <t>Brandy Perez</t>
  </si>
  <si>
    <t>Kari Evans</t>
  </si>
  <si>
    <t>James Miller</t>
  </si>
  <si>
    <t>Sean Price</t>
  </si>
  <si>
    <t>Carla Young</t>
  </si>
  <si>
    <t>Raymond Allen</t>
  </si>
  <si>
    <t>Sean Brown</t>
  </si>
  <si>
    <t>Luis Nelson</t>
  </si>
  <si>
    <t>Ashley Hunter</t>
  </si>
  <si>
    <t>David Rivera</t>
  </si>
  <si>
    <t>James Sullivan</t>
  </si>
  <si>
    <t>April Moore MD</t>
  </si>
  <si>
    <t>Lori Richards</t>
  </si>
  <si>
    <t>Breanna Pierce</t>
  </si>
  <si>
    <t>Thomas Young</t>
  </si>
  <si>
    <t>Amy Smith</t>
  </si>
  <si>
    <t>Carla Williams</t>
  </si>
  <si>
    <t>Christy Ayala</t>
  </si>
  <si>
    <t>Christina Hatfield</t>
  </si>
  <si>
    <t>Christopher Zavala</t>
  </si>
  <si>
    <t>Cindy Carey</t>
  </si>
  <si>
    <t>Reginald Turner</t>
  </si>
  <si>
    <t>Gary Brown</t>
  </si>
  <si>
    <t>Michelle Taylor</t>
  </si>
  <si>
    <t>Megan Delacruz</t>
  </si>
  <si>
    <t>James Wright</t>
  </si>
  <si>
    <t>Anthony Young</t>
  </si>
  <si>
    <t>Kristina Pena</t>
  </si>
  <si>
    <t>Dana Massey</t>
  </si>
  <si>
    <t>Wendy Boyd</t>
  </si>
  <si>
    <t>Karen Douglas</t>
  </si>
  <si>
    <t>Ryan Williams</t>
  </si>
  <si>
    <t>Ellen Roberts</t>
  </si>
  <si>
    <t>Stacy Jones</t>
  </si>
  <si>
    <t>Robert Shepherd</t>
  </si>
  <si>
    <t>Austin Johnson</t>
  </si>
  <si>
    <t>Tammy Leonard</t>
  </si>
  <si>
    <t>William Carpenter</t>
  </si>
  <si>
    <t>Natalie Rice</t>
  </si>
  <si>
    <t>John Wells</t>
  </si>
  <si>
    <t>Laurie Ford</t>
  </si>
  <si>
    <t>Emily Huff</t>
  </si>
  <si>
    <t>Matthew Mendez</t>
  </si>
  <si>
    <t>Rhonda Briggs</t>
  </si>
  <si>
    <t>Amy Ward</t>
  </si>
  <si>
    <t>Tina Williams</t>
  </si>
  <si>
    <t>Cory Ortiz</t>
  </si>
  <si>
    <t>Amy Monroe</t>
  </si>
  <si>
    <t>Bryan Lee</t>
  </si>
  <si>
    <t>Donna Martin</t>
  </si>
  <si>
    <t>Mary Jones</t>
  </si>
  <si>
    <t>Mr. Richard Lester</t>
  </si>
  <si>
    <t>Nancy Martin</t>
  </si>
  <si>
    <t>Lori Adams</t>
  </si>
  <si>
    <t>Michelle Rodriguez</t>
  </si>
  <si>
    <t>Randy Rodriguez</t>
  </si>
  <si>
    <t>Sara Love</t>
  </si>
  <si>
    <t>John Reynolds</t>
  </si>
  <si>
    <t>Jared Trujillo</t>
  </si>
  <si>
    <t>Roberto Mills</t>
  </si>
  <si>
    <t>Tony Brooks</t>
  </si>
  <si>
    <t>Nicholas Howard</t>
  </si>
  <si>
    <t>Robert Gray</t>
  </si>
  <si>
    <t>Brandy Hess</t>
  </si>
  <si>
    <t>Jennifer Hale</t>
  </si>
  <si>
    <t>David Hayden</t>
  </si>
  <si>
    <t>Jason Perez</t>
  </si>
  <si>
    <t>Jared Hansen</t>
  </si>
  <si>
    <t>Christopher Williams</t>
  </si>
  <si>
    <t>Sarah Gomez</t>
  </si>
  <si>
    <t>Molly Jordan</t>
  </si>
  <si>
    <t>Nicole Montgomery</t>
  </si>
  <si>
    <t>Laura Vega</t>
  </si>
  <si>
    <t>Felicia Smith</t>
  </si>
  <si>
    <t>Loretta Reyes</t>
  </si>
  <si>
    <t>Daniel Murphy</t>
  </si>
  <si>
    <t>Karen Reese</t>
  </si>
  <si>
    <t>Robert King</t>
  </si>
  <si>
    <t>Stephen Mcgrath</t>
  </si>
  <si>
    <t>Philip Anderson</t>
  </si>
  <si>
    <t>Billy Sanders</t>
  </si>
  <si>
    <t>Sabrina May</t>
  </si>
  <si>
    <t>Melissa Nash</t>
  </si>
  <si>
    <t>Lawrence Rice</t>
  </si>
  <si>
    <t>Alvin Bates</t>
  </si>
  <si>
    <t>Joseph Green</t>
  </si>
  <si>
    <t>Michael Johnston</t>
  </si>
  <si>
    <t>Ricky Smith</t>
  </si>
  <si>
    <t>Jennifer Harris</t>
  </si>
  <si>
    <t>Dana Bowman</t>
  </si>
  <si>
    <t>Sierra Orozco</t>
  </si>
  <si>
    <t>Dr. Nathaniel Frost Jr.</t>
  </si>
  <si>
    <t>Christopher Collins</t>
  </si>
  <si>
    <t>Hector Harris</t>
  </si>
  <si>
    <t>Scott Sanchez</t>
  </si>
  <si>
    <t>Mrs. Annette Barnes MD</t>
  </si>
  <si>
    <t>Samuel Good</t>
  </si>
  <si>
    <t>Michael Ware</t>
  </si>
  <si>
    <t>Darin Torres</t>
  </si>
  <si>
    <t>Kathleen Taylor</t>
  </si>
  <si>
    <t>Ryan Hart</t>
  </si>
  <si>
    <t>Gregory Vang</t>
  </si>
  <si>
    <t>Patrick Lee</t>
  </si>
  <si>
    <t>Ricardo Wade</t>
  </si>
  <si>
    <t>Brenda Brown</t>
  </si>
  <si>
    <t>Wayne Colon</t>
  </si>
  <si>
    <t>Chloe Mills</t>
  </si>
  <si>
    <t>Andrew Rivera</t>
  </si>
  <si>
    <t>Scott Wagner</t>
  </si>
  <si>
    <t>Taylor Murphy</t>
  </si>
  <si>
    <t>Destiny Garcia</t>
  </si>
  <si>
    <t>Debbie Scott</t>
  </si>
  <si>
    <t>Monica Choi</t>
  </si>
  <si>
    <t>Charles Anderson</t>
  </si>
  <si>
    <t>Michael Carter DDS</t>
  </si>
  <si>
    <t>Francisco Green</t>
  </si>
  <si>
    <t>Tina Rivera</t>
  </si>
  <si>
    <t>Shannon Morris</t>
  </si>
  <si>
    <t>Erica Simpson</t>
  </si>
  <si>
    <t>Ryan Smith</t>
  </si>
  <si>
    <t>Rachel Thomas</t>
  </si>
  <si>
    <t>Kenneth Conley</t>
  </si>
  <si>
    <t>Alicia Cline</t>
  </si>
  <si>
    <t>Carlos Reilly</t>
  </si>
  <si>
    <t>Bryan Clements</t>
  </si>
  <si>
    <t>Todd Pearson</t>
  </si>
  <si>
    <t>Claudia Lambert</t>
  </si>
  <si>
    <t>Karen Gallegos</t>
  </si>
  <si>
    <t>Christine Skinner</t>
  </si>
  <si>
    <t>Blake Mcdaniel</t>
  </si>
  <si>
    <t>Julie Spence</t>
  </si>
  <si>
    <t>Ms. Brandy Robinson</t>
  </si>
  <si>
    <t>Amanda Bass</t>
  </si>
  <si>
    <t>Tanya Smith</t>
  </si>
  <si>
    <t>Amy Torres</t>
  </si>
  <si>
    <t>Katrina Black</t>
  </si>
  <si>
    <t>Cynthia Green DDS</t>
  </si>
  <si>
    <t>Andrea Newman</t>
  </si>
  <si>
    <t>Nicholas Jones</t>
  </si>
  <si>
    <t>Mary Moore</t>
  </si>
  <si>
    <t>Juan Stanley</t>
  </si>
  <si>
    <t>Ronald Nolan</t>
  </si>
  <si>
    <t>Philip Watts</t>
  </si>
  <si>
    <t>Audrey Aguilar</t>
  </si>
  <si>
    <t>Larry Blake</t>
  </si>
  <si>
    <t>Jenna Brown</t>
  </si>
  <si>
    <t>Tara Martin</t>
  </si>
  <si>
    <t>Holly Henry</t>
  </si>
  <si>
    <t>Donna Koch</t>
  </si>
  <si>
    <t>Michael Stephens</t>
  </si>
  <si>
    <t>Laura Guzman</t>
  </si>
  <si>
    <t>Charles Mcdonald</t>
  </si>
  <si>
    <t>Debra Wise</t>
  </si>
  <si>
    <t>Clayton Cain</t>
  </si>
  <si>
    <t>David King</t>
  </si>
  <si>
    <t>Vanessa Jacobs</t>
  </si>
  <si>
    <t>Michael Huang</t>
  </si>
  <si>
    <t>John Ritter</t>
  </si>
  <si>
    <t>Jennifer Meza</t>
  </si>
  <si>
    <t>Sean Boone</t>
  </si>
  <si>
    <t>Sarah Long</t>
  </si>
  <si>
    <t>Elizabeth Vaughan</t>
  </si>
  <si>
    <t>Patricia Moore</t>
  </si>
  <si>
    <t>Laurie Mckenzie</t>
  </si>
  <si>
    <t>Jeanne Trevino</t>
  </si>
  <si>
    <t>Juan Brown</t>
  </si>
  <si>
    <t>Christopher Wright</t>
  </si>
  <si>
    <t>Carrie Hodges</t>
  </si>
  <si>
    <t>Tanya Benitez</t>
  </si>
  <si>
    <t>Rebecca Deleon</t>
  </si>
  <si>
    <t>Max Swanson</t>
  </si>
  <si>
    <t>Joseph Reyes</t>
  </si>
  <si>
    <t>Luis Wright</t>
  </si>
  <si>
    <t>Brenda Tran</t>
  </si>
  <si>
    <t>Madeline Bass</t>
  </si>
  <si>
    <t>Barbara Gordon</t>
  </si>
  <si>
    <t>Timothy Christensen</t>
  </si>
  <si>
    <t>Scott Cruz</t>
  </si>
  <si>
    <t>Walter Hardy</t>
  </si>
  <si>
    <t>Lauren Smith</t>
  </si>
  <si>
    <t>Diana Hudson</t>
  </si>
  <si>
    <t>Mr. Donald Ramirez MD</t>
  </si>
  <si>
    <t>Harry Knox</t>
  </si>
  <si>
    <t>Daniel Freeman</t>
  </si>
  <si>
    <t>Jillian Thomas</t>
  </si>
  <si>
    <t>Juan Carney</t>
  </si>
  <si>
    <t>Courtney Walker</t>
  </si>
  <si>
    <t>Eric Garcia</t>
  </si>
  <si>
    <t>Luis Holt</t>
  </si>
  <si>
    <t>Kimberly Carr</t>
  </si>
  <si>
    <t>Gary Smith</t>
  </si>
  <si>
    <t>Cody York</t>
  </si>
  <si>
    <t>Amanda Pierce</t>
  </si>
  <si>
    <t>Frank Edwards</t>
  </si>
  <si>
    <t>Dr. Lawrence Gates</t>
  </si>
  <si>
    <t>Julie Jenkins</t>
  </si>
  <si>
    <t>Mr. Michael Orr</t>
  </si>
  <si>
    <t>Michelle Thomas</t>
  </si>
  <si>
    <t>David Blake</t>
  </si>
  <si>
    <t>Lisa Jenkins</t>
  </si>
  <si>
    <t>Rhonda Dominguez</t>
  </si>
  <si>
    <t>Andrea Wall</t>
  </si>
  <si>
    <t>Victor Mccarthy</t>
  </si>
  <si>
    <t>Robert Watson</t>
  </si>
  <si>
    <t>Andre Jackson</t>
  </si>
  <si>
    <t>Daniel Elliott</t>
  </si>
  <si>
    <t>Kelly Carrillo</t>
  </si>
  <si>
    <t>Rebecca Taylor</t>
  </si>
  <si>
    <t>Mike Butler</t>
  </si>
  <si>
    <t>Juan Marsh</t>
  </si>
  <si>
    <t>Sara Holland</t>
  </si>
  <si>
    <t>Scott Gutierrez</t>
  </si>
  <si>
    <t>Lori Shaffer</t>
  </si>
  <si>
    <t>Michael Robinson</t>
  </si>
  <si>
    <t>Amanda Taylor</t>
  </si>
  <si>
    <t>Danielle Bennett</t>
  </si>
  <si>
    <t>Cody Leon</t>
  </si>
  <si>
    <t>Steven Rose</t>
  </si>
  <si>
    <t>Ryan Cannon</t>
  </si>
  <si>
    <t>Sandra Randall</t>
  </si>
  <si>
    <t>Bobby Maldonado</t>
  </si>
  <si>
    <t>Meghan Andrews</t>
  </si>
  <si>
    <t>Tami Boyd</t>
  </si>
  <si>
    <t>Edward Rivers</t>
  </si>
  <si>
    <t>Sean Scott</t>
  </si>
  <si>
    <t>Dr. Daniel Cox</t>
  </si>
  <si>
    <t>Kelly Davis</t>
  </si>
  <si>
    <t>Dakota Smith</t>
  </si>
  <si>
    <t>Denise Ruiz</t>
  </si>
  <si>
    <t>Mr. Joseph Perez</t>
  </si>
  <si>
    <t>Jamie Marshall</t>
  </si>
  <si>
    <t>Jerry Cervantes</t>
  </si>
  <si>
    <t>Kristin Horton</t>
  </si>
  <si>
    <t>Lauren Cross</t>
  </si>
  <si>
    <t>Hector Campbell</t>
  </si>
  <si>
    <t>Bradley Fernandez</t>
  </si>
  <si>
    <t>James Blair</t>
  </si>
  <si>
    <t>Jonathan Fitzgerald</t>
  </si>
  <si>
    <t>Megan Adams</t>
  </si>
  <si>
    <t>Amanda Gonzales</t>
  </si>
  <si>
    <t>Mario Johnson PhD</t>
  </si>
  <si>
    <t>David Mcneil</t>
  </si>
  <si>
    <t>Jesus Owens</t>
  </si>
  <si>
    <t>Wesley Meyer</t>
  </si>
  <si>
    <t>Mr. James Gonzales</t>
  </si>
  <si>
    <t>Rebecca Leon</t>
  </si>
  <si>
    <t>Joseph Hurst</t>
  </si>
  <si>
    <t>Kenneth Young</t>
  </si>
  <si>
    <t>Edward Stewart</t>
  </si>
  <si>
    <t>Suzanne Gallegos</t>
  </si>
  <si>
    <t>Alex Thomas</t>
  </si>
  <si>
    <t>Sheryl Anderson</t>
  </si>
  <si>
    <t>Logan Hayden</t>
  </si>
  <si>
    <t>Patrick Sanders</t>
  </si>
  <si>
    <t>Daniel Henderson</t>
  </si>
  <si>
    <t>Kathleen Sanders</t>
  </si>
  <si>
    <t>Andrew Le</t>
  </si>
  <si>
    <t>Melissa Moore</t>
  </si>
  <si>
    <t>Darren Gregory</t>
  </si>
  <si>
    <t>Laura Skinner</t>
  </si>
  <si>
    <t>Cathy Colon</t>
  </si>
  <si>
    <t>Andrew Jackson</t>
  </si>
  <si>
    <t>Heidi Johnson</t>
  </si>
  <si>
    <t>Jocelyn Smith</t>
  </si>
  <si>
    <t>Erika Ferguson</t>
  </si>
  <si>
    <t>Paula Hale</t>
  </si>
  <si>
    <t>Samuel Lewis</t>
  </si>
  <si>
    <t>Eric Young</t>
  </si>
  <si>
    <t>Mrs. Danielle Mendoza MD</t>
  </si>
  <si>
    <t>Nathan Williams</t>
  </si>
  <si>
    <t>Jeffrey Rogers</t>
  </si>
  <si>
    <t>Richard Horn</t>
  </si>
  <si>
    <t>Andrew Randolph</t>
  </si>
  <si>
    <t>Peggy Smith</t>
  </si>
  <si>
    <t>Alan Hayes</t>
  </si>
  <si>
    <t>Terry King</t>
  </si>
  <si>
    <t>Christopher Washington</t>
  </si>
  <si>
    <t>Rachel Kramer</t>
  </si>
  <si>
    <t>Mr. Kevin Duncan</t>
  </si>
  <si>
    <t>Leah Powers</t>
  </si>
  <si>
    <t>Jennifer Ali</t>
  </si>
  <si>
    <t>Martin Hess</t>
  </si>
  <si>
    <t>Jillian Young</t>
  </si>
  <si>
    <t>Kelsey Ross</t>
  </si>
  <si>
    <t>Joshua Thompson</t>
  </si>
  <si>
    <t>Ashley Mcgee</t>
  </si>
  <si>
    <t>Wendy Sampson</t>
  </si>
  <si>
    <t>Victoria Baker</t>
  </si>
  <si>
    <t>Lindsay Anderson</t>
  </si>
  <si>
    <t>Kelly Ortiz</t>
  </si>
  <si>
    <t>Nicole Mcdonald</t>
  </si>
  <si>
    <t>Michael Hull</t>
  </si>
  <si>
    <t>Kimberly Brewer</t>
  </si>
  <si>
    <t>Nancy Carr</t>
  </si>
  <si>
    <t>Elizabeth Price</t>
  </si>
  <si>
    <t>Jeffrey Vargas</t>
  </si>
  <si>
    <t>Monique Lane</t>
  </si>
  <si>
    <t>Angela Cruz</t>
  </si>
  <si>
    <t>Amanda Hudson</t>
  </si>
  <si>
    <t>Rebecca Nielsen</t>
  </si>
  <si>
    <t>Meghan Knight</t>
  </si>
  <si>
    <t>Lauren Anthony</t>
  </si>
  <si>
    <t>Jillian Guerrero</t>
  </si>
  <si>
    <t>April Mendez</t>
  </si>
  <si>
    <t>Amy Pena</t>
  </si>
  <si>
    <t>Robert Griffin</t>
  </si>
  <si>
    <t>Shaun Smith</t>
  </si>
  <si>
    <t>Melissa Pierce</t>
  </si>
  <si>
    <t>Jamie Sanchez</t>
  </si>
  <si>
    <t>Donna Douglas</t>
  </si>
  <si>
    <t>Lindsey Winters</t>
  </si>
  <si>
    <t>Candace Lynch</t>
  </si>
  <si>
    <t>Michael Snyder DDS</t>
  </si>
  <si>
    <t>Franklin Rose</t>
  </si>
  <si>
    <t>Jennifer Davis</t>
  </si>
  <si>
    <t>Lori Taylor</t>
  </si>
  <si>
    <t>Thomas Cervantes</t>
  </si>
  <si>
    <t>Karen Castro</t>
  </si>
  <si>
    <t>Phillip Smith</t>
  </si>
  <si>
    <t>Dr. Anthony Johnson</t>
  </si>
  <si>
    <t>Mrs. Leslie Gillespie</t>
  </si>
  <si>
    <t>Robin Wagner</t>
  </si>
  <si>
    <t>Jennifer Calhoun</t>
  </si>
  <si>
    <t>Max Monroe</t>
  </si>
  <si>
    <t>Kristen Hill</t>
  </si>
  <si>
    <t>William Ortega</t>
  </si>
  <si>
    <t>Christopher Bright</t>
  </si>
  <si>
    <t>Rachael Gray</t>
  </si>
  <si>
    <t>Robert Lawson</t>
  </si>
  <si>
    <t>Jennifer Olson</t>
  </si>
  <si>
    <t>Sandra Foster</t>
  </si>
  <si>
    <t>Matthew Henson</t>
  </si>
  <si>
    <t>Virginia Bell</t>
  </si>
  <si>
    <t>Jennifer Park</t>
  </si>
  <si>
    <t>Amy Duke</t>
  </si>
  <si>
    <t>Michael Garcia</t>
  </si>
  <si>
    <t>Michael Russell</t>
  </si>
  <si>
    <t>Rebecca Hernandez</t>
  </si>
  <si>
    <t>William Jordan</t>
  </si>
  <si>
    <t>Brittany Hebert</t>
  </si>
  <si>
    <t>Dr. Sarah Soto</t>
  </si>
  <si>
    <t>Katherine Mendez</t>
  </si>
  <si>
    <t>Laura Branch</t>
  </si>
  <si>
    <t>Anthony Maynard</t>
  </si>
  <si>
    <t>Rebecca Ward</t>
  </si>
  <si>
    <t>John Stone</t>
  </si>
  <si>
    <t>Kathryn Thompson</t>
  </si>
  <si>
    <t>Brian Hunter</t>
  </si>
  <si>
    <t>Linda Hernandez</t>
  </si>
  <si>
    <t>Matthew Burke</t>
  </si>
  <si>
    <t>Nicholas Maynard</t>
  </si>
  <si>
    <t>Ronald Walker</t>
  </si>
  <si>
    <t>Elijah Wilson</t>
  </si>
  <si>
    <t>Bobby Morgan</t>
  </si>
  <si>
    <t>Sabrina Brown</t>
  </si>
  <si>
    <t>Lori Malone</t>
  </si>
  <si>
    <t>Frances Sanchez</t>
  </si>
  <si>
    <t>Deborah Daniels MD</t>
  </si>
  <si>
    <t>Nathan Gutierrez</t>
  </si>
  <si>
    <t>Matthew Tate</t>
  </si>
  <si>
    <t>Randy Lopez</t>
  </si>
  <si>
    <t>Julie Wilson</t>
  </si>
  <si>
    <t>Karen Mendez</t>
  </si>
  <si>
    <t>Caroline Diaz</t>
  </si>
  <si>
    <t>Jacqueline Brady</t>
  </si>
  <si>
    <t>Linda Harris</t>
  </si>
  <si>
    <t>John Martin</t>
  </si>
  <si>
    <t>William Cooper</t>
  </si>
  <si>
    <t>Brandi Brown</t>
  </si>
  <si>
    <t>Heather Diaz</t>
  </si>
  <si>
    <t>Scott Coleman</t>
  </si>
  <si>
    <t>Virginia Brown</t>
  </si>
  <si>
    <t>Michael Daniels</t>
  </si>
  <si>
    <t>Elizabeth Miller</t>
  </si>
  <si>
    <t>Kimberly Medina</t>
  </si>
  <si>
    <t>Brian Yates</t>
  </si>
  <si>
    <t>Christine Kelly</t>
  </si>
  <si>
    <t>Pamela Reyes</t>
  </si>
  <si>
    <t>Timothy Castillo</t>
  </si>
  <si>
    <t>Joshua Sims</t>
  </si>
  <si>
    <t>Jesse Johns</t>
  </si>
  <si>
    <t>Jennifer Johnson</t>
  </si>
  <si>
    <t>Brian Fields</t>
  </si>
  <si>
    <t>Christopher Owens</t>
  </si>
  <si>
    <t>Jo Hernandez</t>
  </si>
  <si>
    <t>Robert Mendez</t>
  </si>
  <si>
    <t>Kyle Joseph</t>
  </si>
  <si>
    <t>Larry Burke</t>
  </si>
  <si>
    <t>Ronald Hernandez</t>
  </si>
  <si>
    <t>Jenny Wilcox MD</t>
  </si>
  <si>
    <t>Nicole Holloway</t>
  </si>
  <si>
    <t>Erica Olson</t>
  </si>
  <si>
    <t>Christine Maldonado</t>
  </si>
  <si>
    <t>Ms. Jessica Edwards</t>
  </si>
  <si>
    <t>Teresa Maldonado</t>
  </si>
  <si>
    <t>Kelly Miles</t>
  </si>
  <si>
    <t>Benjamin Rodriguez</t>
  </si>
  <si>
    <t>Fred Stone</t>
  </si>
  <si>
    <t>Nicole Wallace</t>
  </si>
  <si>
    <t>Jennifer Smith</t>
  </si>
  <si>
    <t>Joyce Johnson</t>
  </si>
  <si>
    <t>Amy Christensen</t>
  </si>
  <si>
    <t>Lori Johnson</t>
  </si>
  <si>
    <t>Stephanie Diaz</t>
  </si>
  <si>
    <t>Jose Howe</t>
  </si>
  <si>
    <t>Christina Allison</t>
  </si>
  <si>
    <t>Arthur Hale</t>
  </si>
  <si>
    <t>Jerry Martinez</t>
  </si>
  <si>
    <t>Samantha Kline</t>
  </si>
  <si>
    <t>Mary Perez</t>
  </si>
  <si>
    <t>Dr. Michael Austin</t>
  </si>
  <si>
    <t>Jimmy Schneider</t>
  </si>
  <si>
    <t>Larry Francis</t>
  </si>
  <si>
    <t>Diana Hernandez</t>
  </si>
  <si>
    <t>Elizabeth Baker</t>
  </si>
  <si>
    <t>Jason Moore</t>
  </si>
  <si>
    <t>Robert Thomas</t>
  </si>
  <si>
    <t>Nathan Burns</t>
  </si>
  <si>
    <t>Shelley Bird</t>
  </si>
  <si>
    <t>Jacqueline Bryant</t>
  </si>
  <si>
    <t>Priscilla Lopez</t>
  </si>
  <si>
    <t>Carlos Price</t>
  </si>
  <si>
    <t>Daniel Ramos</t>
  </si>
  <si>
    <t>James Torres</t>
  </si>
  <si>
    <t>Jennifer Dougherty</t>
  </si>
  <si>
    <t>Jeffrey Gonzales</t>
  </si>
  <si>
    <t>Kathryn Boyd</t>
  </si>
  <si>
    <t>Alicia Holt</t>
  </si>
  <si>
    <t>Angela Thompson</t>
  </si>
  <si>
    <t>James Ward</t>
  </si>
  <si>
    <t>Shawna Rodriguez</t>
  </si>
  <si>
    <t>Robin Obrien</t>
  </si>
  <si>
    <t>Jill Aguilar</t>
  </si>
  <si>
    <t>Dustin Baldwin</t>
  </si>
  <si>
    <t>Thomas Lee</t>
  </si>
  <si>
    <t>Jeffrey Scott</t>
  </si>
  <si>
    <t>Kristin Gibson</t>
  </si>
  <si>
    <t>Tammy Hall</t>
  </si>
  <si>
    <t>Sean Vaughn</t>
  </si>
  <si>
    <t>Pamela Hernandez</t>
  </si>
  <si>
    <t>Bryan Miles</t>
  </si>
  <si>
    <t>Philip Greer</t>
  </si>
  <si>
    <t>Patrick Moore</t>
  </si>
  <si>
    <t>Billy Garcia</t>
  </si>
  <si>
    <t>Sarah Ruiz</t>
  </si>
  <si>
    <t>Rebecca Baker</t>
  </si>
  <si>
    <t>Debra Leonard</t>
  </si>
  <si>
    <t>Cory Moody</t>
  </si>
  <si>
    <t>Helen Mclean</t>
  </si>
  <si>
    <t>Ashley Roberts</t>
  </si>
  <si>
    <t>Heidi Jones</t>
  </si>
  <si>
    <t>Diana Parks</t>
  </si>
  <si>
    <t>Keith Moore</t>
  </si>
  <si>
    <t>Clinton Stuart</t>
  </si>
  <si>
    <t>Alexandra Smith</t>
  </si>
  <si>
    <t>Robert Howell</t>
  </si>
  <si>
    <t>Lisa Ayala</t>
  </si>
  <si>
    <t>Dr. Ryan Johnson</t>
  </si>
  <si>
    <t>Mr. Brian Hoffman MD</t>
  </si>
  <si>
    <t>Veronica Parker</t>
  </si>
  <si>
    <t>Derek Moreno</t>
  </si>
  <si>
    <t>Regina Rosales</t>
  </si>
  <si>
    <t>Oscar Moon</t>
  </si>
  <si>
    <t>Tanner Massey</t>
  </si>
  <si>
    <t>Leslie Curry</t>
  </si>
  <si>
    <t>Ricardo Romero</t>
  </si>
  <si>
    <t>Debra Hammond</t>
  </si>
  <si>
    <t>Stephanie Whitaker</t>
  </si>
  <si>
    <t>Kurt Mueller</t>
  </si>
  <si>
    <t>Dr. Robert Berger MD</t>
  </si>
  <si>
    <t>Angela Horne</t>
  </si>
  <si>
    <t>Mary Morris</t>
  </si>
  <si>
    <t>Elizabeth Brooks</t>
  </si>
  <si>
    <t>Randy Rogers</t>
  </si>
  <si>
    <t>Mr. Don Neal DDS</t>
  </si>
  <si>
    <t>Monica Murphy</t>
  </si>
  <si>
    <t>Glenn Ryan</t>
  </si>
  <si>
    <t>Ashley Berg</t>
  </si>
  <si>
    <t>Donald Ruiz</t>
  </si>
  <si>
    <t>Keith Woods</t>
  </si>
  <si>
    <t>Miss Meghan Williams</t>
  </si>
  <si>
    <t>Diana Phillips</t>
  </si>
  <si>
    <t>Sean Foster</t>
  </si>
  <si>
    <t>Jordan Gonzalez</t>
  </si>
  <si>
    <t>Julie Mejia</t>
  </si>
  <si>
    <t>Rachel Torres</t>
  </si>
  <si>
    <t>Kathryn Osborne</t>
  </si>
  <si>
    <t>Alicia Chavez</t>
  </si>
  <si>
    <t>Julie Herring</t>
  </si>
  <si>
    <t>Nicholas Larson</t>
  </si>
  <si>
    <t>Crystal Adams</t>
  </si>
  <si>
    <t>William Bryan</t>
  </si>
  <si>
    <t>Juan Douglas</t>
  </si>
  <si>
    <t>James Christian</t>
  </si>
  <si>
    <t>William Lowery</t>
  </si>
  <si>
    <t>Robin Sims</t>
  </si>
  <si>
    <t>Stephanie Lewis</t>
  </si>
  <si>
    <t>Brandon Miller</t>
  </si>
  <si>
    <t>Anne Reyes</t>
  </si>
  <si>
    <t>Bradley Williams</t>
  </si>
  <si>
    <t>Jose Rivera</t>
  </si>
  <si>
    <t>Jennifer Martin</t>
  </si>
  <si>
    <t>Christopher Ramirez</t>
  </si>
  <si>
    <t>Riley Davis</t>
  </si>
  <si>
    <t>Jeffery Lee</t>
  </si>
  <si>
    <t>George Pearson</t>
  </si>
  <si>
    <t>Gary Welch</t>
  </si>
  <si>
    <t>William Small</t>
  </si>
  <si>
    <t>Jennifer Ochoa</t>
  </si>
  <si>
    <t>Samantha Ortega</t>
  </si>
  <si>
    <t>Gerald Turner</t>
  </si>
  <si>
    <t>Austin Myers</t>
  </si>
  <si>
    <t>Regina Reynolds</t>
  </si>
  <si>
    <t>Ashley Rose</t>
  </si>
  <si>
    <t>Megan Curtis</t>
  </si>
  <si>
    <t>Monica Williams</t>
  </si>
  <si>
    <t>Brittany Wright</t>
  </si>
  <si>
    <t>Nicole Miller</t>
  </si>
  <si>
    <t>Karina Jones</t>
  </si>
  <si>
    <t>Christian Mcdonald DVM</t>
  </si>
  <si>
    <t>Michael Lam</t>
  </si>
  <si>
    <t>Edwin Martin</t>
  </si>
  <si>
    <t>Cheryl Jones</t>
  </si>
  <si>
    <t>Angela Wilson</t>
  </si>
  <si>
    <t>Mary Fox</t>
  </si>
  <si>
    <t>Luke Murray</t>
  </si>
  <si>
    <t>Julie Henderson</t>
  </si>
  <si>
    <t>Troy Montgomery</t>
  </si>
  <si>
    <t>Joseph Nguyen</t>
  </si>
  <si>
    <t>William Newman</t>
  </si>
  <si>
    <t>Paul Barrera</t>
  </si>
  <si>
    <t>Deanna Richards</t>
  </si>
  <si>
    <t>Sara Vasquez</t>
  </si>
  <si>
    <t>Michelle Boyer</t>
  </si>
  <si>
    <t>David Wells</t>
  </si>
  <si>
    <t>Karen Trujillo</t>
  </si>
  <si>
    <t>William Griffin</t>
  </si>
  <si>
    <t>Kimberly Carroll</t>
  </si>
  <si>
    <t>Emma English</t>
  </si>
  <si>
    <t>Michael Harding</t>
  </si>
  <si>
    <t>Diana Mcbride</t>
  </si>
  <si>
    <t>Keith Lewis</t>
  </si>
  <si>
    <t>Melissa Gibson</t>
  </si>
  <si>
    <t>Anita Martin</t>
  </si>
  <si>
    <t>Jose Kline</t>
  </si>
  <si>
    <t>Eric Watts</t>
  </si>
  <si>
    <t>Jacqueline Mcdonald</t>
  </si>
  <si>
    <t>Tyler Ford</t>
  </si>
  <si>
    <t>Heather Frazier</t>
  </si>
  <si>
    <t>Rose Macdonald</t>
  </si>
  <si>
    <t>Kathleen Knight</t>
  </si>
  <si>
    <t>Steven Griffin</t>
  </si>
  <si>
    <t>Tyler Chapman</t>
  </si>
  <si>
    <t>Cameron Hays</t>
  </si>
  <si>
    <t>Paul Dawson</t>
  </si>
  <si>
    <t>Sally Roy</t>
  </si>
  <si>
    <t>Jennifer Erickson</t>
  </si>
  <si>
    <t>Thomas Johnson</t>
  </si>
  <si>
    <t>Michael Gilbert</t>
  </si>
  <si>
    <t>Mr. Cameron Stafford PhD</t>
  </si>
  <si>
    <t>Elizabeth Reynolds</t>
  </si>
  <si>
    <t>Candice Brown</t>
  </si>
  <si>
    <t>Lauren Roberts</t>
  </si>
  <si>
    <t>Jason Chambers</t>
  </si>
  <si>
    <t>William Chandler</t>
  </si>
  <si>
    <t>Eric Thompson</t>
  </si>
  <si>
    <t>Joseph Brandt</t>
  </si>
  <si>
    <t>Jose Gonzalez</t>
  </si>
  <si>
    <t>Douglas Baker</t>
  </si>
  <si>
    <t>Debra Moore</t>
  </si>
  <si>
    <t>Robert Carson</t>
  </si>
  <si>
    <t>William Moody</t>
  </si>
  <si>
    <t>Alyssa Wood</t>
  </si>
  <si>
    <t>Joseph Day</t>
  </si>
  <si>
    <t>Kelli Carter</t>
  </si>
  <si>
    <t>Brittany Gibbs</t>
  </si>
  <si>
    <t>Thomas Hines</t>
  </si>
  <si>
    <t>Justin Smith</t>
  </si>
  <si>
    <t>Theresa Bender</t>
  </si>
  <si>
    <t>Matthew Nguyen</t>
  </si>
  <si>
    <t>Margaret Clark</t>
  </si>
  <si>
    <t>Eric Russell</t>
  </si>
  <si>
    <t>Ann Castro</t>
  </si>
  <si>
    <t>Patrick Bailey</t>
  </si>
  <si>
    <t>Rachel Griffin</t>
  </si>
  <si>
    <t>Emily Yang</t>
  </si>
  <si>
    <t>Jennifer Allen</t>
  </si>
  <si>
    <t>Taylor Santos</t>
  </si>
  <si>
    <t>Marc Thompson</t>
  </si>
  <si>
    <t>Kristopher Richard</t>
  </si>
  <si>
    <t>Kimberly Atkinson</t>
  </si>
  <si>
    <t>Caitlin Miller</t>
  </si>
  <si>
    <t>Susan Hughes</t>
  </si>
  <si>
    <t>Walter Martin</t>
  </si>
  <si>
    <t>Gina Martinez</t>
  </si>
  <si>
    <t>Todd Wagner</t>
  </si>
  <si>
    <t>Daniel Myers</t>
  </si>
  <si>
    <t>Benjamin Harrington DDS</t>
  </si>
  <si>
    <t>Jose Evans</t>
  </si>
  <si>
    <t>Heather Young</t>
  </si>
  <si>
    <t>Christopher Knight</t>
  </si>
  <si>
    <t>Mitchell Hurst</t>
  </si>
  <si>
    <t>Christopher Hansen</t>
  </si>
  <si>
    <t>Michael Short</t>
  </si>
  <si>
    <t>Shannon Gonzalez</t>
  </si>
  <si>
    <t>Peter Johnson</t>
  </si>
  <si>
    <t>Michael Watts</t>
  </si>
  <si>
    <t>Christopher Ramos</t>
  </si>
  <si>
    <t>Morgan Macias</t>
  </si>
  <si>
    <t>Makayla Huffman</t>
  </si>
  <si>
    <t>Henry Quinn</t>
  </si>
  <si>
    <t>Erica Adams</t>
  </si>
  <si>
    <t>Adam Donaldson</t>
  </si>
  <si>
    <t>Maria Benton</t>
  </si>
  <si>
    <t>Jeffrey Gray</t>
  </si>
  <si>
    <t>Ricky Palmer</t>
  </si>
  <si>
    <t>Amy Martin</t>
  </si>
  <si>
    <t>Dustin Davis</t>
  </si>
  <si>
    <t>David Rasmussen</t>
  </si>
  <si>
    <t>Megan Ortiz</t>
  </si>
  <si>
    <t>Craig Moyer</t>
  </si>
  <si>
    <t>Alexander Chandler</t>
  </si>
  <si>
    <t>Joshua Martin</t>
  </si>
  <si>
    <t>Keith Stokes</t>
  </si>
  <si>
    <t>Dale Cohen</t>
  </si>
  <si>
    <t>John King</t>
  </si>
  <si>
    <t>Krista Meyer</t>
  </si>
  <si>
    <t>Cassandra Martinez</t>
  </si>
  <si>
    <t>Randy Johnson</t>
  </si>
  <si>
    <t>Jill Olson</t>
  </si>
  <si>
    <t>John Terry</t>
  </si>
  <si>
    <t>Paul Hill</t>
  </si>
  <si>
    <t>Megan Owens</t>
  </si>
  <si>
    <t>Emily Thompson</t>
  </si>
  <si>
    <t>Brandy Perry</t>
  </si>
  <si>
    <t>Emily Brown</t>
  </si>
  <si>
    <t>Justin Wilson</t>
  </si>
  <si>
    <t>Todd Roach</t>
  </si>
  <si>
    <t>Christopher Hernandez</t>
  </si>
  <si>
    <t>David Goodwin</t>
  </si>
  <si>
    <t>Jesus Davis</t>
  </si>
  <si>
    <t>Travis Wood</t>
  </si>
  <si>
    <t>Raymond Miller</t>
  </si>
  <si>
    <t>Mark Warner</t>
  </si>
  <si>
    <t>Teresa Perez</t>
  </si>
  <si>
    <t>Sherry Rodriguez</t>
  </si>
  <si>
    <t>Samuel Boyer</t>
  </si>
  <si>
    <t>Willie Soto</t>
  </si>
  <si>
    <t>Julie Harris</t>
  </si>
  <si>
    <t>Ashley Flores</t>
  </si>
  <si>
    <t>Kevin Parsons</t>
  </si>
  <si>
    <t>Amy Brown</t>
  </si>
  <si>
    <t>Carmen Williams</t>
  </si>
  <si>
    <t>Chelsea Garza</t>
  </si>
  <si>
    <t>Joshua Campbell</t>
  </si>
  <si>
    <t>James Mullins</t>
  </si>
  <si>
    <t>Leslie Peterson</t>
  </si>
  <si>
    <t>Cynthia Mann</t>
  </si>
  <si>
    <t>Robin Donovan</t>
  </si>
  <si>
    <t>Joyce Schmitt</t>
  </si>
  <si>
    <t>Brooke Romero</t>
  </si>
  <si>
    <t>Christie Ramsey</t>
  </si>
  <si>
    <t>Melanie Hartman</t>
  </si>
  <si>
    <t>Justin Thompson</t>
  </si>
  <si>
    <t>Sarah Ramirez</t>
  </si>
  <si>
    <t>Victor Foley</t>
  </si>
  <si>
    <t>Steven Matthews</t>
  </si>
  <si>
    <t>Gordon Burns</t>
  </si>
  <si>
    <t>Brian Parker</t>
  </si>
  <si>
    <t>Terry Sandoval</t>
  </si>
  <si>
    <t>Carolyn Griffith</t>
  </si>
  <si>
    <t>Brian Singh</t>
  </si>
  <si>
    <t>Michele Guzman</t>
  </si>
  <si>
    <t>John Burns</t>
  </si>
  <si>
    <t>Joseph Fisher</t>
  </si>
  <si>
    <t>Jeremy Simpson</t>
  </si>
  <si>
    <t>Dr. Debbie Parker</t>
  </si>
  <si>
    <t>Jeremy Anderson</t>
  </si>
  <si>
    <t>Nathan Johnson</t>
  </si>
  <si>
    <t>Felicia Steele</t>
  </si>
  <si>
    <t>Bobby Cameron</t>
  </si>
  <si>
    <t>Emily Riley</t>
  </si>
  <si>
    <t>Charles Malone</t>
  </si>
  <si>
    <t>Jack Hill</t>
  </si>
  <si>
    <t>Carla Burns</t>
  </si>
  <si>
    <t>Jeffery Hancock</t>
  </si>
  <si>
    <t>Joshua Miller</t>
  </si>
  <si>
    <t>Lori Powell</t>
  </si>
  <si>
    <t>Vicki Barber</t>
  </si>
  <si>
    <t>Devin Johnson</t>
  </si>
  <si>
    <t>Amanda Ramirez</t>
  </si>
  <si>
    <t>David Landry</t>
  </si>
  <si>
    <t>Barbara Taylor</t>
  </si>
  <si>
    <t>Debra Turner</t>
  </si>
  <si>
    <t>Joel Robles</t>
  </si>
  <si>
    <t>Justin Henry</t>
  </si>
  <si>
    <t>Robert Brown</t>
  </si>
  <si>
    <t>Paula Brooks</t>
  </si>
  <si>
    <t>Tina Key</t>
  </si>
  <si>
    <t>Adam Daniels</t>
  </si>
  <si>
    <t>Bradley Todd</t>
  </si>
  <si>
    <t>Monica Suarez</t>
  </si>
  <si>
    <t>Melissa Donovan</t>
  </si>
  <si>
    <t>Christian Lopez</t>
  </si>
  <si>
    <t>Deborah Miller</t>
  </si>
  <si>
    <t>Sarah Kim</t>
  </si>
  <si>
    <t>Micheal Garner</t>
  </si>
  <si>
    <t>Samantha Petersen</t>
  </si>
  <si>
    <t>Daniel Sexton</t>
  </si>
  <si>
    <t>Lawrence Kim</t>
  </si>
  <si>
    <t>Melinda Williams</t>
  </si>
  <si>
    <t>Laurie Simon</t>
  </si>
  <si>
    <t>James Brown</t>
  </si>
  <si>
    <t>Cody Adams</t>
  </si>
  <si>
    <t>Brian Holland</t>
  </si>
  <si>
    <t>Manuel Watson</t>
  </si>
  <si>
    <t>Kelly Wilkinson</t>
  </si>
  <si>
    <t>Johnny Gutierrez</t>
  </si>
  <si>
    <t>Scott Hill</t>
  </si>
  <si>
    <t>Joseph Hobbs</t>
  </si>
  <si>
    <t>Jennifer Lynn</t>
  </si>
  <si>
    <t>Kent Gray</t>
  </si>
  <si>
    <t>Michelle Ponce</t>
  </si>
  <si>
    <t>Jasmine Roberts</t>
  </si>
  <si>
    <t>Patricia Schneider</t>
  </si>
  <si>
    <t>Jessica Peterson</t>
  </si>
  <si>
    <t>Mark Lopez II</t>
  </si>
  <si>
    <t>Kimberly Reyes</t>
  </si>
  <si>
    <t>Julie Neal</t>
  </si>
  <si>
    <t>Albert Anderson</t>
  </si>
  <si>
    <t>Tammy Roberts</t>
  </si>
  <si>
    <t>Angela Beck</t>
  </si>
  <si>
    <t>Margaret Watson</t>
  </si>
  <si>
    <t>James Johnson</t>
  </si>
  <si>
    <t>Michael Edwards</t>
  </si>
  <si>
    <t>Ryan Pena</t>
  </si>
  <si>
    <t>Scott Jackson</t>
  </si>
  <si>
    <t>Thomas Williams</t>
  </si>
  <si>
    <t>Lisa Douglas</t>
  </si>
  <si>
    <t>Sara Haynes</t>
  </si>
  <si>
    <t>Michelle Wright</t>
  </si>
  <si>
    <t>Derek Payne</t>
  </si>
  <si>
    <t>Christopher Richards</t>
  </si>
  <si>
    <t>Monica Kim</t>
  </si>
  <si>
    <t>Jimmy Lopez</t>
  </si>
  <si>
    <t>Elizabeth Mejia</t>
  </si>
  <si>
    <t>Traci Frederick</t>
  </si>
  <si>
    <t>Jon Butler</t>
  </si>
  <si>
    <t>Nicole Patel</t>
  </si>
  <si>
    <t>April Meyer</t>
  </si>
  <si>
    <t>Benjamin Stewart</t>
  </si>
  <si>
    <t>Stephen Miller</t>
  </si>
  <si>
    <t>Angel Cox</t>
  </si>
  <si>
    <t>Michael Hinton</t>
  </si>
  <si>
    <t>Kimberly Adkins</t>
  </si>
  <si>
    <t>Cynthia Castaneda</t>
  </si>
  <si>
    <t>Grace Mason</t>
  </si>
  <si>
    <t>Todd Schmidt</t>
  </si>
  <si>
    <t>Jennifer Scott</t>
  </si>
  <si>
    <t>John Baker</t>
  </si>
  <si>
    <t>Mrs. Amy Wilson</t>
  </si>
  <si>
    <t>Donald Johnson</t>
  </si>
  <si>
    <t>Erik Kramer</t>
  </si>
  <si>
    <t>Ann Gonzalez</t>
  </si>
  <si>
    <t>Kimberly Marquez</t>
  </si>
  <si>
    <t>Michael Hall</t>
  </si>
  <si>
    <t>Carrie Cobb</t>
  </si>
  <si>
    <t>Lauren Hudson</t>
  </si>
  <si>
    <t>Steve Myers</t>
  </si>
  <si>
    <t>Mr. David Juarez</t>
  </si>
  <si>
    <t>Christopher Glass</t>
  </si>
  <si>
    <t>Susan Day</t>
  </si>
  <si>
    <t>William Petty</t>
  </si>
  <si>
    <t>Phillip Schroeder</t>
  </si>
  <si>
    <t>Thomas Luna</t>
  </si>
  <si>
    <t>Peter Glenn</t>
  </si>
  <si>
    <t>Karen Ali</t>
  </si>
  <si>
    <t>Gabrielle Esparza</t>
  </si>
  <si>
    <t>Tammy Ayala</t>
  </si>
  <si>
    <t>George Hood</t>
  </si>
  <si>
    <t>Anna Webster</t>
  </si>
  <si>
    <t>Cynthia Davis</t>
  </si>
  <si>
    <t>Shannon Strong</t>
  </si>
  <si>
    <t>Jeffrey Obrien</t>
  </si>
  <si>
    <t>Andrew Wilson</t>
  </si>
  <si>
    <t>Sarah King</t>
  </si>
  <si>
    <t>Adam Mcgee</t>
  </si>
  <si>
    <t>Robert Carlson</t>
  </si>
  <si>
    <t>Antonio Flores</t>
  </si>
  <si>
    <t>Kimberly Ballard</t>
  </si>
  <si>
    <t>Dennis Green</t>
  </si>
  <si>
    <t>Brett Sanchez</t>
  </si>
  <si>
    <t>Teresa Wright</t>
  </si>
  <si>
    <t>Michael Crosby</t>
  </si>
  <si>
    <t>Allison Holmes</t>
  </si>
  <si>
    <t>Mark Foster</t>
  </si>
  <si>
    <t>Michelle Riley</t>
  </si>
  <si>
    <t>Nicole Bryant</t>
  </si>
  <si>
    <t>Casey Stewart</t>
  </si>
  <si>
    <t>Jill Fitzpatrick</t>
  </si>
  <si>
    <t>Michael Branch</t>
  </si>
  <si>
    <t>Eric Rodriguez</t>
  </si>
  <si>
    <t>Misty Stewart</t>
  </si>
  <si>
    <t>Jose Miles</t>
  </si>
  <si>
    <t>Jerry Mitchell</t>
  </si>
  <si>
    <t>Felicia Spencer</t>
  </si>
  <si>
    <t>Mario Matthews</t>
  </si>
  <si>
    <t>Jay Jensen</t>
  </si>
  <si>
    <t>Dr. Michael Harrison Jr.</t>
  </si>
  <si>
    <t>Trevor Kemp</t>
  </si>
  <si>
    <t>Shari Herman</t>
  </si>
  <si>
    <t>Tina Alvarez</t>
  </si>
  <si>
    <t>Jason Ford</t>
  </si>
  <si>
    <t>Lisa Villarreal</t>
  </si>
  <si>
    <t>Matthew Stark</t>
  </si>
  <si>
    <t>Traci Irwin</t>
  </si>
  <si>
    <t>Logan Pierce</t>
  </si>
  <si>
    <t>Jonathan Crawford</t>
  </si>
  <si>
    <t>Rose Martinez</t>
  </si>
  <si>
    <t>Victoria Green</t>
  </si>
  <si>
    <t>Christopher Anderson</t>
  </si>
  <si>
    <t>Shannon Adams</t>
  </si>
  <si>
    <t>Holly Bullock</t>
  </si>
  <si>
    <t>Kevin Walker</t>
  </si>
  <si>
    <t>Rachel Bishop</t>
  </si>
  <si>
    <t>Susan Powell</t>
  </si>
  <si>
    <t>Stacey Jensen</t>
  </si>
  <si>
    <t>Erin Scott</t>
  </si>
  <si>
    <t>Bethany Dawson</t>
  </si>
  <si>
    <t>Michael Davies</t>
  </si>
  <si>
    <t>April Smith</t>
  </si>
  <si>
    <t>Jasmine Webb</t>
  </si>
  <si>
    <t>Kristin Kelley</t>
  </si>
  <si>
    <t>Carla Hawkins</t>
  </si>
  <si>
    <t>Ronald Johnson</t>
  </si>
  <si>
    <t>Andrew Jones</t>
  </si>
  <si>
    <t>Steven Chavez</t>
  </si>
  <si>
    <t>John Greene</t>
  </si>
  <si>
    <t>Melissa Carlson</t>
  </si>
  <si>
    <t>Mr. Thomas Myers</t>
  </si>
  <si>
    <t>Thomas Cherry</t>
  </si>
  <si>
    <t>Laura Anderson</t>
  </si>
  <si>
    <t>David Cruz</t>
  </si>
  <si>
    <t>Whitney Rivera</t>
  </si>
  <si>
    <t>Jack House</t>
  </si>
  <si>
    <t>Nicolas Leblanc</t>
  </si>
  <si>
    <t>Sandra Shepard</t>
  </si>
  <si>
    <t>Jason Gonzalez</t>
  </si>
  <si>
    <t>Robert Silva</t>
  </si>
  <si>
    <t>James Flores</t>
  </si>
  <si>
    <t>Jose Williams</t>
  </si>
  <si>
    <t>Seth Copeland</t>
  </si>
  <si>
    <t>Amanda Jordan</t>
  </si>
  <si>
    <t>Kelly Stewart</t>
  </si>
  <si>
    <t>Marcus Hudson</t>
  </si>
  <si>
    <t>Christopher Mendez</t>
  </si>
  <si>
    <t>Alyssa Orozco</t>
  </si>
  <si>
    <t>Rachel Sanchez</t>
  </si>
  <si>
    <t>Jennifer Dean</t>
  </si>
  <si>
    <t>Diane Campbell</t>
  </si>
  <si>
    <t>Michael Walker</t>
  </si>
  <si>
    <t>Derek Cooper</t>
  </si>
  <si>
    <t>Clayton Jordan</t>
  </si>
  <si>
    <t>Corey Wells</t>
  </si>
  <si>
    <t>Kevin Jordan</t>
  </si>
  <si>
    <t>Sandra Bell</t>
  </si>
  <si>
    <t>Adrian Hunter</t>
  </si>
  <si>
    <t>Eddie Diaz</t>
  </si>
  <si>
    <t>Anthony Green</t>
  </si>
  <si>
    <t>John Cooke</t>
  </si>
  <si>
    <t>Brandon Barnes</t>
  </si>
  <si>
    <t>Mr. Joshua Douglas</t>
  </si>
  <si>
    <t>Susan Hall</t>
  </si>
  <si>
    <t>David Baker</t>
  </si>
  <si>
    <t>Julie Howard</t>
  </si>
  <si>
    <t>Kimberly Bradley</t>
  </si>
  <si>
    <t>Michael Delgado</t>
  </si>
  <si>
    <t>Erika George</t>
  </si>
  <si>
    <t>Jeffrey Skinner</t>
  </si>
  <si>
    <t>Megan Fletcher</t>
  </si>
  <si>
    <t>Matthew Padilla</t>
  </si>
  <si>
    <t>Hannah Smith</t>
  </si>
  <si>
    <t>Jasmine Moss</t>
  </si>
  <si>
    <t>Cesar Rogers</t>
  </si>
  <si>
    <t>Brittany Thompson</t>
  </si>
  <si>
    <t>Richard Ramirez</t>
  </si>
  <si>
    <t>Joseph Hanson</t>
  </si>
  <si>
    <t>Lisa Bell</t>
  </si>
  <si>
    <t>Douglas Trevino</t>
  </si>
  <si>
    <t>William James</t>
  </si>
  <si>
    <t>Michele Brooks</t>
  </si>
  <si>
    <t>Natalie Tucker</t>
  </si>
  <si>
    <t>Roger Potter</t>
  </si>
  <si>
    <t>Melissa Phillips</t>
  </si>
  <si>
    <t>Terry Blair</t>
  </si>
  <si>
    <t>William Lambert</t>
  </si>
  <si>
    <t>Christopher Barber</t>
  </si>
  <si>
    <t>Nancy Benjamin</t>
  </si>
  <si>
    <t>Hunter Johnson</t>
  </si>
  <si>
    <t>Dorothy Richardson</t>
  </si>
  <si>
    <t>Joshua Thomas</t>
  </si>
  <si>
    <t>Tiffany Brown</t>
  </si>
  <si>
    <t>Lori Garza</t>
  </si>
  <si>
    <t>Sheila Jarvis</t>
  </si>
  <si>
    <t>William Lopez</t>
  </si>
  <si>
    <t>Justin Cruz</t>
  </si>
  <si>
    <t>Regina Green</t>
  </si>
  <si>
    <t>George Gregory</t>
  </si>
  <si>
    <t>Kathryn James</t>
  </si>
  <si>
    <t>Carolyn Haynes</t>
  </si>
  <si>
    <t>Maria Cole</t>
  </si>
  <si>
    <t>Teresa Miller</t>
  </si>
  <si>
    <t>Nancy Stanley</t>
  </si>
  <si>
    <t>Joseph Jones</t>
  </si>
  <si>
    <t>Hannah Kane</t>
  </si>
  <si>
    <t>Alan Rodriguez</t>
  </si>
  <si>
    <t>Richard Beck</t>
  </si>
  <si>
    <t>Angela Smith</t>
  </si>
  <si>
    <t>Sean King</t>
  </si>
  <si>
    <t>Willie Estrada</t>
  </si>
  <si>
    <t>Lauren Love</t>
  </si>
  <si>
    <t>Vanessa Dean</t>
  </si>
  <si>
    <t>Alison Novak</t>
  </si>
  <si>
    <t>Walter Anderson</t>
  </si>
  <si>
    <t>Logan Medina</t>
  </si>
  <si>
    <t>Cynthia Garcia</t>
  </si>
  <si>
    <t>Erin Potts DDS</t>
  </si>
  <si>
    <t>George Hobbs</t>
  </si>
  <si>
    <t>Martha Dennis</t>
  </si>
  <si>
    <t>Kevin Fox</t>
  </si>
  <si>
    <t>Timothy Watson</t>
  </si>
  <si>
    <t>Jennifer Perry</t>
  </si>
  <si>
    <t>Timothy Sanders</t>
  </si>
  <si>
    <t>Paula Miller</t>
  </si>
  <si>
    <t>Catherine Adams</t>
  </si>
  <si>
    <t>Gary Williams</t>
  </si>
  <si>
    <t>Jacob Horn Jr.</t>
  </si>
  <si>
    <t>Mitchell Douglas</t>
  </si>
  <si>
    <t>Andre Cardenas</t>
  </si>
  <si>
    <t>Renee Petty</t>
  </si>
  <si>
    <t>Jacob Scott</t>
  </si>
  <si>
    <t>Shannon Rogers</t>
  </si>
  <si>
    <t>Andrew Stewart</t>
  </si>
  <si>
    <t>Katelyn Jones</t>
  </si>
  <si>
    <t>Wendy Simmons</t>
  </si>
  <si>
    <t>Matthew Bailey</t>
  </si>
  <si>
    <t>Steven Mckenzie</t>
  </si>
  <si>
    <t>Dan Brown</t>
  </si>
  <si>
    <t>Jonathan Powers</t>
  </si>
  <si>
    <t>Adrienne Lopez</t>
  </si>
  <si>
    <t>Eileen Lambert</t>
  </si>
  <si>
    <t>Debbie Parrish</t>
  </si>
  <si>
    <t>James Dalton</t>
  </si>
  <si>
    <t>Lisa Martinez</t>
  </si>
  <si>
    <t>Cristian Scott</t>
  </si>
  <si>
    <t>Daniel Cole</t>
  </si>
  <si>
    <t>April Peterson</t>
  </si>
  <si>
    <t>Michelle Zimmerman</t>
  </si>
  <si>
    <t>Kathryn Smith</t>
  </si>
  <si>
    <t>Chelsea Conrad</t>
  </si>
  <si>
    <t>Rachel Tyler</t>
  </si>
  <si>
    <t>Jason Suarez</t>
  </si>
  <si>
    <t>Alex Diaz</t>
  </si>
  <si>
    <t>Scott Spencer</t>
  </si>
  <si>
    <t>Natasha Stokes</t>
  </si>
  <si>
    <t>Brian Brown</t>
  </si>
  <si>
    <t>Victoria Mccullough</t>
  </si>
  <si>
    <t>Monica Garner</t>
  </si>
  <si>
    <t>Ryan Anderson</t>
  </si>
  <si>
    <t>Eric Brady</t>
  </si>
  <si>
    <t>Christopher Gross</t>
  </si>
  <si>
    <t>Elizabeth Glass</t>
  </si>
  <si>
    <t>Jose Cochran</t>
  </si>
  <si>
    <t>Shane Espinoza</t>
  </si>
  <si>
    <t>Jennifer Morales</t>
  </si>
  <si>
    <t>Sandra Kramer</t>
  </si>
  <si>
    <t>Duane Hernandez</t>
  </si>
  <si>
    <t>Jesus Estes</t>
  </si>
  <si>
    <t>Tommy Turner</t>
  </si>
  <si>
    <t>Kyle Young</t>
  </si>
  <si>
    <t>Spencer Smith</t>
  </si>
  <si>
    <t>Sheryl Brown</t>
  </si>
  <si>
    <t>Debra Williams</t>
  </si>
  <si>
    <t>Dominique Howell</t>
  </si>
  <si>
    <t>Jennifer Martinez</t>
  </si>
  <si>
    <t>Dawn Lewis</t>
  </si>
  <si>
    <t>Julia Johnson</t>
  </si>
  <si>
    <t>Joseph Lyons</t>
  </si>
  <si>
    <t>Jessica Ramsey</t>
  </si>
  <si>
    <t>Elizabeth Edwards</t>
  </si>
  <si>
    <t>Randall White</t>
  </si>
  <si>
    <t>Lisa Harmon</t>
  </si>
  <si>
    <t>Casey Patton</t>
  </si>
  <si>
    <t>Alexander Joseph</t>
  </si>
  <si>
    <t>Daniel Weiss</t>
  </si>
  <si>
    <t>Heidi Mitchell</t>
  </si>
  <si>
    <t>Renee Lindsey</t>
  </si>
  <si>
    <t>Erika Rodriguez</t>
  </si>
  <si>
    <t>Cynthia Glover</t>
  </si>
  <si>
    <t>Margaret Freeman</t>
  </si>
  <si>
    <t>Brandon Moore</t>
  </si>
  <si>
    <t>Savannah Drake</t>
  </si>
  <si>
    <t>Dr. Christopher Clements</t>
  </si>
  <si>
    <t>Chelsey Mckinney</t>
  </si>
  <si>
    <t>Joyce Humphrey</t>
  </si>
  <si>
    <t>Mary Schmidt</t>
  </si>
  <si>
    <t>Sarah Mcclure</t>
  </si>
  <si>
    <t>Blake Walton</t>
  </si>
  <si>
    <t>Phyllis Clark</t>
  </si>
  <si>
    <t>Christopher Brown</t>
  </si>
  <si>
    <t>Henry Lee</t>
  </si>
  <si>
    <t>Richard Weaver</t>
  </si>
  <si>
    <t>Jeff Wilson</t>
  </si>
  <si>
    <t>Patrick Irwin</t>
  </si>
  <si>
    <t>Peter Morris</t>
  </si>
  <si>
    <t>Michael Romero</t>
  </si>
  <si>
    <t>John Serrano</t>
  </si>
  <si>
    <t>Michael Young</t>
  </si>
  <si>
    <t>Jennifer Baker</t>
  </si>
  <si>
    <t>Jason Edwards</t>
  </si>
  <si>
    <t>Christine Johnson</t>
  </si>
  <si>
    <t>Linda Wilson</t>
  </si>
  <si>
    <t>Miranda Gallagher</t>
  </si>
  <si>
    <t>Brooke Thompson</t>
  </si>
  <si>
    <t>Steven Russell</t>
  </si>
  <si>
    <t>Jonathan Garcia</t>
  </si>
  <si>
    <t>Rebecca Acosta</t>
  </si>
  <si>
    <t>Charles Fitzpatrick</t>
  </si>
  <si>
    <t>Heather Dixon</t>
  </si>
  <si>
    <t>Andrew Rogers</t>
  </si>
  <si>
    <t>Jeremiah Morales</t>
  </si>
  <si>
    <t>Erika Byrd</t>
  </si>
  <si>
    <t>Lee Hernandez</t>
  </si>
  <si>
    <t>Michael Martinez</t>
  </si>
  <si>
    <t>Ann Taylor</t>
  </si>
  <si>
    <t>Justin Carpenter</t>
  </si>
  <si>
    <t>Daniel Miller</t>
  </si>
  <si>
    <t>Mary Robinson</t>
  </si>
  <si>
    <t>Amy Cook</t>
  </si>
  <si>
    <t>Carla Roth</t>
  </si>
  <si>
    <t>Denise Young</t>
  </si>
  <si>
    <t>Michael Reid</t>
  </si>
  <si>
    <t>Brandi Wells</t>
  </si>
  <si>
    <t>Emily Hunter</t>
  </si>
  <si>
    <t>William Huff</t>
  </si>
  <si>
    <t>Jimmy Mitchell</t>
  </si>
  <si>
    <t>Anna Frey</t>
  </si>
  <si>
    <t>Lindsay Hughes</t>
  </si>
  <si>
    <t>Lori Miller</t>
  </si>
  <si>
    <t>Ryan Wu</t>
  </si>
  <si>
    <t>Kelly Garcia</t>
  </si>
  <si>
    <t>Nicole Taylor</t>
  </si>
  <si>
    <t>Kayla Garcia</t>
  </si>
  <si>
    <t>Jade Adkins</t>
  </si>
  <si>
    <t>Brian Smith</t>
  </si>
  <si>
    <t>Philip Potts</t>
  </si>
  <si>
    <t>Deborah Raymond</t>
  </si>
  <si>
    <t>Karl Luna</t>
  </si>
  <si>
    <t>Brittany Kelly</t>
  </si>
  <si>
    <t>Steven Phillips</t>
  </si>
  <si>
    <t>Diana Pope</t>
  </si>
  <si>
    <t>Jack Sanchez</t>
  </si>
  <si>
    <t>Karla Pruitt</t>
  </si>
  <si>
    <t>David Farmer</t>
  </si>
  <si>
    <t>Robert Chandler</t>
  </si>
  <si>
    <t>Tyler Larson</t>
  </si>
  <si>
    <t>Fred Moses</t>
  </si>
  <si>
    <t>Elizabeth Walker</t>
  </si>
  <si>
    <t>Todd Kelly</t>
  </si>
  <si>
    <t>William Heath</t>
  </si>
  <si>
    <t>Paul Perez</t>
  </si>
  <si>
    <t>Steven Ramirez</t>
  </si>
  <si>
    <t>Joanna Ortiz</t>
  </si>
  <si>
    <t>Matthew Turner</t>
  </si>
  <si>
    <t>Amy Bautista</t>
  </si>
  <si>
    <t>Jessica Rodriguez</t>
  </si>
  <si>
    <t>Johnathan Wheeler</t>
  </si>
  <si>
    <t>Kristin Jones</t>
  </si>
  <si>
    <t>Alex White</t>
  </si>
  <si>
    <t>Nathan Cruz</t>
  </si>
  <si>
    <t>Erin Huffman</t>
  </si>
  <si>
    <t>Caleb George</t>
  </si>
  <si>
    <t>Mary Miller</t>
  </si>
  <si>
    <t>Angela Frazier DDS</t>
  </si>
  <si>
    <t>Matthew Vincent</t>
  </si>
  <si>
    <t>Mary Whitaker</t>
  </si>
  <si>
    <t>Rachael Hubbard</t>
  </si>
  <si>
    <t>Timothy Edwards</t>
  </si>
  <si>
    <t>Matthew Smith</t>
  </si>
  <si>
    <t>Robert Parker</t>
  </si>
  <si>
    <t>Lisa Edwards</t>
  </si>
  <si>
    <t>Mrs. Candice Mcgrath DVM</t>
  </si>
  <si>
    <t>Lori Martinez</t>
  </si>
  <si>
    <t>Joshua Ortega</t>
  </si>
  <si>
    <t>Lisa Davidson</t>
  </si>
  <si>
    <t>Nicholas Taylor</t>
  </si>
  <si>
    <t>Alyssa Campbell</t>
  </si>
  <si>
    <t>David Vargas</t>
  </si>
  <si>
    <t>Jamie Benton</t>
  </si>
  <si>
    <t>Paul Johnson</t>
  </si>
  <si>
    <t>Amanda Lucas</t>
  </si>
  <si>
    <t>Jeffrey Oliver</t>
  </si>
  <si>
    <t>Jeffrey Aguilar</t>
  </si>
  <si>
    <t>Stephanie Richards</t>
  </si>
  <si>
    <t>Maria Williams</t>
  </si>
  <si>
    <t>Joy Contreras</t>
  </si>
  <si>
    <t>Karl Morris</t>
  </si>
  <si>
    <t>Kristin Blackwell</t>
  </si>
  <si>
    <t>Tiffany Villarreal</t>
  </si>
  <si>
    <t>Jeffrey Vazquez</t>
  </si>
  <si>
    <t>Lauren Davis</t>
  </si>
  <si>
    <t>Linda Myers</t>
  </si>
  <si>
    <t>Dennis Dillon</t>
  </si>
  <si>
    <t>William Herrera</t>
  </si>
  <si>
    <t>Jessica Davis</t>
  </si>
  <si>
    <t>Kimberly Alexander</t>
  </si>
  <si>
    <t>Yvonne Martin</t>
  </si>
  <si>
    <t>Karen Dominguez</t>
  </si>
  <si>
    <t>Nicholas Mcconnell</t>
  </si>
  <si>
    <t>Katrina James</t>
  </si>
  <si>
    <t>Leslie Smith</t>
  </si>
  <si>
    <t>Brittany Martinez</t>
  </si>
  <si>
    <t>Christopher Odom</t>
  </si>
  <si>
    <t>Adam Mcmillan</t>
  </si>
  <si>
    <t>Joshua Murphy</t>
  </si>
  <si>
    <t>Kevin Mullins</t>
  </si>
  <si>
    <t>Erin Becker</t>
  </si>
  <si>
    <t>Robert Bauer</t>
  </si>
  <si>
    <t>Wesley Smith</t>
  </si>
  <si>
    <t>Marissa Williams</t>
  </si>
  <si>
    <t>Mark Snyder</t>
  </si>
  <si>
    <t>Mr. Jordan Kelley DDS</t>
  </si>
  <si>
    <t>Roy Gilbert</t>
  </si>
  <si>
    <t>Joshua Dodson</t>
  </si>
  <si>
    <t>Taylor Hayes</t>
  </si>
  <si>
    <t>Christopher Stone</t>
  </si>
  <si>
    <t>Francisco Gonzales</t>
  </si>
  <si>
    <t>Heather Mosley</t>
  </si>
  <si>
    <t>Cameron Wright</t>
  </si>
  <si>
    <t>Angela Gregory</t>
  </si>
  <si>
    <t>Brandon Koch</t>
  </si>
  <si>
    <t>Thomas Martinez</t>
  </si>
  <si>
    <t>Francis White</t>
  </si>
  <si>
    <t>Christopher Gonzalez</t>
  </si>
  <si>
    <t>Jenna Burton</t>
  </si>
  <si>
    <t>Brian Morrow</t>
  </si>
  <si>
    <t>Dan Mitchell</t>
  </si>
  <si>
    <t>Kenneth Nichols</t>
  </si>
  <si>
    <t>Douglas Pace</t>
  </si>
  <si>
    <t>Matthew Wood</t>
  </si>
  <si>
    <t>Kim Smith</t>
  </si>
  <si>
    <t>Charles Williams</t>
  </si>
  <si>
    <t>Jacqueline Moore</t>
  </si>
  <si>
    <t>Jacob Rasmussen</t>
  </si>
  <si>
    <t>Steven Smith</t>
  </si>
  <si>
    <t>Amanda Potter</t>
  </si>
  <si>
    <t>Edward Fitzgerald</t>
  </si>
  <si>
    <t>Mark Bruce</t>
  </si>
  <si>
    <t>Kimberly Jordan</t>
  </si>
  <si>
    <t>Meagan Johnson</t>
  </si>
  <si>
    <t>Andrew Hernandez MD</t>
  </si>
  <si>
    <t>Phillip Reed</t>
  </si>
  <si>
    <t>Patrick Parker</t>
  </si>
  <si>
    <t>Kayla Watson</t>
  </si>
  <si>
    <t>Bryan Marsh</t>
  </si>
  <si>
    <t>Jessica Stanley</t>
  </si>
  <si>
    <t>Rebecca Wilson</t>
  </si>
  <si>
    <t>Christopher Mccoy</t>
  </si>
  <si>
    <t>Bryan Garner</t>
  </si>
  <si>
    <t>Mr. Richard Green II</t>
  </si>
  <si>
    <t>Christopher Bennett</t>
  </si>
  <si>
    <t>Dawn Owen</t>
  </si>
  <si>
    <t>Christopher Clarke</t>
  </si>
  <si>
    <t>Courtney Garcia</t>
  </si>
  <si>
    <t>Thomas Cook</t>
  </si>
  <si>
    <t>Heather Martin</t>
  </si>
  <si>
    <t>Joshua Stewart</t>
  </si>
  <si>
    <t>Amy George</t>
  </si>
  <si>
    <t>Jennifer Gray</t>
  </si>
  <si>
    <t>Robert Diaz</t>
  </si>
  <si>
    <t>Erin Williams</t>
  </si>
  <si>
    <t>Jeanette Lucas</t>
  </si>
  <si>
    <t>Rhonda Sanchez</t>
  </si>
  <si>
    <t>Regina Miller</t>
  </si>
  <si>
    <t>Adam Hines</t>
  </si>
  <si>
    <t>Marcia Farley</t>
  </si>
  <si>
    <t>Robert Colon</t>
  </si>
  <si>
    <t>Paul Shelton</t>
  </si>
  <si>
    <t>Christina Flores</t>
  </si>
  <si>
    <t>Shawn Murphy</t>
  </si>
  <si>
    <t>Jonathan Cruz</t>
  </si>
  <si>
    <t>Chad Stewart</t>
  </si>
  <si>
    <t>Austin Dawson</t>
  </si>
  <si>
    <t>Amy Matthews</t>
  </si>
  <si>
    <t>Susan Hanson</t>
  </si>
  <si>
    <t>Jeffrey Ramirez</t>
  </si>
  <si>
    <t>Elizabeth Odonnell</t>
  </si>
  <si>
    <t>Matthew Beck</t>
  </si>
  <si>
    <t>Renee Frank</t>
  </si>
  <si>
    <t>Mrs. Jennifer Brooks</t>
  </si>
  <si>
    <t>Erin Donovan</t>
  </si>
  <si>
    <t>Joshua Potts</t>
  </si>
  <si>
    <t>Jamie Hall</t>
  </si>
  <si>
    <t>Stephen Lynch</t>
  </si>
  <si>
    <t>Pedro Fisher</t>
  </si>
  <si>
    <t>Richard Cooke</t>
  </si>
  <si>
    <t>Daniel Obrien</t>
  </si>
  <si>
    <t>Lori Estes</t>
  </si>
  <si>
    <t>Bradley Armstrong</t>
  </si>
  <si>
    <t>Randy Nichols</t>
  </si>
  <si>
    <t>Amy Dalton</t>
  </si>
  <si>
    <t>John Williams</t>
  </si>
  <si>
    <t>Lauren Phillips</t>
  </si>
  <si>
    <t>Mary Reyes</t>
  </si>
  <si>
    <t>Linda Bennett</t>
  </si>
  <si>
    <t>Brendan Barnett</t>
  </si>
  <si>
    <t>Mitchell Mata</t>
  </si>
  <si>
    <t>Sarah Smith</t>
  </si>
  <si>
    <t>Haley Green</t>
  </si>
  <si>
    <t>Jerry Clayton</t>
  </si>
  <si>
    <t>Corey Hamilton</t>
  </si>
  <si>
    <t>Dr. Wanda Manning</t>
  </si>
  <si>
    <t>Gary Shaw</t>
  </si>
  <si>
    <t>Nicole Murillo</t>
  </si>
  <si>
    <t>Marie Flores</t>
  </si>
  <si>
    <t>Tyler Johnson</t>
  </si>
  <si>
    <t>Lisa Beasley</t>
  </si>
  <si>
    <t>Erin Mitchell</t>
  </si>
  <si>
    <t>Dale Hines</t>
  </si>
  <si>
    <t>Kevin Gonzalez</t>
  </si>
  <si>
    <t>Derek Johnson</t>
  </si>
  <si>
    <t>Harry Nguyen</t>
  </si>
  <si>
    <t>Robert Johnson</t>
  </si>
  <si>
    <t>Robert Wyatt</t>
  </si>
  <si>
    <t>Danielle Middleton</t>
  </si>
  <si>
    <t>Lisa Huynh</t>
  </si>
  <si>
    <t>Maria Simmons</t>
  </si>
  <si>
    <t>John Baird</t>
  </si>
  <si>
    <t>Ashley Garrison</t>
  </si>
  <si>
    <t>Fernando Gross</t>
  </si>
  <si>
    <t>Todd Perez</t>
  </si>
  <si>
    <t>Charles Daniels</t>
  </si>
  <si>
    <t>Andrea Cox MD</t>
  </si>
  <si>
    <t>Patricia Miller</t>
  </si>
  <si>
    <t>Kyle Tucker</t>
  </si>
  <si>
    <t>Erica Mccoy</t>
  </si>
  <si>
    <t>Dr. Donald Hill</t>
  </si>
  <si>
    <t>Jacqueline Osborne</t>
  </si>
  <si>
    <t>Dr. Manuel Watson</t>
  </si>
  <si>
    <t>Joel Little</t>
  </si>
  <si>
    <t>Richard Patton</t>
  </si>
  <si>
    <t>Jessica Herman</t>
  </si>
  <si>
    <t>Erik Cooley</t>
  </si>
  <si>
    <t>Nicholas Costa</t>
  </si>
  <si>
    <t>Susan Lowe</t>
  </si>
  <si>
    <t>Megan Lowery</t>
  </si>
  <si>
    <t>Kenneth Beltran</t>
  </si>
  <si>
    <t>Kurt Bean</t>
  </si>
  <si>
    <t>Casey Malone</t>
  </si>
  <si>
    <t>Robert Davenport</t>
  </si>
  <si>
    <t>Deborah Ortiz</t>
  </si>
  <si>
    <t>Joshua Lee</t>
  </si>
  <si>
    <t>Stephanie Hawkins</t>
  </si>
  <si>
    <t>Allen Brown</t>
  </si>
  <si>
    <t>Justin Green</t>
  </si>
  <si>
    <t>Deborah Robbins</t>
  </si>
  <si>
    <t>Anthony Johnston</t>
  </si>
  <si>
    <t>Victoria Robertson</t>
  </si>
  <si>
    <t>Jenna Howard</t>
  </si>
  <si>
    <t>Charles Green</t>
  </si>
  <si>
    <t>Jennifer Perez</t>
  </si>
  <si>
    <t>Edwin Page</t>
  </si>
  <si>
    <t>Alyssa Simpson</t>
  </si>
  <si>
    <t>Denise Hunter</t>
  </si>
  <si>
    <t>Micheal Bowen</t>
  </si>
  <si>
    <t>Kimberly Zimmerman</t>
  </si>
  <si>
    <t>Sheila Wilson</t>
  </si>
  <si>
    <t>Lisa Griffin</t>
  </si>
  <si>
    <t>Gregory Frye</t>
  </si>
  <si>
    <t>Jenny Mann</t>
  </si>
  <si>
    <t>Gina Baker</t>
  </si>
  <si>
    <t>Margaret Martin</t>
  </si>
  <si>
    <t>Kenneth Edwards</t>
  </si>
  <si>
    <t>Anna Burke</t>
  </si>
  <si>
    <t>Wendy Tate</t>
  </si>
  <si>
    <t>Melissa Miller</t>
  </si>
  <si>
    <t>Betty Williams</t>
  </si>
  <si>
    <t>Kevin Welch</t>
  </si>
  <si>
    <t>Kristen Lambert</t>
  </si>
  <si>
    <t>Jerry Haynes</t>
  </si>
  <si>
    <t>Timothy Hampton</t>
  </si>
  <si>
    <t>Jody Gardner</t>
  </si>
  <si>
    <t>Ashley Pham</t>
  </si>
  <si>
    <t>Jesse Baker</t>
  </si>
  <si>
    <t>Brianna Turner</t>
  </si>
  <si>
    <t>Clinton Johnson</t>
  </si>
  <si>
    <t>Ashley Jones</t>
  </si>
  <si>
    <t>James Ortiz</t>
  </si>
  <si>
    <t>Troy Carrillo</t>
  </si>
  <si>
    <t>Brandon Harris</t>
  </si>
  <si>
    <t>Rebecca Jackson</t>
  </si>
  <si>
    <t>Jason Bentley</t>
  </si>
  <si>
    <t>Kenneth Kelly</t>
  </si>
  <si>
    <t>Sherry Wood</t>
  </si>
  <si>
    <t>Kevin Short</t>
  </si>
  <si>
    <t>John Oliver</t>
  </si>
  <si>
    <t>Jason Walker</t>
  </si>
  <si>
    <t>Joshua Wilson</t>
  </si>
  <si>
    <t>Bryan Park</t>
  </si>
  <si>
    <t>Lisa Perry</t>
  </si>
  <si>
    <t>Rebecca Carroll</t>
  </si>
  <si>
    <t>Alan Salinas</t>
  </si>
  <si>
    <t>Sandra Wallace</t>
  </si>
  <si>
    <t>Nathan Lambert</t>
  </si>
  <si>
    <t>Barry Mack</t>
  </si>
  <si>
    <t>Nicole Hill</t>
  </si>
  <si>
    <t>Sara Brown</t>
  </si>
  <si>
    <t>Jennifer Thomas</t>
  </si>
  <si>
    <t>Anita Jones</t>
  </si>
  <si>
    <t>Tracy Ryan</t>
  </si>
  <si>
    <t>Brian Evans</t>
  </si>
  <si>
    <t>Donna Mack</t>
  </si>
  <si>
    <t>Mark Baker</t>
  </si>
  <si>
    <t>Angela Taylor</t>
  </si>
  <si>
    <t>Robert Williams</t>
  </si>
  <si>
    <t>Jeffrey Smith</t>
  </si>
  <si>
    <t>Peter Little</t>
  </si>
  <si>
    <t>James Delacruz</t>
  </si>
  <si>
    <t>Vanessa Brown</t>
  </si>
  <si>
    <t>Mary Ross</t>
  </si>
  <si>
    <t>Scott Walker</t>
  </si>
  <si>
    <t>Billy Smith</t>
  </si>
  <si>
    <t>Laura Riley</t>
  </si>
  <si>
    <t>Lisa Jackson</t>
  </si>
  <si>
    <t>Elizabeth Williamson</t>
  </si>
  <si>
    <t>Jeffery Tran</t>
  </si>
  <si>
    <t>Heather Estrada</t>
  </si>
  <si>
    <t>Dennis Morrison</t>
  </si>
  <si>
    <t>Brian Trujillo</t>
  </si>
  <si>
    <t>Kristen Sullivan</t>
  </si>
  <si>
    <t>John Garcia</t>
  </si>
  <si>
    <t>Matthew Ferguson</t>
  </si>
  <si>
    <t>Diane Reynolds</t>
  </si>
  <si>
    <t>Katie Jones</t>
  </si>
  <si>
    <t>Amanda Haynes</t>
  </si>
  <si>
    <t>Christina Gay</t>
  </si>
  <si>
    <t>Teresa Smith</t>
  </si>
  <si>
    <t>Justin Arellano</t>
  </si>
  <si>
    <t>Andrew Evans</t>
  </si>
  <si>
    <t>Evan Fisher</t>
  </si>
  <si>
    <t>Scott Davis</t>
  </si>
  <si>
    <t>Caitlin Jones</t>
  </si>
  <si>
    <t>Brooke Norris</t>
  </si>
  <si>
    <t>Patrick Mcdonald</t>
  </si>
  <si>
    <t>Tracy Jenkins</t>
  </si>
  <si>
    <t>Sarah Daniels</t>
  </si>
  <si>
    <t>Thomas Evans</t>
  </si>
  <si>
    <t>Andrew Ballard</t>
  </si>
  <si>
    <t>Mary Hall</t>
  </si>
  <si>
    <t>Alicia Vazquez</t>
  </si>
  <si>
    <t>Rhonda Bowman</t>
  </si>
  <si>
    <t>Heather Patel</t>
  </si>
  <si>
    <t>Patrick Espinoza</t>
  </si>
  <si>
    <t>Tina Hall</t>
  </si>
  <si>
    <t>Edwin Berry</t>
  </si>
  <si>
    <t>Paula Cruz</t>
  </si>
  <si>
    <t>Derrick Harper</t>
  </si>
  <si>
    <t>Norma Cook</t>
  </si>
  <si>
    <t>Laura Lewis</t>
  </si>
  <si>
    <t>Kelly Nash</t>
  </si>
  <si>
    <t>Meredith Alvarado</t>
  </si>
  <si>
    <t>Lori Owens</t>
  </si>
  <si>
    <t>Thomas Boyd</t>
  </si>
  <si>
    <t>Joshua Riddle</t>
  </si>
  <si>
    <t>Brittany Ross</t>
  </si>
  <si>
    <t>Francisco Villarreal</t>
  </si>
  <si>
    <t>Joshua Lara</t>
  </si>
  <si>
    <t>Sheila Shaw</t>
  </si>
  <si>
    <t>Miranda Smith</t>
  </si>
  <si>
    <t>Denise Smith</t>
  </si>
  <si>
    <t>John Phillips</t>
  </si>
  <si>
    <t>Debbie Stanley</t>
  </si>
  <si>
    <t>Heather Johnson</t>
  </si>
  <si>
    <t>Brittany Roberts</t>
  </si>
  <si>
    <t>Lori Barnes</t>
  </si>
  <si>
    <t>Elizabeth Houston</t>
  </si>
  <si>
    <t>Erica Perkins</t>
  </si>
  <si>
    <t>Mr. James Horn</t>
  </si>
  <si>
    <t>Mary Smith</t>
  </si>
  <si>
    <t>Ryan Wilson</t>
  </si>
  <si>
    <t>Anna Garcia</t>
  </si>
  <si>
    <t>Wendy Campbell</t>
  </si>
  <si>
    <t>Michael Baker</t>
  </si>
  <si>
    <t>Laurie Neal MD</t>
  </si>
  <si>
    <t>Jacqueline Hughes</t>
  </si>
  <si>
    <t>Tyler Hart</t>
  </si>
  <si>
    <t>Colton Gordon</t>
  </si>
  <si>
    <t>Sheri Blackwell</t>
  </si>
  <si>
    <t>Melissa Palmer</t>
  </si>
  <si>
    <t>George Washington</t>
  </si>
  <si>
    <t>Jeffrey Green</t>
  </si>
  <si>
    <t>Jimmy Ward Jr.</t>
  </si>
  <si>
    <t>Jennifer Powers</t>
  </si>
  <si>
    <t>Stephanie Jimenez</t>
  </si>
  <si>
    <t>Laura Bray</t>
  </si>
  <si>
    <t>James Moore</t>
  </si>
  <si>
    <t>Chad Roberts</t>
  </si>
  <si>
    <t>Jesse Williams</t>
  </si>
  <si>
    <t>Rita Newman</t>
  </si>
  <si>
    <t>Robert Moore</t>
  </si>
  <si>
    <t>Ryan Middleton</t>
  </si>
  <si>
    <t>Nathan Moore</t>
  </si>
  <si>
    <t>Joshua Griffith</t>
  </si>
  <si>
    <t>Sarah Lopez</t>
  </si>
  <si>
    <t>Jeffery Valdez</t>
  </si>
  <si>
    <t>Rebecca Goodman</t>
  </si>
  <si>
    <t>Lauren Meyers</t>
  </si>
  <si>
    <t>Alicia Thomas</t>
  </si>
  <si>
    <t>Jessica Fowler</t>
  </si>
  <si>
    <t>Alicia Griffin</t>
  </si>
  <si>
    <t>Shane Jones</t>
  </si>
  <si>
    <t>Heather Travis</t>
  </si>
  <si>
    <t>Jason King</t>
  </si>
  <si>
    <t>Christina Brooks</t>
  </si>
  <si>
    <t>Justin Cross</t>
  </si>
  <si>
    <t>Rebecca Sanchez</t>
  </si>
  <si>
    <t>Alex Stone</t>
  </si>
  <si>
    <t>Cheryl Edwards</t>
  </si>
  <si>
    <t>Anthony Washington</t>
  </si>
  <si>
    <t>Gary Allen</t>
  </si>
  <si>
    <t>Kimberly Chandler</t>
  </si>
  <si>
    <t>Patricia Knapp</t>
  </si>
  <si>
    <t>Christina Smith</t>
  </si>
  <si>
    <t>Duane Bartlett</t>
  </si>
  <si>
    <t>Scott Foster</t>
  </si>
  <si>
    <t>Joseph Gould</t>
  </si>
  <si>
    <t>Alicia Wilson</t>
  </si>
  <si>
    <t>Joshua Powell</t>
  </si>
  <si>
    <t>William Reid</t>
  </si>
  <si>
    <t>James Davis</t>
  </si>
  <si>
    <t>Helen Holt</t>
  </si>
  <si>
    <t>Jonathan Green</t>
  </si>
  <si>
    <t>Christina Ramirez</t>
  </si>
  <si>
    <t>Leah Banks</t>
  </si>
  <si>
    <t>Pamela Mccarty</t>
  </si>
  <si>
    <t>Mark Frank</t>
  </si>
  <si>
    <t>Larry Stewart</t>
  </si>
  <si>
    <t>Amber Cardenas</t>
  </si>
  <si>
    <t>Mary Hardy</t>
  </si>
  <si>
    <t>Alexis Mason</t>
  </si>
  <si>
    <t>Allison Ruiz</t>
  </si>
  <si>
    <t>Jane Campbell</t>
  </si>
  <si>
    <t>Christopher Cline</t>
  </si>
  <si>
    <t>David Ferrell</t>
  </si>
  <si>
    <t>David Garcia</t>
  </si>
  <si>
    <t>Kenneth Reeves</t>
  </si>
  <si>
    <t>Carol Reynolds</t>
  </si>
  <si>
    <t>Dawn Duarte</t>
  </si>
  <si>
    <t>Jacqueline Hart</t>
  </si>
  <si>
    <t>Tina Mahoney</t>
  </si>
  <si>
    <t>Hannah Black</t>
  </si>
  <si>
    <t>Charles Bell</t>
  </si>
  <si>
    <t>Casey Bates</t>
  </si>
  <si>
    <t>Jacqueline Green</t>
  </si>
  <si>
    <t>Diana Williams</t>
  </si>
  <si>
    <t>Cassandra Galvan</t>
  </si>
  <si>
    <t>John Palmer</t>
  </si>
  <si>
    <t>Dr. Craig Johnson</t>
  </si>
  <si>
    <t>Raymond Harris</t>
  </si>
  <si>
    <t>John Johnson</t>
  </si>
  <si>
    <t>Bryan Ortiz</t>
  </si>
  <si>
    <t>Anna Cannon</t>
  </si>
  <si>
    <t>Mr. Jerry Wilson</t>
  </si>
  <si>
    <t>Pamela Sims</t>
  </si>
  <si>
    <t>William Coffey</t>
  </si>
  <si>
    <t>Patricia Thornton</t>
  </si>
  <si>
    <t>Gina Miranda</t>
  </si>
  <si>
    <t>Tiffany Rice</t>
  </si>
  <si>
    <t>Angel Massey</t>
  </si>
  <si>
    <t>Vickie Burns</t>
  </si>
  <si>
    <t>Russell Moore</t>
  </si>
  <si>
    <t>Angela Hoffman</t>
  </si>
  <si>
    <t>Amy Fernandez</t>
  </si>
  <si>
    <t>Jackson Bailey</t>
  </si>
  <si>
    <t>Nancy Woods</t>
  </si>
  <si>
    <t>Jeffrey Taylor</t>
  </si>
  <si>
    <t>Melissa Lang</t>
  </si>
  <si>
    <t>Matthew Frank</t>
  </si>
  <si>
    <t>Scott Ellis</t>
  </si>
  <si>
    <t>Lorraine Newman</t>
  </si>
  <si>
    <t>Monica Mueller</t>
  </si>
  <si>
    <t>Jeremy Moreno</t>
  </si>
  <si>
    <t>Mckenzie Khan</t>
  </si>
  <si>
    <t>Joseph Anthony</t>
  </si>
  <si>
    <t>Marie Horton</t>
  </si>
  <si>
    <t>Autumn Robertson</t>
  </si>
  <si>
    <t>Brittney Ramirez</t>
  </si>
  <si>
    <t>Ian Fischer</t>
  </si>
  <si>
    <t>Jessica Wang</t>
  </si>
  <si>
    <t>Lisa Horton</t>
  </si>
  <si>
    <t>Allison Gallagher</t>
  </si>
  <si>
    <t>James Hale</t>
  </si>
  <si>
    <t>Tyler Lopez</t>
  </si>
  <si>
    <t>Juan Lee</t>
  </si>
  <si>
    <t>Christopher Ryan</t>
  </si>
  <si>
    <t>Dana Santiago</t>
  </si>
  <si>
    <t>Michael Ward</t>
  </si>
  <si>
    <t>Nicole Hart</t>
  </si>
  <si>
    <t>Stephen Rodriguez</t>
  </si>
  <si>
    <t>Robert Olsen</t>
  </si>
  <si>
    <t>Angela Villegas</t>
  </si>
  <si>
    <t>Lisa Rodriguez</t>
  </si>
  <si>
    <t>Mary Williams</t>
  </si>
  <si>
    <t>Alyssa Chan</t>
  </si>
  <si>
    <t>Mark Pacheco</t>
  </si>
  <si>
    <t>Jackson Wagner</t>
  </si>
  <si>
    <t>Sandra Shah</t>
  </si>
  <si>
    <t>Steven Cook</t>
  </si>
  <si>
    <t>Robert Glass</t>
  </si>
  <si>
    <t>Robert Hayes</t>
  </si>
  <si>
    <t>Thomas Adams</t>
  </si>
  <si>
    <t>Katherine Moyer</t>
  </si>
  <si>
    <t>Joseph Figueroa</t>
  </si>
  <si>
    <t>Diana Stanley</t>
  </si>
  <si>
    <t>Kimberly Garcia</t>
  </si>
  <si>
    <t>Becky Larson</t>
  </si>
  <si>
    <t>Cynthia Ruiz</t>
  </si>
  <si>
    <t>Rebekah Moreno</t>
  </si>
  <si>
    <t>Alyssa Bishop</t>
  </si>
  <si>
    <t>Brian Wilson</t>
  </si>
  <si>
    <t>Justin Jones</t>
  </si>
  <si>
    <t>Roger Greene</t>
  </si>
  <si>
    <t>Melissa Flores</t>
  </si>
  <si>
    <t>Dylan Carter</t>
  </si>
  <si>
    <t>Ethan Robertson</t>
  </si>
  <si>
    <t>Albert Matthews</t>
  </si>
  <si>
    <t>Antonio Reyes</t>
  </si>
  <si>
    <t>Michael Potter</t>
  </si>
  <si>
    <t>Rebecca Porter</t>
  </si>
  <si>
    <t>Audrey Zuniga</t>
  </si>
  <si>
    <t>Tabitha Mitchell</t>
  </si>
  <si>
    <t>Sierra Ruiz</t>
  </si>
  <si>
    <t>Donald Marshall</t>
  </si>
  <si>
    <t>Jacob Cox</t>
  </si>
  <si>
    <t>Rebecca Frost DVM</t>
  </si>
  <si>
    <t>Alexis Hooper</t>
  </si>
  <si>
    <t>Denise Villarreal</t>
  </si>
  <si>
    <t>Anthony Padilla</t>
  </si>
  <si>
    <t>Jeffrey Owens</t>
  </si>
  <si>
    <t>Johnny Rhodes</t>
  </si>
  <si>
    <t>Erica Diaz MD</t>
  </si>
  <si>
    <t>Mrs. Katherine Ellis DVM</t>
  </si>
  <si>
    <t>Elizabeth Webb</t>
  </si>
  <si>
    <t>Mrs. Jaime Jones</t>
  </si>
  <si>
    <t>Steven Ellis</t>
  </si>
  <si>
    <t>Heidi Smith</t>
  </si>
  <si>
    <t>Nicole Cooper</t>
  </si>
  <si>
    <t>Brian Patrick DVM</t>
  </si>
  <si>
    <t>Glenda Perez</t>
  </si>
  <si>
    <t>Eric Herring</t>
  </si>
  <si>
    <t>Dominic Hartman</t>
  </si>
  <si>
    <t>Bryan Morgan</t>
  </si>
  <si>
    <t>Victoria Rogers</t>
  </si>
  <si>
    <t>Amy Thompson</t>
  </si>
  <si>
    <t>Brittany Morgan</t>
  </si>
  <si>
    <t>Russell Hughes</t>
  </si>
  <si>
    <t>Gabrielle Fisher</t>
  </si>
  <si>
    <t>Heather Mcdonald</t>
  </si>
  <si>
    <t>Sara Bell</t>
  </si>
  <si>
    <t>Amanda Fox</t>
  </si>
  <si>
    <t>Jordan Hill</t>
  </si>
  <si>
    <t>Wendy Evans</t>
  </si>
  <si>
    <t>Erica Lee</t>
  </si>
  <si>
    <t>Tony Rodriguez</t>
  </si>
  <si>
    <t>Richard Morrison</t>
  </si>
  <si>
    <t>Malik Carter</t>
  </si>
  <si>
    <t>Patricia Williams</t>
  </si>
  <si>
    <t>Brittany Conway</t>
  </si>
  <si>
    <t>Michael Nelson</t>
  </si>
  <si>
    <t>Kim Cain</t>
  </si>
  <si>
    <t>Christina Rios</t>
  </si>
  <si>
    <t>Mark Estes</t>
  </si>
  <si>
    <t>Stephen Moore</t>
  </si>
  <si>
    <t>Amanda Schneider</t>
  </si>
  <si>
    <t>Ryan Graham</t>
  </si>
  <si>
    <t>Matthew Morgan</t>
  </si>
  <si>
    <t>Benjamin Banks</t>
  </si>
  <si>
    <t>Michael Carroll</t>
  </si>
  <si>
    <t>Craig Moss</t>
  </si>
  <si>
    <t>Marco Rodgers</t>
  </si>
  <si>
    <t>Christopher Huff</t>
  </si>
  <si>
    <t>Raymond Cross</t>
  </si>
  <si>
    <t>Mr. Christopher Webster</t>
  </si>
  <si>
    <t>Wendy Byrd</t>
  </si>
  <si>
    <t>Robin Brown</t>
  </si>
  <si>
    <t>Christopher Miller</t>
  </si>
  <si>
    <t>Lauren Nelson</t>
  </si>
  <si>
    <t>Marissa Wilson</t>
  </si>
  <si>
    <t>Mary Boyle</t>
  </si>
  <si>
    <t>Julie Nguyen</t>
  </si>
  <si>
    <t>Erica Cohen</t>
  </si>
  <si>
    <t>Cory Gonzalez</t>
  </si>
  <si>
    <t>Alexandra Livingston</t>
  </si>
  <si>
    <t>Danielle Johnston</t>
  </si>
  <si>
    <t>Tammy Washington</t>
  </si>
  <si>
    <t>James Holloway</t>
  </si>
  <si>
    <t>Angela Key</t>
  </si>
  <si>
    <t>Brian Douglas</t>
  </si>
  <si>
    <t>Tara Johnston MD</t>
  </si>
  <si>
    <t>Michael Anderson</t>
  </si>
  <si>
    <t>Cody Hill</t>
  </si>
  <si>
    <t>Autumn Villa</t>
  </si>
  <si>
    <t>Anthony Hill</t>
  </si>
  <si>
    <t>Gina Munoz</t>
  </si>
  <si>
    <t>Christina Martin</t>
  </si>
  <si>
    <t>Janice Cole</t>
  </si>
  <si>
    <t>Andrew Reynolds</t>
  </si>
  <si>
    <t>Thomas Mckinney</t>
  </si>
  <si>
    <t>Wyatt Stout</t>
  </si>
  <si>
    <t>Joe Jackson</t>
  </si>
  <si>
    <t>Danielle Roth</t>
  </si>
  <si>
    <t>Nicholas Williams</t>
  </si>
  <si>
    <t>Roy Arias</t>
  </si>
  <si>
    <t>Ryan Dunn</t>
  </si>
  <si>
    <t>Rebecca Warren</t>
  </si>
  <si>
    <t>Kerry Lopez</t>
  </si>
  <si>
    <t>James Anthony</t>
  </si>
  <si>
    <t>Paul Daniels</t>
  </si>
  <si>
    <t>Mackenzie Dean</t>
  </si>
  <si>
    <t>Scott Osborne</t>
  </si>
  <si>
    <t>Martin Shah</t>
  </si>
  <si>
    <t>Alison Chen</t>
  </si>
  <si>
    <t>Tyler Roth</t>
  </si>
  <si>
    <t>Erica Grant</t>
  </si>
  <si>
    <t>Heather Lopez</t>
  </si>
  <si>
    <t>Scott Gordon</t>
  </si>
  <si>
    <t>Anthony Walter</t>
  </si>
  <si>
    <t>Zachary Zimmerman</t>
  </si>
  <si>
    <t>Anthony Dixon</t>
  </si>
  <si>
    <t>Amy Perez</t>
  </si>
  <si>
    <t>Kayla Gill</t>
  </si>
  <si>
    <t>Amy Patrick</t>
  </si>
  <si>
    <t>Jonathan Lopez</t>
  </si>
  <si>
    <t>Jessica Smith</t>
  </si>
  <si>
    <t>Anne Taylor</t>
  </si>
  <si>
    <t>Morgan Glover</t>
  </si>
  <si>
    <t>Arthur Franklin</t>
  </si>
  <si>
    <t>Kimberly Nelson</t>
  </si>
  <si>
    <t>Molly Mcdonald</t>
  </si>
  <si>
    <t>Beverly Nelson</t>
  </si>
  <si>
    <t>Gary Francis</t>
  </si>
  <si>
    <t>Jennifer Rogers</t>
  </si>
  <si>
    <t>John Burton</t>
  </si>
  <si>
    <t>Loretta Young</t>
  </si>
  <si>
    <t>James Pena</t>
  </si>
  <si>
    <t>Michelle Stephens DVM</t>
  </si>
  <si>
    <t>Sarah Fitzpatrick</t>
  </si>
  <si>
    <t>Mr. John Wolf DDS</t>
  </si>
  <si>
    <t>Megan Jones</t>
  </si>
  <si>
    <t>Kristen Kemp</t>
  </si>
  <si>
    <t>Brittany Walker</t>
  </si>
  <si>
    <t>Susan Cross</t>
  </si>
  <si>
    <t>Steven Johnson</t>
  </si>
  <si>
    <t>Priscilla Mcclure</t>
  </si>
  <si>
    <t>Kimberly Brooks</t>
  </si>
  <si>
    <t>Nicole Sandoval</t>
  </si>
  <si>
    <t>Annette Gomez</t>
  </si>
  <si>
    <t>Daniel Knox</t>
  </si>
  <si>
    <t>Heather Ingram</t>
  </si>
  <si>
    <t>James Coleman</t>
  </si>
  <si>
    <t>Ms. Vicki Whitaker DDS</t>
  </si>
  <si>
    <t>Michael Vincent</t>
  </si>
  <si>
    <t>Seth Allen</t>
  </si>
  <si>
    <t>Jessica Burgess</t>
  </si>
  <si>
    <t>Angel Johnson</t>
  </si>
  <si>
    <t>Melissa Lawrence</t>
  </si>
  <si>
    <t>Juan Schmidt</t>
  </si>
  <si>
    <t>Carla Middleton</t>
  </si>
  <si>
    <t>Terry Mccormick</t>
  </si>
  <si>
    <t>Isaac Gonzalez</t>
  </si>
  <si>
    <t>Alex Mitchell</t>
  </si>
  <si>
    <t>Dr. Sandra Terry</t>
  </si>
  <si>
    <t>Arthur Green</t>
  </si>
  <si>
    <t>Donna Chan</t>
  </si>
  <si>
    <t>Caroline Johnson</t>
  </si>
  <si>
    <t>Stephanie Fowler</t>
  </si>
  <si>
    <t>Julie Leonard</t>
  </si>
  <si>
    <t>Shawn Velez</t>
  </si>
  <si>
    <t>Terri Ochoa</t>
  </si>
  <si>
    <t>Tamara Brooks</t>
  </si>
  <si>
    <t>Jennifer Andrews</t>
  </si>
  <si>
    <t>Laurie Gardner</t>
  </si>
  <si>
    <t>Olivia Bullock</t>
  </si>
  <si>
    <t>Brandon Walter</t>
  </si>
  <si>
    <t>Jacqueline Lee</t>
  </si>
  <si>
    <t>Tina Brown</t>
  </si>
  <si>
    <t>Cheryl Huff</t>
  </si>
  <si>
    <t>Sergio Rodriguez</t>
  </si>
  <si>
    <t>Sarah Wright</t>
  </si>
  <si>
    <t>Debbie Heath</t>
  </si>
  <si>
    <t>Brian Parrish</t>
  </si>
  <si>
    <t>Ethan Cummings</t>
  </si>
  <si>
    <t>Anthony Tapia</t>
  </si>
  <si>
    <t>David Figueroa</t>
  </si>
  <si>
    <t>Christine Mclaughlin</t>
  </si>
  <si>
    <t>Michael Freeman</t>
  </si>
  <si>
    <t>Sierra Fleming</t>
  </si>
  <si>
    <t>Brian Scott</t>
  </si>
  <si>
    <t>Adam Christensen</t>
  </si>
  <si>
    <t>Michael Weber</t>
  </si>
  <si>
    <t>Lori Holloway</t>
  </si>
  <si>
    <t>Veronica Riley</t>
  </si>
  <si>
    <t>Thomas Ponce</t>
  </si>
  <si>
    <t>Destiny Taylor</t>
  </si>
  <si>
    <t>Kevin George</t>
  </si>
  <si>
    <t>Joel Miller</t>
  </si>
  <si>
    <t>Anna Vega</t>
  </si>
  <si>
    <t>Scott Burnett</t>
  </si>
  <si>
    <t>Keith Watson</t>
  </si>
  <si>
    <t>Rebekah Mclean</t>
  </si>
  <si>
    <t>Veronica Glenn</t>
  </si>
  <si>
    <t>John Guzman</t>
  </si>
  <si>
    <t>Jon Jacobs</t>
  </si>
  <si>
    <t>Anna Castillo</t>
  </si>
  <si>
    <t>Kara Salazar</t>
  </si>
  <si>
    <t>Casey Thomas</t>
  </si>
  <si>
    <t>Jessica Williams</t>
  </si>
  <si>
    <t>Daniel Werner</t>
  </si>
  <si>
    <t>Linda Williams</t>
  </si>
  <si>
    <t>William Moore</t>
  </si>
  <si>
    <t>Timothy Huff</t>
  </si>
  <si>
    <t>Scott Fitzgerald</t>
  </si>
  <si>
    <t>Daisy Herrera</t>
  </si>
  <si>
    <t>Joseph Mathews</t>
  </si>
  <si>
    <t>Christina Brady</t>
  </si>
  <si>
    <t>Michael Cooper</t>
  </si>
  <si>
    <t>David Scott</t>
  </si>
  <si>
    <t>Robert Waters</t>
  </si>
  <si>
    <t>Brandon Foley</t>
  </si>
  <si>
    <t>Louis Reyes</t>
  </si>
  <si>
    <t>Theodore Manning</t>
  </si>
  <si>
    <t>Anthony Johnson</t>
  </si>
  <si>
    <t>Jack Campbell</t>
  </si>
  <si>
    <t>Debra Campos</t>
  </si>
  <si>
    <t>Jessica Morrison</t>
  </si>
  <si>
    <t>Dr. Angel Dixon</t>
  </si>
  <si>
    <t>Bryan Robinson</t>
  </si>
  <si>
    <t>Jeffrey Sosa</t>
  </si>
  <si>
    <t>Cody Page</t>
  </si>
  <si>
    <t>Tracy Cook</t>
  </si>
  <si>
    <t>Todd Leonard</t>
  </si>
  <si>
    <t>Jeffrey Miller</t>
  </si>
  <si>
    <t>Michael Fox</t>
  </si>
  <si>
    <t>Rachael Ellison</t>
  </si>
  <si>
    <t>Philip Warner</t>
  </si>
  <si>
    <t>Mark Gallagher</t>
  </si>
  <si>
    <t>Susan Pitts</t>
  </si>
  <si>
    <t>Joshua Wells</t>
  </si>
  <si>
    <t>Brandon Obrien</t>
  </si>
  <si>
    <t>Brent Russell</t>
  </si>
  <si>
    <t>Leslie Williams</t>
  </si>
  <si>
    <t>Christopher Robinson</t>
  </si>
  <si>
    <t>Mrs. Michelle Blackwell DVM</t>
  </si>
  <si>
    <t>Troy Turner</t>
  </si>
  <si>
    <t>Victoria Dixon</t>
  </si>
  <si>
    <t>Brian Kidd</t>
  </si>
  <si>
    <t>Sarah Gregory</t>
  </si>
  <si>
    <t>Matthew Tyler</t>
  </si>
  <si>
    <t>Samuel Lopez</t>
  </si>
  <si>
    <t>Jeffrey Underwood</t>
  </si>
  <si>
    <t>Brittany Daniels</t>
  </si>
  <si>
    <t>Robert Hines</t>
  </si>
  <si>
    <t>Debra Cain</t>
  </si>
  <si>
    <t>Darius Hendricks</t>
  </si>
  <si>
    <t>Jennifer Bush</t>
  </si>
  <si>
    <t>Michael Rivas</t>
  </si>
  <si>
    <t>Kimberly Cobb</t>
  </si>
  <si>
    <t>Stephen Lee</t>
  </si>
  <si>
    <t>Nicholas Chen</t>
  </si>
  <si>
    <t>Brenda Martinez</t>
  </si>
  <si>
    <t>Kayla Buck PhD</t>
  </si>
  <si>
    <t>Benjamin White</t>
  </si>
  <si>
    <t>Nathaniel Ali</t>
  </si>
  <si>
    <t>Jessica Wong</t>
  </si>
  <si>
    <t>April Clarke</t>
  </si>
  <si>
    <t>Samantha Gross</t>
  </si>
  <si>
    <t>Connie Smith</t>
  </si>
  <si>
    <t>Scott Andrews</t>
  </si>
  <si>
    <t>Kelly Crawford</t>
  </si>
  <si>
    <t>Michael Spencer</t>
  </si>
  <si>
    <t>Kayla Cunningham</t>
  </si>
  <si>
    <t>William Fitzgerald</t>
  </si>
  <si>
    <t>Craig Schroeder</t>
  </si>
  <si>
    <t>Linda Boone</t>
  </si>
  <si>
    <t>Dr. Nancy Schroeder</t>
  </si>
  <si>
    <t>Brian Davis</t>
  </si>
  <si>
    <t>Chad Gordon</t>
  </si>
  <si>
    <t>Dr. Jose Jordan Jr.</t>
  </si>
  <si>
    <t>Shawn Johnson</t>
  </si>
  <si>
    <t>Rose Ho</t>
  </si>
  <si>
    <t>Jenny Anderson</t>
  </si>
  <si>
    <t>Barbara Steele</t>
  </si>
  <si>
    <t>Albert Rodriguez</t>
  </si>
  <si>
    <t>Stacy Rodriguez</t>
  </si>
  <si>
    <t>Katie Herrera</t>
  </si>
  <si>
    <t>Casey Gonzales</t>
  </si>
  <si>
    <t>Jerry Powell</t>
  </si>
  <si>
    <t>Julie Flynn</t>
  </si>
  <si>
    <t>Valerie Fernandez</t>
  </si>
  <si>
    <t>Kristina Collins</t>
  </si>
  <si>
    <t>Jennifer Wagner</t>
  </si>
  <si>
    <t>Dr. Michael Berry</t>
  </si>
  <si>
    <t>Brent James</t>
  </si>
  <si>
    <t>Yolanda Huber</t>
  </si>
  <si>
    <t>Anna Medina</t>
  </si>
  <si>
    <t>Pamela Carter</t>
  </si>
  <si>
    <t>Maureen Mcdaniel</t>
  </si>
  <si>
    <t>Sonya Castillo</t>
  </si>
  <si>
    <t>Tom Salas</t>
  </si>
  <si>
    <t>Kevin Thompson</t>
  </si>
  <si>
    <t>Danielle Blair</t>
  </si>
  <si>
    <t>Veronica Horton</t>
  </si>
  <si>
    <t>Grant Evans</t>
  </si>
  <si>
    <t>James Choi</t>
  </si>
  <si>
    <t>Donna Ray</t>
  </si>
  <si>
    <t>Shawn Fuller</t>
  </si>
  <si>
    <t>Paula Wheeler</t>
  </si>
  <si>
    <t>Erica Bush</t>
  </si>
  <si>
    <t>Wendy Adams</t>
  </si>
  <si>
    <t>Robert Rogers</t>
  </si>
  <si>
    <t>James Cline</t>
  </si>
  <si>
    <t>Marie Bailey</t>
  </si>
  <si>
    <t>Jacob Burke</t>
  </si>
  <si>
    <t>Jose Calhoun</t>
  </si>
  <si>
    <t>Glenda Taylor</t>
  </si>
  <si>
    <t>Antonio Rice</t>
  </si>
  <si>
    <t>Cheyenne Garcia</t>
  </si>
  <si>
    <t>Rachel Vang</t>
  </si>
  <si>
    <t>Larry Norman</t>
  </si>
  <si>
    <t>Debra Hill</t>
  </si>
  <si>
    <t>Joseph Walker</t>
  </si>
  <si>
    <t>Richard Barber</t>
  </si>
  <si>
    <t>Paula Jackson</t>
  </si>
  <si>
    <t>Shelly Moore</t>
  </si>
  <si>
    <t>Yvonne Roth</t>
  </si>
  <si>
    <t>Tyler Bond</t>
  </si>
  <si>
    <t>Patrick Jimenez</t>
  </si>
  <si>
    <t>Emily Bowen</t>
  </si>
  <si>
    <t>Anna Guerrero</t>
  </si>
  <si>
    <t>John Perkins</t>
  </si>
  <si>
    <t>Terri Maynard</t>
  </si>
  <si>
    <t>Don Nixon</t>
  </si>
  <si>
    <t>Michael Chapman</t>
  </si>
  <si>
    <t>Kerri Carter</t>
  </si>
  <si>
    <t>William Lewis</t>
  </si>
  <si>
    <t>Michael Turner</t>
  </si>
  <si>
    <t>Kathryn Estrada</t>
  </si>
  <si>
    <t>Ashley Mcfarland</t>
  </si>
  <si>
    <t>Mia Scott</t>
  </si>
  <si>
    <t>Barbara Ward</t>
  </si>
  <si>
    <t>Jamie Hamilton</t>
  </si>
  <si>
    <t>Julia Stewart</t>
  </si>
  <si>
    <t>Leah Perez</t>
  </si>
  <si>
    <t>Julie Reid</t>
  </si>
  <si>
    <t>Rebecca Ford</t>
  </si>
  <si>
    <t>Michael Nixon</t>
  </si>
  <si>
    <t>Nicholas Smith</t>
  </si>
  <si>
    <t>Kelly Stone</t>
  </si>
  <si>
    <t>Steven Thomas</t>
  </si>
  <si>
    <t>Ricky Novak</t>
  </si>
  <si>
    <t>Robyn Gutierrez</t>
  </si>
  <si>
    <t>Lisa Simpson</t>
  </si>
  <si>
    <t>Jesse Barr</t>
  </si>
  <si>
    <t>Cameron Jones</t>
  </si>
  <si>
    <t>Adam Doyle</t>
  </si>
  <si>
    <t>John Barron</t>
  </si>
  <si>
    <t>Deborah Trujillo</t>
  </si>
  <si>
    <t>Veronica Welch</t>
  </si>
  <si>
    <t>Daniel Tate</t>
  </si>
  <si>
    <t>Steven Burton</t>
  </si>
  <si>
    <t>Danielle Smith</t>
  </si>
  <si>
    <t>Wendy Nichols</t>
  </si>
  <si>
    <t>Charles Cobb</t>
  </si>
  <si>
    <t>Eric Mcknight</t>
  </si>
  <si>
    <t>Billy Ross</t>
  </si>
  <si>
    <t>Christopher Johnson</t>
  </si>
  <si>
    <t>Mr. Daniel Sanchez</t>
  </si>
  <si>
    <t>Victor Newman</t>
  </si>
  <si>
    <t>Ryan Rodriguez</t>
  </si>
  <si>
    <t>Jennifer Edwards</t>
  </si>
  <si>
    <t>Shannon Sanders</t>
  </si>
  <si>
    <t>Ryan Webb</t>
  </si>
  <si>
    <t>Denise Williams</t>
  </si>
  <si>
    <t>Laura Jennings</t>
  </si>
  <si>
    <t>Ryan Foster</t>
  </si>
  <si>
    <t>Kathleen Lee</t>
  </si>
  <si>
    <t>Mary Holmes</t>
  </si>
  <si>
    <t>Jesse Andrews</t>
  </si>
  <si>
    <t>Ryan Oconnell</t>
  </si>
  <si>
    <t>Kathryn Jones</t>
  </si>
  <si>
    <t>Victoria Walker</t>
  </si>
  <si>
    <t>Kristen Young</t>
  </si>
  <si>
    <t>Jerry Lee</t>
  </si>
  <si>
    <t>Mary Gordon</t>
  </si>
  <si>
    <t>Kristina Glenn</t>
  </si>
  <si>
    <t>John Aguilar</t>
  </si>
  <si>
    <t>Nathaniel Holmes</t>
  </si>
  <si>
    <t>Victoria Miller</t>
  </si>
  <si>
    <t>Sean Aguirre</t>
  </si>
  <si>
    <t>Alexis Decker</t>
  </si>
  <si>
    <t>Amber Stein</t>
  </si>
  <si>
    <t>Andrew Watkins</t>
  </si>
  <si>
    <t>Catherine Lang</t>
  </si>
  <si>
    <t>Kara Green</t>
  </si>
  <si>
    <t>James Buchanan</t>
  </si>
  <si>
    <t>Terry Johnson</t>
  </si>
  <si>
    <t>Amanda Johnson</t>
  </si>
  <si>
    <t>Christopher Blair</t>
  </si>
  <si>
    <t>Dawn Edwards</t>
  </si>
  <si>
    <t>Michael Cook</t>
  </si>
  <si>
    <t>Denise Cox</t>
  </si>
  <si>
    <t>James Cummings</t>
  </si>
  <si>
    <t>Lisa Garcia</t>
  </si>
  <si>
    <t>Sarah Montgomery</t>
  </si>
  <si>
    <t>Suzanne Gomez</t>
  </si>
  <si>
    <t>Natalie Allen</t>
  </si>
  <si>
    <t>Scott Sloan</t>
  </si>
  <si>
    <t>Daniel Bishop</t>
  </si>
  <si>
    <t>Nicole Osborn</t>
  </si>
  <si>
    <t>Sarah Marshall</t>
  </si>
  <si>
    <t>Sean Sanchez</t>
  </si>
  <si>
    <t>Gregory Garrett</t>
  </si>
  <si>
    <t>Gina Davis</t>
  </si>
  <si>
    <t>Kirk Robinson</t>
  </si>
  <si>
    <t>Joe Simon</t>
  </si>
  <si>
    <t>Benjamin Moore</t>
  </si>
  <si>
    <t>Anthony Ellison</t>
  </si>
  <si>
    <t>Ryan Nelson</t>
  </si>
  <si>
    <t>Jose Mccoy</t>
  </si>
  <si>
    <t>Christina Brown</t>
  </si>
  <si>
    <t>Lauren Boyd</t>
  </si>
  <si>
    <t>Barbara Lewis</t>
  </si>
  <si>
    <t>Robert Tanner</t>
  </si>
  <si>
    <t>Sean Miller</t>
  </si>
  <si>
    <t>Linda Taylor</t>
  </si>
  <si>
    <t>Stephanie Kelly</t>
  </si>
  <si>
    <t>James Estrada</t>
  </si>
  <si>
    <t>Mary Roberts</t>
  </si>
  <si>
    <t>Whitney Frederick</t>
  </si>
  <si>
    <t>Jennifer Gonzalez</t>
  </si>
  <si>
    <t>Vincent Long</t>
  </si>
  <si>
    <t>Marcus Vincent</t>
  </si>
  <si>
    <t>Jacqueline Meyer</t>
  </si>
  <si>
    <t>James Walker</t>
  </si>
  <si>
    <t>Miss Virginia Jensen</t>
  </si>
  <si>
    <t>John Lopez</t>
  </si>
  <si>
    <t>Cheryl Summers</t>
  </si>
  <si>
    <t>Molly Sharp</t>
  </si>
  <si>
    <t>Austin Baker Jr.</t>
  </si>
  <si>
    <t>Wyatt Tran</t>
  </si>
  <si>
    <t>Nicholas Daniels</t>
  </si>
  <si>
    <t>Andrea Parker</t>
  </si>
  <si>
    <t>Kimberly Warren</t>
  </si>
  <si>
    <t>Keith Cabrera</t>
  </si>
  <si>
    <t>Deanna Benson</t>
  </si>
  <si>
    <t>Brian Coleman</t>
  </si>
  <si>
    <t>Debbie Edwards</t>
  </si>
  <si>
    <t>Elijah Garcia</t>
  </si>
  <si>
    <t>Shawn Salinas</t>
  </si>
  <si>
    <t>Jacob Ross</t>
  </si>
  <si>
    <t>Amy Jones</t>
  </si>
  <si>
    <t>Emily Willis MD</t>
  </si>
  <si>
    <t>Jennifer Riley</t>
  </si>
  <si>
    <t>Alejandra Jennings</t>
  </si>
  <si>
    <t>Marcus Frazier</t>
  </si>
  <si>
    <t>Jessica Sanders</t>
  </si>
  <si>
    <t>Sarah Hood</t>
  </si>
  <si>
    <t>Joanne Molina</t>
  </si>
  <si>
    <t>Brittany Johnston</t>
  </si>
  <si>
    <t>Tracy Jefferson</t>
  </si>
  <si>
    <t>Phillip Ramirez PhD</t>
  </si>
  <si>
    <t>David Stark</t>
  </si>
  <si>
    <t>Jamie Mcmillan</t>
  </si>
  <si>
    <t>Molly Ellis</t>
  </si>
  <si>
    <t>Laura Weeks</t>
  </si>
  <si>
    <t>Michael Douglas</t>
  </si>
  <si>
    <t>Samuel Russell</t>
  </si>
  <si>
    <t>Daniel Harrison</t>
  </si>
  <si>
    <t>Glenn Wade</t>
  </si>
  <si>
    <t>Patricia French</t>
  </si>
  <si>
    <t>Gregory Taylor</t>
  </si>
  <si>
    <t>Anthony Robinson</t>
  </si>
  <si>
    <t>Michael Cox</t>
  </si>
  <si>
    <t>Laura Smith</t>
  </si>
  <si>
    <t>Douglas Dixon</t>
  </si>
  <si>
    <t>Dillon Watts</t>
  </si>
  <si>
    <t>William Francis</t>
  </si>
  <si>
    <t>Devin Flores</t>
  </si>
  <si>
    <t>Kiara Simmons</t>
  </si>
  <si>
    <t>Kara May</t>
  </si>
  <si>
    <t>Luis Jennings PhD</t>
  </si>
  <si>
    <t>Amanda Black</t>
  </si>
  <si>
    <t>Taylor Alvarez</t>
  </si>
  <si>
    <t>Thomas Warner</t>
  </si>
  <si>
    <t>Kenneth Cantrell</t>
  </si>
  <si>
    <t>Kelly Camacho</t>
  </si>
  <si>
    <t>Haley Lee</t>
  </si>
  <si>
    <t>Katie Barnes</t>
  </si>
  <si>
    <t>Jordan Allen</t>
  </si>
  <si>
    <t>Lisa Allen</t>
  </si>
  <si>
    <t>Seth Lyons</t>
  </si>
  <si>
    <t>Ryan Stephens</t>
  </si>
  <si>
    <t>Samuel Burns</t>
  </si>
  <si>
    <t>Jillian Huffman</t>
  </si>
  <si>
    <t>Lisa Moore</t>
  </si>
  <si>
    <t>Daniel Jones</t>
  </si>
  <si>
    <t>Deborah Fry</t>
  </si>
  <si>
    <t>Robert Figueroa</t>
  </si>
  <si>
    <t>James Baker</t>
  </si>
  <si>
    <t>Karl Delgado</t>
  </si>
  <si>
    <t>Mark Velazquez</t>
  </si>
  <si>
    <t>Damon Mcmahon</t>
  </si>
  <si>
    <t>Jessica Cardenas</t>
  </si>
  <si>
    <t>Kyle Russell</t>
  </si>
  <si>
    <t>Kevin Stevens</t>
  </si>
  <si>
    <t>Sabrina Pittman</t>
  </si>
  <si>
    <t>Kristen Scott</t>
  </si>
  <si>
    <t>Lonnie Roberts</t>
  </si>
  <si>
    <t>Charles Fitzgerald</t>
  </si>
  <si>
    <t>Heather Wells</t>
  </si>
  <si>
    <t>Steven Castillo</t>
  </si>
  <si>
    <t>Jason Weaver</t>
  </si>
  <si>
    <t>Kenneth Hendrix</t>
  </si>
  <si>
    <t>Marisa Larson</t>
  </si>
  <si>
    <t>Shawn Smith</t>
  </si>
  <si>
    <t>Phillip Mcgee</t>
  </si>
  <si>
    <t>Christopher Sawyer</t>
  </si>
  <si>
    <t>Brittany Hill</t>
  </si>
  <si>
    <t>Denise Greene</t>
  </si>
  <si>
    <t>Pamela Orr</t>
  </si>
  <si>
    <t>Amber Terry</t>
  </si>
  <si>
    <t>Steven Davis</t>
  </si>
  <si>
    <t>Anthony Parker</t>
  </si>
  <si>
    <t>Christine Cunningham</t>
  </si>
  <si>
    <t>Brian Shaw</t>
  </si>
  <si>
    <t>Jillian Martinez</t>
  </si>
  <si>
    <t>Alyssa Lee</t>
  </si>
  <si>
    <t>Laura Nelson</t>
  </si>
  <si>
    <t>Dylan Graves</t>
  </si>
  <si>
    <t>Teresa Johnson</t>
  </si>
  <si>
    <t>Kenneth Pugh</t>
  </si>
  <si>
    <t>Victor Maldonado</t>
  </si>
  <si>
    <t>Robert Byrd</t>
  </si>
  <si>
    <t>Brett Morrison</t>
  </si>
  <si>
    <t>Alexander Kelly</t>
  </si>
  <si>
    <t>Kristine Neal</t>
  </si>
  <si>
    <t>Emma Williams</t>
  </si>
  <si>
    <t>Theresa Hatfield</t>
  </si>
  <si>
    <t>Alex Atkinson</t>
  </si>
  <si>
    <t>Jennifer Fry</t>
  </si>
  <si>
    <t>Matthew Martin DDS</t>
  </si>
  <si>
    <t>Jessica Jensen</t>
  </si>
  <si>
    <t>Cassandra Daniel</t>
  </si>
  <si>
    <t>Dennis Wiggins</t>
  </si>
  <si>
    <t>Mr. Jon Richards</t>
  </si>
  <si>
    <t>Kristina Dickerson</t>
  </si>
  <si>
    <t>Dr. Matthew White</t>
  </si>
  <si>
    <t>Erica Smith</t>
  </si>
  <si>
    <t>Brian Sherman</t>
  </si>
  <si>
    <t>Cory Buckley</t>
  </si>
  <si>
    <t>Adrian Ingram</t>
  </si>
  <si>
    <t>Kendra Gates</t>
  </si>
  <si>
    <t>Richard Smith</t>
  </si>
  <si>
    <t>Laura Howell</t>
  </si>
  <si>
    <t>Dennis Dominguez</t>
  </si>
  <si>
    <t>Amy Bean</t>
  </si>
  <si>
    <t>Collin Hill</t>
  </si>
  <si>
    <t>Carla Barajas</t>
  </si>
  <si>
    <t>Emily Ward</t>
  </si>
  <si>
    <t>Jody Mathews</t>
  </si>
  <si>
    <t>Deanna Smith</t>
  </si>
  <si>
    <t>Ashley Munoz</t>
  </si>
  <si>
    <t>Amanda Hanson</t>
  </si>
  <si>
    <t>Erica Estrada</t>
  </si>
  <si>
    <t>Francis Harvey</t>
  </si>
  <si>
    <t>Sarah Ford</t>
  </si>
  <si>
    <t>Christopher Snyder</t>
  </si>
  <si>
    <t>Joshua Barker II</t>
  </si>
  <si>
    <t>William Sanchez</t>
  </si>
  <si>
    <t>Elaine Brown</t>
  </si>
  <si>
    <t>Carlos Cunningham</t>
  </si>
  <si>
    <t>Joe Washington DDS</t>
  </si>
  <si>
    <t>Meredith Lopez</t>
  </si>
  <si>
    <t>Steven Morris</t>
  </si>
  <si>
    <t>Ashley Johnson</t>
  </si>
  <si>
    <t>John Mahoney</t>
  </si>
  <si>
    <t>John Porter</t>
  </si>
  <si>
    <t>Toni Chavez</t>
  </si>
  <si>
    <t>Valerie Ward</t>
  </si>
  <si>
    <t>Adrian Ward</t>
  </si>
  <si>
    <t>Wendy Brown</t>
  </si>
  <si>
    <t>Tony Avila</t>
  </si>
  <si>
    <t>Michael Meyer</t>
  </si>
  <si>
    <t>Robert Jordan</t>
  </si>
  <si>
    <t>Joseph Brown</t>
  </si>
  <si>
    <t>Carlos Gonzalez</t>
  </si>
  <si>
    <t>Emily Crawford</t>
  </si>
  <si>
    <t>Alexander Powell</t>
  </si>
  <si>
    <t>Paul Smith</t>
  </si>
  <si>
    <t>Diana Russell DDS</t>
  </si>
  <si>
    <t>Eric Ellis</t>
  </si>
  <si>
    <t>Tabitha Gibbs</t>
  </si>
  <si>
    <t>Mr. Christopher Moore DVM</t>
  </si>
  <si>
    <t>Eric Silva</t>
  </si>
  <si>
    <t>Dana Stewart</t>
  </si>
  <si>
    <t>Amber Nicholson</t>
  </si>
  <si>
    <t>Keith Smith</t>
  </si>
  <si>
    <t>Linda Rodriguez</t>
  </si>
  <si>
    <t>Lisa Lucas</t>
  </si>
  <si>
    <t>Brooke Li</t>
  </si>
  <si>
    <t>Kathleen Howe</t>
  </si>
  <si>
    <t>Tammy Welch</t>
  </si>
  <si>
    <t>Scott Bailey</t>
  </si>
  <si>
    <t>Tammy Shepherd</t>
  </si>
  <si>
    <t>Sean Taylor</t>
  </si>
  <si>
    <t>Jeffery Munoz</t>
  </si>
  <si>
    <t>Chad Alvarado</t>
  </si>
  <si>
    <t>Angela Hernandez</t>
  </si>
  <si>
    <t>Joseph Douglas</t>
  </si>
  <si>
    <t>Michael Davis</t>
  </si>
  <si>
    <t>Adam Peters</t>
  </si>
  <si>
    <t>Jose Davis</t>
  </si>
  <si>
    <t>Emily Martinez</t>
  </si>
  <si>
    <t>Manuel Raymond</t>
  </si>
  <si>
    <t>Bethany Mathews</t>
  </si>
  <si>
    <t>Karen Burns</t>
  </si>
  <si>
    <t>Lisa Brown</t>
  </si>
  <si>
    <t>Julie Martin</t>
  </si>
  <si>
    <t>Erika Richardson</t>
  </si>
  <si>
    <t>Jeremy Middleton</t>
  </si>
  <si>
    <t>Dennis Jones</t>
  </si>
  <si>
    <t>Lori Snow</t>
  </si>
  <si>
    <t>Ronald Petersen</t>
  </si>
  <si>
    <t>Jodi Webb</t>
  </si>
  <si>
    <t>Linda Johnson</t>
  </si>
  <si>
    <t>Carrie Christensen</t>
  </si>
  <si>
    <t>Melanie Le</t>
  </si>
  <si>
    <t>Karen Gomez</t>
  </si>
  <si>
    <t>Samantha Peters</t>
  </si>
  <si>
    <t>Katie Lee</t>
  </si>
  <si>
    <t>Donna Wagner</t>
  </si>
  <si>
    <t>Kevin Turner</t>
  </si>
  <si>
    <t>Roberto Lindsey</t>
  </si>
  <si>
    <t>Robert Faulkner</t>
  </si>
  <si>
    <t>Kenneth Collins</t>
  </si>
  <si>
    <t>Diana Costa</t>
  </si>
  <si>
    <t>John Burch</t>
  </si>
  <si>
    <t>Jason Hudson</t>
  </si>
  <si>
    <t>Perry Benjamin</t>
  </si>
  <si>
    <t>Donald Olsen</t>
  </si>
  <si>
    <t>Daniel Mack</t>
  </si>
  <si>
    <t>David Garner</t>
  </si>
  <si>
    <t>Lauren Wilcox DDS</t>
  </si>
  <si>
    <t>Ricky Cohen</t>
  </si>
  <si>
    <t>Brooke Garcia</t>
  </si>
  <si>
    <t>Jaclyn Hernandez</t>
  </si>
  <si>
    <t>Kristen Graham</t>
  </si>
  <si>
    <t>Christian Baker</t>
  </si>
  <si>
    <t>Frank Johnson</t>
  </si>
  <si>
    <t>Suzanne Walter</t>
  </si>
  <si>
    <t>Chris Petersen</t>
  </si>
  <si>
    <t>Marco Wilson</t>
  </si>
  <si>
    <t>Justin Becker</t>
  </si>
  <si>
    <t>Bryan Rodriguez</t>
  </si>
  <si>
    <t>Pamela Morgan</t>
  </si>
  <si>
    <t>Hannah Castro</t>
  </si>
  <si>
    <t>Patricia Zamora</t>
  </si>
  <si>
    <t>Melissa Johnson</t>
  </si>
  <si>
    <t>Tracy Noble</t>
  </si>
  <si>
    <t>Barbara Butler</t>
  </si>
  <si>
    <t>Jennifer Mccann</t>
  </si>
  <si>
    <t>Cathy Fisher</t>
  </si>
  <si>
    <t>Kevin Andrews</t>
  </si>
  <si>
    <t>Lauren Lawrence</t>
  </si>
  <si>
    <t>Melinda Johnson</t>
  </si>
  <si>
    <t>Mr. Edward Reeves</t>
  </si>
  <si>
    <t>Rhonda Fitzgerald</t>
  </si>
  <si>
    <t>Janet Hammond</t>
  </si>
  <si>
    <t>Ralph Eaton</t>
  </si>
  <si>
    <t>Sean Smith</t>
  </si>
  <si>
    <t>Thomas Webb</t>
  </si>
  <si>
    <t>Kyle Mitchell</t>
  </si>
  <si>
    <t>Aaron Wood</t>
  </si>
  <si>
    <t>Rebecca Lawson</t>
  </si>
  <si>
    <t>Rebecca Franklin</t>
  </si>
  <si>
    <t>Jason Perry</t>
  </si>
  <si>
    <t>William Cochran</t>
  </si>
  <si>
    <t>Katherine Hopkins</t>
  </si>
  <si>
    <t>Jennifer Phillips</t>
  </si>
  <si>
    <t>Evelyn Walters</t>
  </si>
  <si>
    <t>Carrie Olson</t>
  </si>
  <si>
    <t>Sherri Johnson</t>
  </si>
  <si>
    <t>Monica Pace</t>
  </si>
  <si>
    <t>Douglas Hester</t>
  </si>
  <si>
    <t>Jimmy Schwartz</t>
  </si>
  <si>
    <t>Pamela Larson</t>
  </si>
  <si>
    <t>Melanie Myers</t>
  </si>
  <si>
    <t>Shawn Thomas</t>
  </si>
  <si>
    <t>James Avila</t>
  </si>
  <si>
    <t>Joshua Jones</t>
  </si>
  <si>
    <t>Edward Ramirez</t>
  </si>
  <si>
    <t>Kristen Copeland</t>
  </si>
  <si>
    <t>David Tyler</t>
  </si>
  <si>
    <t>Jason Lang</t>
  </si>
  <si>
    <t>John Benton</t>
  </si>
  <si>
    <t>Shawn Paul</t>
  </si>
  <si>
    <t>Victoria Frazier</t>
  </si>
  <si>
    <t>Rebecca Ruiz</t>
  </si>
  <si>
    <t>Jennifer Jenkins</t>
  </si>
  <si>
    <t>Rebekah Hoffman</t>
  </si>
  <si>
    <t>Brian Olson</t>
  </si>
  <si>
    <t>Whitney Short</t>
  </si>
  <si>
    <t>Priscilla Mitchell</t>
  </si>
  <si>
    <t>Jennifer Walls</t>
  </si>
  <si>
    <t>Tyler Hernandez</t>
  </si>
  <si>
    <t>Dr. Brittany Robertson</t>
  </si>
  <si>
    <t>Amy Weaver</t>
  </si>
  <si>
    <t>Luke Williams</t>
  </si>
  <si>
    <t>Tony Erickson</t>
  </si>
  <si>
    <t>Amanda Hill</t>
  </si>
  <si>
    <t>Sandra Hall</t>
  </si>
  <si>
    <t>Mark Proctor</t>
  </si>
  <si>
    <t>Billy Lynch</t>
  </si>
  <si>
    <t>Lisa George</t>
  </si>
  <si>
    <t>Kathleen Patterson</t>
  </si>
  <si>
    <t>Jenny Thomas</t>
  </si>
  <si>
    <t>Kristin White</t>
  </si>
  <si>
    <t>Jennifer Wright</t>
  </si>
  <si>
    <t>Matthew Wilson</t>
  </si>
  <si>
    <t>Christopher Stokes</t>
  </si>
  <si>
    <t>Susan Mitchell</t>
  </si>
  <si>
    <t>Michael Fleming</t>
  </si>
  <si>
    <t>Cody Mckenzie</t>
  </si>
  <si>
    <t>Kelly Townsend</t>
  </si>
  <si>
    <t>William Jones</t>
  </si>
  <si>
    <t>William Huang</t>
  </si>
  <si>
    <t>Jennifer Blackburn</t>
  </si>
  <si>
    <t>Maurice Murphy</t>
  </si>
  <si>
    <t>Dennis Pugh</t>
  </si>
  <si>
    <t>Mrs. Victoria Bartlett PhD</t>
  </si>
  <si>
    <t>Kyle Cox</t>
  </si>
  <si>
    <t>Katherine Washington</t>
  </si>
  <si>
    <t>Kristy Wilcox</t>
  </si>
  <si>
    <t>Lynn Perkins</t>
  </si>
  <si>
    <t>Meghan Butler</t>
  </si>
  <si>
    <t>Wesley Horton</t>
  </si>
  <si>
    <t>Donald Mendoza</t>
  </si>
  <si>
    <t>Kelsey Li</t>
  </si>
  <si>
    <t>Robin Cooper</t>
  </si>
  <si>
    <t>Russell Maldonado</t>
  </si>
  <si>
    <t>Steven Castaneda II</t>
  </si>
  <si>
    <t>Veronica Hunter</t>
  </si>
  <si>
    <t>Brian Jones</t>
  </si>
  <si>
    <t>Rebekah Montgomery</t>
  </si>
  <si>
    <t>Kristina Robertson</t>
  </si>
  <si>
    <t>David Johnson DVM</t>
  </si>
  <si>
    <t>Janet Johnson</t>
  </si>
  <si>
    <t>Melissa Hogan</t>
  </si>
  <si>
    <t>Shawn Johnston</t>
  </si>
  <si>
    <t>Leslie Valdez</t>
  </si>
  <si>
    <t>Nicholas Grant</t>
  </si>
  <si>
    <t>Steven Harmon</t>
  </si>
  <si>
    <t>Jon Diaz</t>
  </si>
  <si>
    <t>Tony Montes</t>
  </si>
  <si>
    <t>Angela Rodriguez</t>
  </si>
  <si>
    <t>Stephanie Golden</t>
  </si>
  <si>
    <t>Anthony Lowe</t>
  </si>
  <si>
    <t>Sherri Hill</t>
  </si>
  <si>
    <t>Frank Leon</t>
  </si>
  <si>
    <t>Christopher Norris</t>
  </si>
  <si>
    <t>Diana Rodriguez</t>
  </si>
  <si>
    <t>Melanie Stewart</t>
  </si>
  <si>
    <t>Kelsey Brown</t>
  </si>
  <si>
    <t>Jeff Price</t>
  </si>
  <si>
    <t>Frank Maldonado</t>
  </si>
  <si>
    <t>Richard Lam</t>
  </si>
  <si>
    <t>Adam Thomas</t>
  </si>
  <si>
    <t>Heidi Barrett</t>
  </si>
  <si>
    <t>Julia Roberts</t>
  </si>
  <si>
    <t>Anthony Russell</t>
  </si>
  <si>
    <t>Kim Montoya</t>
  </si>
  <si>
    <t>Anna Meadows</t>
  </si>
  <si>
    <t>Claire Sullivan</t>
  </si>
  <si>
    <t>Alexis Collins</t>
  </si>
  <si>
    <t>Connor Sampson</t>
  </si>
  <si>
    <t>Tammy Williams</t>
  </si>
  <si>
    <t>Kristy Burgess</t>
  </si>
  <si>
    <t>Victoria Lopez</t>
  </si>
  <si>
    <t>Lisa Murphy</t>
  </si>
  <si>
    <t>David Snyder</t>
  </si>
  <si>
    <t>James Monroe</t>
  </si>
  <si>
    <t>Rachel Williams</t>
  </si>
  <si>
    <t>Daisy Cervantes</t>
  </si>
  <si>
    <t>Debbie Kelly</t>
  </si>
  <si>
    <t>Travis Hogan</t>
  </si>
  <si>
    <t>Jason Thompson Jr.</t>
  </si>
  <si>
    <t>Mark Diaz</t>
  </si>
  <si>
    <t>Nina Owen</t>
  </si>
  <si>
    <t>Nicole Ramirez</t>
  </si>
  <si>
    <t>Evan Smith</t>
  </si>
  <si>
    <t>Brandon Chavez</t>
  </si>
  <si>
    <t>Rachael Adams</t>
  </si>
  <si>
    <t>Michael Weaver</t>
  </si>
  <si>
    <t>Benjamin Freeman</t>
  </si>
  <si>
    <t>David Daniels</t>
  </si>
  <si>
    <t>Cindy Miranda</t>
  </si>
  <si>
    <t>Albert Harris</t>
  </si>
  <si>
    <t>Cody Wilson</t>
  </si>
  <si>
    <t>Nathaniel Schaefer</t>
  </si>
  <si>
    <t>Stephen Chandler</t>
  </si>
  <si>
    <t>Kevin Rodriguez</t>
  </si>
  <si>
    <t>Jeffrey Torres</t>
  </si>
  <si>
    <t>Mitchell Davies</t>
  </si>
  <si>
    <t>Patricia Hutchinson</t>
  </si>
  <si>
    <t>Alexis Morris</t>
  </si>
  <si>
    <t>Robert Cox</t>
  </si>
  <si>
    <t>Timothy Stephens</t>
  </si>
  <si>
    <t>Lynn Greer</t>
  </si>
  <si>
    <t>Laurie Smith</t>
  </si>
  <si>
    <t>Christy Johnson</t>
  </si>
  <si>
    <t>Joseph Harris</t>
  </si>
  <si>
    <t>Mrs. Amy Vargas</t>
  </si>
  <si>
    <t>Morgan Aguilar</t>
  </si>
  <si>
    <t>Andrew Cobb</t>
  </si>
  <si>
    <t>Lisa Fox</t>
  </si>
  <si>
    <t>Derek Collins</t>
  </si>
  <si>
    <t>Michelle Alexander</t>
  </si>
  <si>
    <t>Roy Osborne</t>
  </si>
  <si>
    <t>Angela Bailey</t>
  </si>
  <si>
    <t>Holly Santana</t>
  </si>
  <si>
    <t>Erik Williams</t>
  </si>
  <si>
    <t>Samantha Chavez</t>
  </si>
  <si>
    <t>Jeanette Hall</t>
  </si>
  <si>
    <t>Kimberly Suarez</t>
  </si>
  <si>
    <t>John Smith</t>
  </si>
  <si>
    <t>Kimberly Blanchard</t>
  </si>
  <si>
    <t>Jose Castaneda</t>
  </si>
  <si>
    <t>Terri Santos</t>
  </si>
  <si>
    <t>Susan Wright</t>
  </si>
  <si>
    <t>Kimberly Miller</t>
  </si>
  <si>
    <t>Laura Miller</t>
  </si>
  <si>
    <t>Jennifer Morrison</t>
  </si>
  <si>
    <t>Natalie Mills</t>
  </si>
  <si>
    <t>Gilbert Delacruz</t>
  </si>
  <si>
    <t>Stacey King</t>
  </si>
  <si>
    <t>Alison Ramirez</t>
  </si>
  <si>
    <t>Andrea Kim</t>
  </si>
  <si>
    <t>Tyler Reyes</t>
  </si>
  <si>
    <t>Megan Patterson</t>
  </si>
  <si>
    <t>Daniel Downs</t>
  </si>
  <si>
    <t>Theresa Houston</t>
  </si>
  <si>
    <t>Alexandra Mcneil</t>
  </si>
  <si>
    <t>Stephanie Wilson</t>
  </si>
  <si>
    <t>Kevin Garner</t>
  </si>
  <si>
    <t>Ryan Lester</t>
  </si>
  <si>
    <t>Jennifer Mckinney</t>
  </si>
  <si>
    <t>Renee Bell</t>
  </si>
  <si>
    <t>Rebecca Bowman</t>
  </si>
  <si>
    <t>Harold Walker</t>
  </si>
  <si>
    <t>Joyce Williams</t>
  </si>
  <si>
    <t>Jill Carter</t>
  </si>
  <si>
    <t>Natasha Dennis</t>
  </si>
  <si>
    <t>John Sullivan</t>
  </si>
  <si>
    <t>David Wall</t>
  </si>
  <si>
    <t>Melissa Coffey</t>
  </si>
  <si>
    <t>Monica Reilly</t>
  </si>
  <si>
    <t>Jonathan Jackson</t>
  </si>
  <si>
    <t>John Harris</t>
  </si>
  <si>
    <t>Colton Bennett</t>
  </si>
  <si>
    <t>Anthony Hartman</t>
  </si>
  <si>
    <t>Valerie Simmons</t>
  </si>
  <si>
    <t>Jeffery Vargas MD</t>
  </si>
  <si>
    <t>Reginald Dawson</t>
  </si>
  <si>
    <t>Stanley Duncan</t>
  </si>
  <si>
    <t>Crystal Doyle</t>
  </si>
  <si>
    <t>Charles Watts</t>
  </si>
  <si>
    <t>Catherine Fernandez</t>
  </si>
  <si>
    <t>Kimberly Johnson</t>
  </si>
  <si>
    <t>Cynthia Bauer</t>
  </si>
  <si>
    <t>James Obrien</t>
  </si>
  <si>
    <t>Rachel White</t>
  </si>
  <si>
    <t>Angel Chaney</t>
  </si>
  <si>
    <t>Leonard Miller</t>
  </si>
  <si>
    <t>Donna Quinn</t>
  </si>
  <si>
    <t>Abigail Williams</t>
  </si>
  <si>
    <t>Michael Peck</t>
  </si>
  <si>
    <t>Alicia Mullen MD</t>
  </si>
  <si>
    <t>Amy Gibson</t>
  </si>
  <si>
    <t>James Greene</t>
  </si>
  <si>
    <t>Kayla Gray</t>
  </si>
  <si>
    <t>Frank Robinson</t>
  </si>
  <si>
    <t>Adriana Cox</t>
  </si>
  <si>
    <t>Jason Alexander</t>
  </si>
  <si>
    <t>Matthew Young</t>
  </si>
  <si>
    <t>Adrienne Ford</t>
  </si>
  <si>
    <t>Thomas Hicks</t>
  </si>
  <si>
    <t>Alicia Chen</t>
  </si>
  <si>
    <t>Holly Davis</t>
  </si>
  <si>
    <t>Richard Rogers</t>
  </si>
  <si>
    <t>Laura Bailey</t>
  </si>
  <si>
    <t>Adam Johnson</t>
  </si>
  <si>
    <t>Colleen Blevins</t>
  </si>
  <si>
    <t>Walter Patel</t>
  </si>
  <si>
    <t>Timothy Cook</t>
  </si>
  <si>
    <t>Kimberly Schneider</t>
  </si>
  <si>
    <t>Heather Bernard</t>
  </si>
  <si>
    <t>Patricia Martinez</t>
  </si>
  <si>
    <t>Jason Blair</t>
  </si>
  <si>
    <t>Sabrina Hudson</t>
  </si>
  <si>
    <t>Ricky Carter</t>
  </si>
  <si>
    <t>Robert Lynch</t>
  </si>
  <si>
    <t>Darrell Stuart</t>
  </si>
  <si>
    <t>Amanda Morris</t>
  </si>
  <si>
    <t>Christina Mendez</t>
  </si>
  <si>
    <t>Jeffrey Collins DVM</t>
  </si>
  <si>
    <t>Jennifer Moses</t>
  </si>
  <si>
    <t>Michelle Gonzales</t>
  </si>
  <si>
    <t>Christian Jackson</t>
  </si>
  <si>
    <t>Jessica Mejia</t>
  </si>
  <si>
    <t>David Robinson</t>
  </si>
  <si>
    <t>Courtney Taylor</t>
  </si>
  <si>
    <t>Sara Wells</t>
  </si>
  <si>
    <t>Kelly Rose</t>
  </si>
  <si>
    <t>Robert Carter</t>
  </si>
  <si>
    <t>Calvin Hansen</t>
  </si>
  <si>
    <t>Debbie Clayton</t>
  </si>
  <si>
    <t>Mia Rose</t>
  </si>
  <si>
    <t>Michael Parks</t>
  </si>
  <si>
    <t>Anthony Hays</t>
  </si>
  <si>
    <t>Tiffany Dixon</t>
  </si>
  <si>
    <t>Mercedes Lowe</t>
  </si>
  <si>
    <t>Katherine Castillo</t>
  </si>
  <si>
    <t>John Fry</t>
  </si>
  <si>
    <t>David Davies</t>
  </si>
  <si>
    <t>Marco Marsh</t>
  </si>
  <si>
    <t>Daniel Alvarado</t>
  </si>
  <si>
    <t>Diane Sims</t>
  </si>
  <si>
    <t>David Medina III</t>
  </si>
  <si>
    <t>John Garza</t>
  </si>
  <si>
    <t>Jeff Berg</t>
  </si>
  <si>
    <t>Christopher Barrett</t>
  </si>
  <si>
    <t>Gregory Nichols</t>
  </si>
  <si>
    <t>Katherine Dougherty</t>
  </si>
  <si>
    <t>Stephen Jones</t>
  </si>
  <si>
    <t>Brandy Kemp</t>
  </si>
  <si>
    <t>Jerry Mclaughlin</t>
  </si>
  <si>
    <t>James Jacobson</t>
  </si>
  <si>
    <t>Robert Miller</t>
  </si>
  <si>
    <t>Dr. William Wood Jr.</t>
  </si>
  <si>
    <t>Brandy Morrow</t>
  </si>
  <si>
    <t>Mr. Kenneth Frey</t>
  </si>
  <si>
    <t>Nicole Lucas</t>
  </si>
  <si>
    <t>Tiffany Ward</t>
  </si>
  <si>
    <t>Robin Brennan</t>
  </si>
  <si>
    <t>Carla Lyons</t>
  </si>
  <si>
    <t>Carrie Aguilar</t>
  </si>
  <si>
    <t>Heidi Stewart</t>
  </si>
  <si>
    <t>Antonio Vaughn</t>
  </si>
  <si>
    <t>Kathleen Owens</t>
  </si>
  <si>
    <t>Marcus Salazar</t>
  </si>
  <si>
    <t>Jessica Vega</t>
  </si>
  <si>
    <t>Brian Hendricks</t>
  </si>
  <si>
    <t>Natalie Ryan</t>
  </si>
  <si>
    <t>Duane Hawkins</t>
  </si>
  <si>
    <t>Victoria Wallace</t>
  </si>
  <si>
    <t>Christopher Chandler</t>
  </si>
  <si>
    <t>Katherine Bautista</t>
  </si>
  <si>
    <t>Mary Bradley</t>
  </si>
  <si>
    <t>Lauren Powell</t>
  </si>
  <si>
    <t>Daniel Patel</t>
  </si>
  <si>
    <t>Mr. Philip Blackwell</t>
  </si>
  <si>
    <t>Jim Cooke</t>
  </si>
  <si>
    <t>Walter Perez</t>
  </si>
  <si>
    <t>Bradley Yang</t>
  </si>
  <si>
    <t>Kelsey Moyer</t>
  </si>
  <si>
    <t>Mr. Philip Nelson</t>
  </si>
  <si>
    <t>Kathleen Moreno</t>
  </si>
  <si>
    <t>Martin Gordon</t>
  </si>
  <si>
    <t>Amy Howell</t>
  </si>
  <si>
    <t>Erin Munoz</t>
  </si>
  <si>
    <t>Roy Bowers Jr.</t>
  </si>
  <si>
    <t>Alejandro Fry</t>
  </si>
  <si>
    <t>Denise Hoover</t>
  </si>
  <si>
    <t>Michael Vaughn</t>
  </si>
  <si>
    <t>Paula Torres</t>
  </si>
  <si>
    <t>Tara Woods</t>
  </si>
  <si>
    <t>Gary Wells</t>
  </si>
  <si>
    <t>Timothy Berry</t>
  </si>
  <si>
    <t>Mark Woodard</t>
  </si>
  <si>
    <t>Andrew Richards</t>
  </si>
  <si>
    <t>Jesus Schmidt</t>
  </si>
  <si>
    <t>Theresa Lambert</t>
  </si>
  <si>
    <t>Lauren Ball</t>
  </si>
  <si>
    <t>William Ashley</t>
  </si>
  <si>
    <t>William Campbell</t>
  </si>
  <si>
    <t>Philip Adams</t>
  </si>
  <si>
    <t>Nicholas Hill</t>
  </si>
  <si>
    <t>Angela Lopez</t>
  </si>
  <si>
    <t>Heather Campbell</t>
  </si>
  <si>
    <t>Eric Townsend</t>
  </si>
  <si>
    <t>Deanna Johnson</t>
  </si>
  <si>
    <t>Spencer Burnett</t>
  </si>
  <si>
    <t>Susan Miller</t>
  </si>
  <si>
    <t>Margaret Morse</t>
  </si>
  <si>
    <t>Randall Bennett</t>
  </si>
  <si>
    <t>Roger Frazier</t>
  </si>
  <si>
    <t>Jessica James</t>
  </si>
  <si>
    <t>Zoe Rodriguez</t>
  </si>
  <si>
    <t>George Randolph</t>
  </si>
  <si>
    <t>Kayla Pham</t>
  </si>
  <si>
    <t>Francisco Villanueva</t>
  </si>
  <si>
    <t>Bryan Walter</t>
  </si>
  <si>
    <t>Kathleen Jackson</t>
  </si>
  <si>
    <t>Timothy Hodge</t>
  </si>
  <si>
    <t>Tommy Howell</t>
  </si>
  <si>
    <t>Anne Henderson</t>
  </si>
  <si>
    <t>Amanda Lopez</t>
  </si>
  <si>
    <t>Gregory Johnson</t>
  </si>
  <si>
    <t>Sharon Jackson DDS</t>
  </si>
  <si>
    <t>Charles Jackson</t>
  </si>
  <si>
    <t>John Riggs</t>
  </si>
  <si>
    <t>Kendra James</t>
  </si>
  <si>
    <t>Tyrone Baker</t>
  </si>
  <si>
    <t>Omar Mcdowell</t>
  </si>
  <si>
    <t>Mary Collins</t>
  </si>
  <si>
    <t>Rebecca Walker</t>
  </si>
  <si>
    <t>Cynthia Taylor</t>
  </si>
  <si>
    <t>Cheryl Downs</t>
  </si>
  <si>
    <t>Tonya Davis</t>
  </si>
  <si>
    <t>Jennifer Todd</t>
  </si>
  <si>
    <t>Luke Alvarado</t>
  </si>
  <si>
    <t>Anna King</t>
  </si>
  <si>
    <t>Shelley Houston</t>
  </si>
  <si>
    <t>Derrick Jackson</t>
  </si>
  <si>
    <t>Jackson Bishop</t>
  </si>
  <si>
    <t>Natasha Mitchell</t>
  </si>
  <si>
    <t>Brian Gregory</t>
  </si>
  <si>
    <t>Shannon Hahn</t>
  </si>
  <si>
    <t>Mary Thompson</t>
  </si>
  <si>
    <t>Carol Russell</t>
  </si>
  <si>
    <t>Brian Ramirez</t>
  </si>
  <si>
    <t>Jerome Smith</t>
  </si>
  <si>
    <t>Krystal Martinez</t>
  </si>
  <si>
    <t>Lindsey Richards</t>
  </si>
  <si>
    <t>Bradley Keller</t>
  </si>
  <si>
    <t>Vincent Jones</t>
  </si>
  <si>
    <t>Kathleen Bailey</t>
  </si>
  <si>
    <t>Cynthia Williams</t>
  </si>
  <si>
    <t>Amber Sparks</t>
  </si>
  <si>
    <t>Alan Thompson</t>
  </si>
  <si>
    <t>Johnathan Rivas</t>
  </si>
  <si>
    <t>Kelly Parks</t>
  </si>
  <si>
    <t>Eugene Carroll</t>
  </si>
  <si>
    <t>Chelsea Simpson</t>
  </si>
  <si>
    <t>Johnny Weiss</t>
  </si>
  <si>
    <t>Kimberly Hines</t>
  </si>
  <si>
    <t>Cynthia Carpenter</t>
  </si>
  <si>
    <t>Brandi Scott</t>
  </si>
  <si>
    <t>Sarah Green</t>
  </si>
  <si>
    <t>Scott Little</t>
  </si>
  <si>
    <t>Kyle Vaughn</t>
  </si>
  <si>
    <t>Karen Guzman</t>
  </si>
  <si>
    <t>Daryl Padilla</t>
  </si>
  <si>
    <t>Megan Bishop</t>
  </si>
  <si>
    <t>Allison Monroe</t>
  </si>
  <si>
    <t>Alexander Key</t>
  </si>
  <si>
    <t>Melissa Rodriguez</t>
  </si>
  <si>
    <t>Kayla Clark</t>
  </si>
  <si>
    <t>Ms. Dana Fleming</t>
  </si>
  <si>
    <t>Theresa Schaefer</t>
  </si>
  <si>
    <t>Erik Garza</t>
  </si>
  <si>
    <t>Jane Morris</t>
  </si>
  <si>
    <t>Sharon Heath</t>
  </si>
  <si>
    <t>Gary Andrade</t>
  </si>
  <si>
    <t>Mike Hamilton</t>
  </si>
  <si>
    <t>Karen Barton</t>
  </si>
  <si>
    <t>Bryan Luna</t>
  </si>
  <si>
    <t>Trevor Hart</t>
  </si>
  <si>
    <t>Mark Hanson</t>
  </si>
  <si>
    <t>Jack Kaiser</t>
  </si>
  <si>
    <t>Mary Farmer</t>
  </si>
  <si>
    <t>Tony Jones</t>
  </si>
  <si>
    <t>Michael Hogan</t>
  </si>
  <si>
    <t>Timothy Benson</t>
  </si>
  <si>
    <t>Pamela Meyers</t>
  </si>
  <si>
    <t>Sharon Rodriguez</t>
  </si>
  <si>
    <t>Frank Miller</t>
  </si>
  <si>
    <t>Casey Evans</t>
  </si>
  <si>
    <t>Andrew Phillips</t>
  </si>
  <si>
    <t>Brent Hayden</t>
  </si>
  <si>
    <t>Kristopher Garcia</t>
  </si>
  <si>
    <t>Melissa Mann</t>
  </si>
  <si>
    <t>William Gill</t>
  </si>
  <si>
    <t>Erin Smith</t>
  </si>
  <si>
    <t>Dalton Cross</t>
  </si>
  <si>
    <t>Sarah Carter</t>
  </si>
  <si>
    <t>Samuel Ball</t>
  </si>
  <si>
    <t>Jeffrey Weeks</t>
  </si>
  <si>
    <t>Miss Erica Case</t>
  </si>
  <si>
    <t>Brenda Wang</t>
  </si>
  <si>
    <t>Benjamin Lee</t>
  </si>
  <si>
    <t>Kimberly Lane</t>
  </si>
  <si>
    <t>Ivan Wright</t>
  </si>
  <si>
    <t>Sarah Barker</t>
  </si>
  <si>
    <t>Heidi Stevens</t>
  </si>
  <si>
    <t>Anthony Henderson</t>
  </si>
  <si>
    <t>Ashley Rhodes</t>
  </si>
  <si>
    <t>Natasha Hammond</t>
  </si>
  <si>
    <t>Ariel Harrison</t>
  </si>
  <si>
    <t>Heather Lewis</t>
  </si>
  <si>
    <t>Dawn Bush</t>
  </si>
  <si>
    <t>Alexis Marquez</t>
  </si>
  <si>
    <t>Dalton Mccarty</t>
  </si>
  <si>
    <t>Tiffany Snyder</t>
  </si>
  <si>
    <t>John Liu</t>
  </si>
  <si>
    <t>Ashley Baker</t>
  </si>
  <si>
    <t>Christopher Clements</t>
  </si>
  <si>
    <t>Allison Garcia</t>
  </si>
  <si>
    <t>Christopher Gates</t>
  </si>
  <si>
    <t>Melissa Gilbert</t>
  </si>
  <si>
    <t>Robert Owens</t>
  </si>
  <si>
    <t>Mrs. Samantha Coleman</t>
  </si>
  <si>
    <t>Samantha Thomas</t>
  </si>
  <si>
    <t>Shannon Gonzales</t>
  </si>
  <si>
    <t>Vanessa Velez</t>
  </si>
  <si>
    <t>Carlos Baker</t>
  </si>
  <si>
    <t>Thomas Bryant</t>
  </si>
  <si>
    <t>Zachary Reed</t>
  </si>
  <si>
    <t>Kimberly Lee</t>
  </si>
  <si>
    <t>Jennifer Boyd</t>
  </si>
  <si>
    <t>Jacob Spencer</t>
  </si>
  <si>
    <t>Jacob Smith</t>
  </si>
  <si>
    <t>Jennifer Kirk</t>
  </si>
  <si>
    <t>Julie Rodriguez</t>
  </si>
  <si>
    <t>Matthew Sampson</t>
  </si>
  <si>
    <t>Donald Moore</t>
  </si>
  <si>
    <t>Melinda Garcia</t>
  </si>
  <si>
    <t>Trevor Mcgee</t>
  </si>
  <si>
    <t>Dennis Ryan</t>
  </si>
  <si>
    <t>Michael Carr</t>
  </si>
  <si>
    <t>Felicia Bass</t>
  </si>
  <si>
    <t>David Carrillo</t>
  </si>
  <si>
    <t>Marissa Smith</t>
  </si>
  <si>
    <t>Victor Krause</t>
  </si>
  <si>
    <t>Lisa Sims</t>
  </si>
  <si>
    <t>Molly Forbes</t>
  </si>
  <si>
    <t>Kimberly Choi</t>
  </si>
  <si>
    <t>Edward Butler</t>
  </si>
  <si>
    <t>Joseph Fletcher</t>
  </si>
  <si>
    <t>Jennifer George</t>
  </si>
  <si>
    <t>Lisa Butler</t>
  </si>
  <si>
    <t>Tina Lopez</t>
  </si>
  <si>
    <t>Steve Tate</t>
  </si>
  <si>
    <t>Ashley Burgess</t>
  </si>
  <si>
    <t>Angela Jones</t>
  </si>
  <si>
    <t>Brandon Pennington</t>
  </si>
  <si>
    <t>Billy Robles</t>
  </si>
  <si>
    <t>Hailey Lee</t>
  </si>
  <si>
    <t>Kathryn Hamilton</t>
  </si>
  <si>
    <t>Cole Jones</t>
  </si>
  <si>
    <t>Paul Horn</t>
  </si>
  <si>
    <t>Brandon Poole</t>
  </si>
  <si>
    <t>Katelyn Dominguez</t>
  </si>
  <si>
    <t>Lauren Hancock</t>
  </si>
  <si>
    <t>Tonya Sutton</t>
  </si>
  <si>
    <t>Phillip Evans</t>
  </si>
  <si>
    <t>Ruben Hall</t>
  </si>
  <si>
    <t>Jimmy Noble</t>
  </si>
  <si>
    <t>Sarah Noble</t>
  </si>
  <si>
    <t>Tina Payne</t>
  </si>
  <si>
    <t>Alexander Long</t>
  </si>
  <si>
    <t>Tara Owens</t>
  </si>
  <si>
    <t>Renee Johnson</t>
  </si>
  <si>
    <t>Sarah Graham</t>
  </si>
  <si>
    <t>Christy Miller</t>
  </si>
  <si>
    <t>Zachary Bailey</t>
  </si>
  <si>
    <t>Cheryl Freeman MD</t>
  </si>
  <si>
    <t>Cameron Abbott</t>
  </si>
  <si>
    <t>Teresa Garza</t>
  </si>
  <si>
    <t>Robert Carpenter</t>
  </si>
  <si>
    <t>Laura Lucero</t>
  </si>
  <si>
    <t>Jesus Newman</t>
  </si>
  <si>
    <t>Shelly Allen</t>
  </si>
  <si>
    <t>Kevin Sanders</t>
  </si>
  <si>
    <t>Jo Fischer</t>
  </si>
  <si>
    <t>Gabrielle Adams</t>
  </si>
  <si>
    <t>Craig Nelson</t>
  </si>
  <si>
    <t>Sherry Wade</t>
  </si>
  <si>
    <t>Diana Turner</t>
  </si>
  <si>
    <t>Kenneth Peters</t>
  </si>
  <si>
    <t>Dalton Rodriguez</t>
  </si>
  <si>
    <t>Stephanie Miller</t>
  </si>
  <si>
    <t>Kimberly Mendez</t>
  </si>
  <si>
    <t>Brett Peterson</t>
  </si>
  <si>
    <t>Megan Nolan</t>
  </si>
  <si>
    <t>Dr. Ruben Alexander</t>
  </si>
  <si>
    <t>Melissa Pham</t>
  </si>
  <si>
    <t>Erica Myers</t>
  </si>
  <si>
    <t>Steven Atkinson</t>
  </si>
  <si>
    <t>Andrea Garcia</t>
  </si>
  <si>
    <t>Brittney Foley</t>
  </si>
  <si>
    <t>Robert Reid</t>
  </si>
  <si>
    <t>Michael Marshall</t>
  </si>
  <si>
    <t>Maria Ramirez</t>
  </si>
  <si>
    <t>Calvin Kelley</t>
  </si>
  <si>
    <t>Andrew Sullivan</t>
  </si>
  <si>
    <t>Juan Kelly</t>
  </si>
  <si>
    <t>Caitlin Lewis</t>
  </si>
  <si>
    <t>Connie Webb</t>
  </si>
  <si>
    <t>Johnny Galloway</t>
  </si>
  <si>
    <t>Phillip Carroll</t>
  </si>
  <si>
    <t>Melissa Garcia</t>
  </si>
  <si>
    <t>Vanessa Briggs</t>
  </si>
  <si>
    <t>Samantha Perez</t>
  </si>
  <si>
    <t>Tony Armstrong</t>
  </si>
  <si>
    <t>Tamara Hanna</t>
  </si>
  <si>
    <t>James Fields</t>
  </si>
  <si>
    <t>Stephanie King</t>
  </si>
  <si>
    <t>Jennifer Gay</t>
  </si>
  <si>
    <t>Brian Moreno</t>
  </si>
  <si>
    <t>Vicki Hernandez</t>
  </si>
  <si>
    <t>Shannon Byrd</t>
  </si>
  <si>
    <t>Jamie Odom</t>
  </si>
  <si>
    <t>Amber Hopkins</t>
  </si>
  <si>
    <t>Caitlyn Jacobs</t>
  </si>
  <si>
    <t>Sarah Davis</t>
  </si>
  <si>
    <t>Matthew Shepherd</t>
  </si>
  <si>
    <t>Sherri Stanley</t>
  </si>
  <si>
    <t>Natasha Fisher</t>
  </si>
  <si>
    <t>Hayley Hunt</t>
  </si>
  <si>
    <t>Heather James</t>
  </si>
  <si>
    <t>Carmen Davis</t>
  </si>
  <si>
    <t>Carlos Parker</t>
  </si>
  <si>
    <t>Andre Alexander</t>
  </si>
  <si>
    <t>Natalie Blake</t>
  </si>
  <si>
    <t>Kenneth Ramos</t>
  </si>
  <si>
    <t>Tara Jordan</t>
  </si>
  <si>
    <t>Sheryl Coffey</t>
  </si>
  <si>
    <t>Frank Mckee</t>
  </si>
  <si>
    <t>Kevin Jackson</t>
  </si>
  <si>
    <t>Andrew Phelps</t>
  </si>
  <si>
    <t>Ryan Bradley</t>
  </si>
  <si>
    <t>Katherine White</t>
  </si>
  <si>
    <t>Charles Brown</t>
  </si>
  <si>
    <t>Michele Durham</t>
  </si>
  <si>
    <t>Laurie Miller</t>
  </si>
  <si>
    <t>Tiffany Shields</t>
  </si>
  <si>
    <t>Allison Morris</t>
  </si>
  <si>
    <t>Adam Sharp</t>
  </si>
  <si>
    <t>Jason Welch</t>
  </si>
  <si>
    <t>Shawn Valdez</t>
  </si>
  <si>
    <t>Michael Jones</t>
  </si>
  <si>
    <t>Toni Kim</t>
  </si>
  <si>
    <t>James Bolton</t>
  </si>
  <si>
    <t>Diane Clark</t>
  </si>
  <si>
    <t>Brooke Fowler</t>
  </si>
  <si>
    <t>Sara Estrada</t>
  </si>
  <si>
    <t>Jennifer Mahoney</t>
  </si>
  <si>
    <t>Jessica Yates</t>
  </si>
  <si>
    <t>Barbara Lyons</t>
  </si>
  <si>
    <t>Kathleen Ray</t>
  </si>
  <si>
    <t>Eileen Nolan</t>
  </si>
  <si>
    <t>Nicole Black</t>
  </si>
  <si>
    <t>Billy Banks</t>
  </si>
  <si>
    <t>Rachel Davis</t>
  </si>
  <si>
    <t>Audrey Walsh</t>
  </si>
  <si>
    <t>Edward Hoffman</t>
  </si>
  <si>
    <t>Yvonne Johnston</t>
  </si>
  <si>
    <t>Aaron Hernandez</t>
  </si>
  <si>
    <t>Tabitha Ware</t>
  </si>
  <si>
    <t>Alexis Knight</t>
  </si>
  <si>
    <t>Katherine Galvan</t>
  </si>
  <si>
    <t>Lori Thompson</t>
  </si>
  <si>
    <t>Randy Simmons</t>
  </si>
  <si>
    <t>Lori Smith</t>
  </si>
  <si>
    <t>Christy Wagner</t>
  </si>
  <si>
    <t>Kelly Sutton</t>
  </si>
  <si>
    <t>Ronald Jones</t>
  </si>
  <si>
    <t>Phillip Pineda</t>
  </si>
  <si>
    <t>Erica Andrews</t>
  </si>
  <si>
    <t>Katie Coffey</t>
  </si>
  <si>
    <t>Jennifer Cole DVM</t>
  </si>
  <si>
    <t>Daniel Payne</t>
  </si>
  <si>
    <t>Christine Ward</t>
  </si>
  <si>
    <t>William Miller</t>
  </si>
  <si>
    <t>Teresa Schmidt</t>
  </si>
  <si>
    <t>Sarah Ferrell</t>
  </si>
  <si>
    <t>Curtis Murphy</t>
  </si>
  <si>
    <t>Roger Copeland</t>
  </si>
  <si>
    <t>Paul Thompson</t>
  </si>
  <si>
    <t>Brian Sanchez</t>
  </si>
  <si>
    <t>Janice Wilson</t>
  </si>
  <si>
    <t>Morgan Ramirez</t>
  </si>
  <si>
    <t>James Stewart</t>
  </si>
  <si>
    <t>Dr. Allison Clark</t>
  </si>
  <si>
    <t>Tammy Ramirez</t>
  </si>
  <si>
    <t>David Lambert</t>
  </si>
  <si>
    <t>Matthew Collins</t>
  </si>
  <si>
    <t>James Garrett</t>
  </si>
  <si>
    <t>Christopher Ward</t>
  </si>
  <si>
    <t>Alisha Park</t>
  </si>
  <si>
    <t>Tyler Hale</t>
  </si>
  <si>
    <t>Jennifer Navarro</t>
  </si>
  <si>
    <t>Juan Valdez</t>
  </si>
  <si>
    <t>Angela Clark</t>
  </si>
  <si>
    <t>Michael Rodriguez</t>
  </si>
  <si>
    <t>Robert Jones</t>
  </si>
  <si>
    <t>Cathy Ward</t>
  </si>
  <si>
    <t>Kathleen Lamb</t>
  </si>
  <si>
    <t>Keith Pham</t>
  </si>
  <si>
    <t>Melissa Grimes</t>
  </si>
  <si>
    <t>Karen Spencer</t>
  </si>
  <si>
    <t>Tonya Willis</t>
  </si>
  <si>
    <t>Heather Grant</t>
  </si>
  <si>
    <t>Luis White</t>
  </si>
  <si>
    <t>Dylan Callahan</t>
  </si>
  <si>
    <t>Dwayne Wright</t>
  </si>
  <si>
    <t>Yolanda Murphy</t>
  </si>
  <si>
    <t>Mary Hill</t>
  </si>
  <si>
    <t>Jeffrey Andrews</t>
  </si>
  <si>
    <t>Eric Stevenson</t>
  </si>
  <si>
    <t>Steven Sanders</t>
  </si>
  <si>
    <t>Thomas Thomas</t>
  </si>
  <si>
    <t>Joel Bradley</t>
  </si>
  <si>
    <t>Amy Hamilton MD</t>
  </si>
  <si>
    <t>Mr. Brandon Silva PhD</t>
  </si>
  <si>
    <t>Christopher Mcconnell</t>
  </si>
  <si>
    <t>Robert Harrison</t>
  </si>
  <si>
    <t>Jason Heath</t>
  </si>
  <si>
    <t>Cynthia Cunningham</t>
  </si>
  <si>
    <t>Nicole Edwards</t>
  </si>
  <si>
    <t>Danielle Harris</t>
  </si>
  <si>
    <t>Laurie Howe</t>
  </si>
  <si>
    <t>Hannah Parks</t>
  </si>
  <si>
    <t>Jesse Jackson</t>
  </si>
  <si>
    <t>Kaitlin Little</t>
  </si>
  <si>
    <t>Gary Hall</t>
  </si>
  <si>
    <t>Jennifer Baxter DDS</t>
  </si>
  <si>
    <t>Leslie Liu</t>
  </si>
  <si>
    <t>Tina Gregory</t>
  </si>
  <si>
    <t>Michael Moss</t>
  </si>
  <si>
    <t>Kelly Eaton</t>
  </si>
  <si>
    <t>Paul Blake</t>
  </si>
  <si>
    <t>Jeff Green</t>
  </si>
  <si>
    <t>Dawn Morales</t>
  </si>
  <si>
    <t>Miss Rachel Anthony MD</t>
  </si>
  <si>
    <t>Andre Long</t>
  </si>
  <si>
    <t>Lisa Salas</t>
  </si>
  <si>
    <t>Veronica Ramirez</t>
  </si>
  <si>
    <t>Jessica Garner</t>
  </si>
  <si>
    <t>David Roth</t>
  </si>
  <si>
    <t>Tara Simpson</t>
  </si>
  <si>
    <t>Chad Jackson</t>
  </si>
  <si>
    <t>Kelsey Fisher</t>
  </si>
  <si>
    <t>Jamie Roth</t>
  </si>
  <si>
    <t>Stephanie Hall</t>
  </si>
  <si>
    <t>Laura Cobb</t>
  </si>
  <si>
    <t>Felicia Meyers</t>
  </si>
  <si>
    <t>Sandra Sanchez</t>
  </si>
  <si>
    <t>Sarah Duke MD</t>
  </si>
  <si>
    <t>Karen Kerr</t>
  </si>
  <si>
    <t>James Smith</t>
  </si>
  <si>
    <t>Courtney Carpenter</t>
  </si>
  <si>
    <t>Richard Key</t>
  </si>
  <si>
    <t>Kurt Schaefer</t>
  </si>
  <si>
    <t>Chelsea Davis</t>
  </si>
  <si>
    <t>Sara Frank</t>
  </si>
  <si>
    <t>Jason Miranda</t>
  </si>
  <si>
    <t>Timothy Martin</t>
  </si>
  <si>
    <t>Bailey Sullivan</t>
  </si>
  <si>
    <t>Paul Erickson</t>
  </si>
  <si>
    <t>Kimberly Martinez</t>
  </si>
  <si>
    <t>Patrick Sullivan</t>
  </si>
  <si>
    <t>Melissa Webster</t>
  </si>
  <si>
    <t>Melissa Jackson</t>
  </si>
  <si>
    <t>Eric Hudson</t>
  </si>
  <si>
    <t>Christina Coleman</t>
  </si>
  <si>
    <t>David Cannon</t>
  </si>
  <si>
    <t>Joseph Rice</t>
  </si>
  <si>
    <t>Jason Coleman</t>
  </si>
  <si>
    <t>Heather Jacobs</t>
  </si>
  <si>
    <t>Mr. Christian Arroyo</t>
  </si>
  <si>
    <t>Pamela Pace</t>
  </si>
  <si>
    <t>Beth Knox</t>
  </si>
  <si>
    <t>Alyssa Allen</t>
  </si>
  <si>
    <t>Pam Anderson</t>
  </si>
  <si>
    <t>Jerry Gray</t>
  </si>
  <si>
    <t>Vincent Espinoza</t>
  </si>
  <si>
    <t>Jeremy Ellis</t>
  </si>
  <si>
    <t>Richard Goodwin</t>
  </si>
  <si>
    <t>Robert Harvey</t>
  </si>
  <si>
    <t>Ryan Henry</t>
  </si>
  <si>
    <t>Erin Allen</t>
  </si>
  <si>
    <t>Kyle Sullivan</t>
  </si>
  <si>
    <t>Brett Mcdaniel</t>
  </si>
  <si>
    <t>Amanda Ferguson</t>
  </si>
  <si>
    <t>William Ross</t>
  </si>
  <si>
    <t>Stefanie Massey</t>
  </si>
  <si>
    <t>Brenda Wilson</t>
  </si>
  <si>
    <t>Sara Hickman</t>
  </si>
  <si>
    <t>Michelle Carpenter</t>
  </si>
  <si>
    <t>Brandy Arnold</t>
  </si>
  <si>
    <t>Amy Lopez</t>
  </si>
  <si>
    <t>Joan Nguyen MD</t>
  </si>
  <si>
    <t>Bridget Montgomery</t>
  </si>
  <si>
    <t>Cynthia Morrison</t>
  </si>
  <si>
    <t>Sarah Alvarado</t>
  </si>
  <si>
    <t>Tiffany Hampton</t>
  </si>
  <si>
    <t>Taylor Edwards</t>
  </si>
  <si>
    <t>Matthew Hudson</t>
  </si>
  <si>
    <t>Jose Lee</t>
  </si>
  <si>
    <t>Amy Scott</t>
  </si>
  <si>
    <t>Javier Singleton</t>
  </si>
  <si>
    <t>Tracy Boone</t>
  </si>
  <si>
    <t>Morgan Rivas</t>
  </si>
  <si>
    <t>Steve Wilkinson</t>
  </si>
  <si>
    <t>Gary Miller</t>
  </si>
  <si>
    <t>Willie Baker</t>
  </si>
  <si>
    <t>Mark Anderson</t>
  </si>
  <si>
    <t>Gerald Johnson</t>
  </si>
  <si>
    <t>James English</t>
  </si>
  <si>
    <t>Anthony Ross</t>
  </si>
  <si>
    <t>Natalie Davis</t>
  </si>
  <si>
    <t>Jermaine Ashley</t>
  </si>
  <si>
    <t>Jessica Grant</t>
  </si>
  <si>
    <t>Herbert Brown</t>
  </si>
  <si>
    <t>John Pierce</t>
  </si>
  <si>
    <t>Matthew Miller</t>
  </si>
  <si>
    <t>Laura Schmitt</t>
  </si>
  <si>
    <t>Patrick Williamson</t>
  </si>
  <si>
    <t>Hailey Wilson</t>
  </si>
  <si>
    <t>Mrs. Samantha Coffey MD</t>
  </si>
  <si>
    <t>Diana Perez</t>
  </si>
  <si>
    <t>Rebecca Lewis</t>
  </si>
  <si>
    <t>Dawn Mcgrath</t>
  </si>
  <si>
    <t>Jesse Jarvis</t>
  </si>
  <si>
    <t>Logan Petersen</t>
  </si>
  <si>
    <t>Brian Bowman</t>
  </si>
  <si>
    <t>Joanna Morrison</t>
  </si>
  <si>
    <t>Deborah Jacobs</t>
  </si>
  <si>
    <t>Kelsey Clark</t>
  </si>
  <si>
    <t>Heather Murphy</t>
  </si>
  <si>
    <t>Amber Ward</t>
  </si>
  <si>
    <t>Ronnie Harrison</t>
  </si>
  <si>
    <t>Amanda Chen</t>
  </si>
  <si>
    <t>Joseph Avila</t>
  </si>
  <si>
    <t>Judith Hall</t>
  </si>
  <si>
    <t>Meghan Swanson</t>
  </si>
  <si>
    <t>Karen Moore</t>
  </si>
  <si>
    <t>James Newman</t>
  </si>
  <si>
    <t>Phillip Ross</t>
  </si>
  <si>
    <t>Michael Mathis</t>
  </si>
  <si>
    <t>Joshua Logan</t>
  </si>
  <si>
    <t>Joshua Shaw</t>
  </si>
  <si>
    <t>Christopher Gray</t>
  </si>
  <si>
    <t>Kevin Black</t>
  </si>
  <si>
    <t>Alexandra Fuentes</t>
  </si>
  <si>
    <t>Jody Adams</t>
  </si>
  <si>
    <t>Pamela White</t>
  </si>
  <si>
    <t>Tracy Curry</t>
  </si>
  <si>
    <t>Samuel Allen</t>
  </si>
  <si>
    <t>Chase Roberts</t>
  </si>
  <si>
    <t>Robert Shelton</t>
  </si>
  <si>
    <t>Raymond Johnson</t>
  </si>
  <si>
    <t>Jessica Mathews</t>
  </si>
  <si>
    <t>Anthony Clark</t>
  </si>
  <si>
    <t>Jimmy Ewing</t>
  </si>
  <si>
    <t>Jennifer Novak</t>
  </si>
  <si>
    <t>William Anderson</t>
  </si>
  <si>
    <t>Anthony Willis</t>
  </si>
  <si>
    <t>Cathy Stanley</t>
  </si>
  <si>
    <t>Shelby Collins</t>
  </si>
  <si>
    <t>Victoria Gonzales MD</t>
  </si>
  <si>
    <t>Elizabeth Mcguire</t>
  </si>
  <si>
    <t>Valerie Rose</t>
  </si>
  <si>
    <t>Michael Lopez</t>
  </si>
  <si>
    <t>Herbert Diaz</t>
  </si>
  <si>
    <t>Julie Greer</t>
  </si>
  <si>
    <t>John Petty</t>
  </si>
  <si>
    <t>Mary Spencer</t>
  </si>
  <si>
    <t>Cheryl Shelton</t>
  </si>
  <si>
    <t>Kiara Brown</t>
  </si>
  <si>
    <t>Lauren Manning</t>
  </si>
  <si>
    <t>Kenneth Thomas</t>
  </si>
  <si>
    <t>Logan Johnson</t>
  </si>
  <si>
    <t>George Smith</t>
  </si>
  <si>
    <t>Jared Curtis</t>
  </si>
  <si>
    <t>Danny Rodgers</t>
  </si>
  <si>
    <t>Carla Morgan</t>
  </si>
  <si>
    <t>Crystal Chase</t>
  </si>
  <si>
    <t>Daniel Santos</t>
  </si>
  <si>
    <t>Sarah Mcdonald</t>
  </si>
  <si>
    <t>April Butler</t>
  </si>
  <si>
    <t>Lisa Bowen</t>
  </si>
  <si>
    <t>Paul Hutchinson</t>
  </si>
  <si>
    <t>Philip Wood</t>
  </si>
  <si>
    <t>Christopher Brooks</t>
  </si>
  <si>
    <t>Leah Benton</t>
  </si>
  <si>
    <t>Deborah Ruiz</t>
  </si>
  <si>
    <t>Matthew Hall</t>
  </si>
  <si>
    <t>Lisa Harris</t>
  </si>
  <si>
    <t>Theresa Wood</t>
  </si>
  <si>
    <t>Karen Blake</t>
  </si>
  <si>
    <t>Brittany Thomas</t>
  </si>
  <si>
    <t>Ashley Beasley</t>
  </si>
  <si>
    <t>Ryan Campbell</t>
  </si>
  <si>
    <t>Ann Evans</t>
  </si>
  <si>
    <t>Jeffrey Martinez</t>
  </si>
  <si>
    <t>Kelly Walker</t>
  </si>
  <si>
    <t>Brenda Hansen</t>
  </si>
  <si>
    <t>Kelly Perry</t>
  </si>
  <si>
    <t>Julia Austin</t>
  </si>
  <si>
    <t>Jesus Juarez</t>
  </si>
  <si>
    <t>Angela Rivera PhD</t>
  </si>
  <si>
    <t>Debra Alvarez</t>
  </si>
  <si>
    <t>Stephen Mcbride</t>
  </si>
  <si>
    <t>Sandra Morgan</t>
  </si>
  <si>
    <t>Jeremy Rosario DDS</t>
  </si>
  <si>
    <t>Erin Rivera</t>
  </si>
  <si>
    <t>Samantha Kim</t>
  </si>
  <si>
    <t>Tina Johnson</t>
  </si>
  <si>
    <t>Monica Ray</t>
  </si>
  <si>
    <t>Bryan Jackson</t>
  </si>
  <si>
    <t>Jason Valdez</t>
  </si>
  <si>
    <t>Maria Clarke</t>
  </si>
  <si>
    <t>Jeffrey Irwin</t>
  </si>
  <si>
    <t>Noah Short</t>
  </si>
  <si>
    <t>Christopher Graham</t>
  </si>
  <si>
    <t>Sandra Hill</t>
  </si>
  <si>
    <t>Jessica Thomas</t>
  </si>
  <si>
    <t>Christopher Jones</t>
  </si>
  <si>
    <t>Debra Mccarthy</t>
  </si>
  <si>
    <t>Margaret Rodriguez</t>
  </si>
  <si>
    <t>Kimberly Tanner</t>
  </si>
  <si>
    <t>Kelly Gutierrez</t>
  </si>
  <si>
    <t>Danielle Harris DDS</t>
  </si>
  <si>
    <t>Jacqueline Hawkins</t>
  </si>
  <si>
    <t>Donald Brooks</t>
  </si>
  <si>
    <t>Jonathan Mcdonald</t>
  </si>
  <si>
    <t>Betty Jackson</t>
  </si>
  <si>
    <t>Amy Bartlett</t>
  </si>
  <si>
    <t>Keith Avila</t>
  </si>
  <si>
    <t>Peggy Wood</t>
  </si>
  <si>
    <t>Tanya Cross</t>
  </si>
  <si>
    <t>Terrance Elliott</t>
  </si>
  <si>
    <t>Mary Gonzalez</t>
  </si>
  <si>
    <t>Tracey Smith</t>
  </si>
  <si>
    <t>Shannon Garcia</t>
  </si>
  <si>
    <t>Monica Shah</t>
  </si>
  <si>
    <t>Michael Clark</t>
  </si>
  <si>
    <t>Rebecca Norman</t>
  </si>
  <si>
    <t>Andrew Russell</t>
  </si>
  <si>
    <t>Anthony Allen</t>
  </si>
  <si>
    <t>Rhonda Miranda</t>
  </si>
  <si>
    <t>Robin Beasley</t>
  </si>
  <si>
    <t>Nicholas Martin</t>
  </si>
  <si>
    <t>Amanda Turner</t>
  </si>
  <si>
    <t>Christopher Garcia</t>
  </si>
  <si>
    <t>Kimberly Myers</t>
  </si>
  <si>
    <t>Chad Palmer</t>
  </si>
  <si>
    <t>Penny Robles</t>
  </si>
  <si>
    <t>John Graham</t>
  </si>
  <si>
    <t>Kristen Todd</t>
  </si>
  <si>
    <t>Dr. Brian Harris Jr.</t>
  </si>
  <si>
    <t>Dennis Powell</t>
  </si>
  <si>
    <t>Dr. Robert Bradley</t>
  </si>
  <si>
    <t>James Barrera</t>
  </si>
  <si>
    <t>Amanda Bradley</t>
  </si>
  <si>
    <t>Tammy Martinez</t>
  </si>
  <si>
    <t>Taylor Richard DDS</t>
  </si>
  <si>
    <t>Brandon Fisher</t>
  </si>
  <si>
    <t>Ashley Cain</t>
  </si>
  <si>
    <t>Lori Hickman</t>
  </si>
  <si>
    <t>Shelby Jackson</t>
  </si>
  <si>
    <t>David Thompson</t>
  </si>
  <si>
    <t>Susan Schroeder</t>
  </si>
  <si>
    <t>Anthony Murray</t>
  </si>
  <si>
    <t>Carolyn Shaffer</t>
  </si>
  <si>
    <t>Micheal Benjamin</t>
  </si>
  <si>
    <t>Kenneth Stewart</t>
  </si>
  <si>
    <t>James May</t>
  </si>
  <si>
    <t>Kevin Perry</t>
  </si>
  <si>
    <t>Steven Mendez</t>
  </si>
  <si>
    <t>Daniel Brown</t>
  </si>
  <si>
    <t>Seth Myers</t>
  </si>
  <si>
    <t>Mr. Michael Little</t>
  </si>
  <si>
    <t>Alejandro Wright</t>
  </si>
  <si>
    <t>Lauren Reyes</t>
  </si>
  <si>
    <t>Scott Yu</t>
  </si>
  <si>
    <t>Luis Flynn</t>
  </si>
  <si>
    <t>Jason Moreno</t>
  </si>
  <si>
    <t>Valerie Becker</t>
  </si>
  <si>
    <t>Paul Reese</t>
  </si>
  <si>
    <t>Tim Wiggins</t>
  </si>
  <si>
    <t>Shannon Cox</t>
  </si>
  <si>
    <t>Stephen Castro</t>
  </si>
  <si>
    <t>James Patterson</t>
  </si>
  <si>
    <t>Angela Stevens</t>
  </si>
  <si>
    <t>April Mathis</t>
  </si>
  <si>
    <t>Arthur Taylor</t>
  </si>
  <si>
    <t>Victor Thompson</t>
  </si>
  <si>
    <t>Jessica Rogers</t>
  </si>
  <si>
    <t>Julia Wright</t>
  </si>
  <si>
    <t>Christopher Wells</t>
  </si>
  <si>
    <t>Jeremiah Bell</t>
  </si>
  <si>
    <t>Taylor Sloan</t>
  </si>
  <si>
    <t>Kristin Kim</t>
  </si>
  <si>
    <t>Angel Schmidt</t>
  </si>
  <si>
    <t>Bruce Brown</t>
  </si>
  <si>
    <t>Rodney Miller</t>
  </si>
  <si>
    <t>Pamela Jenkins</t>
  </si>
  <si>
    <t>Leah Hamilton</t>
  </si>
  <si>
    <t>Jimmy Figueroa</t>
  </si>
  <si>
    <t>Melanie Herrera</t>
  </si>
  <si>
    <t>Michael Leonard</t>
  </si>
  <si>
    <t>Andrew Key</t>
  </si>
  <si>
    <t>Tammy Beasley</t>
  </si>
  <si>
    <t>Katherine Spears</t>
  </si>
  <si>
    <t>Keith Lee</t>
  </si>
  <si>
    <t>David Macias</t>
  </si>
  <si>
    <t>Victoria Anderson</t>
  </si>
  <si>
    <t>Michelle Black</t>
  </si>
  <si>
    <t>Nancy James</t>
  </si>
  <si>
    <t>Earl Edwards</t>
  </si>
  <si>
    <t>Richard Bradley</t>
  </si>
  <si>
    <t>Kyle Ross</t>
  </si>
  <si>
    <t>Luis Cameron</t>
  </si>
  <si>
    <t>Rachel Garrett</t>
  </si>
  <si>
    <t>Ashley Hodges</t>
  </si>
  <si>
    <t>Cody Cherry</t>
  </si>
  <si>
    <t>Caitlin Wood</t>
  </si>
  <si>
    <t>Scott Adams</t>
  </si>
  <si>
    <t>Melissa Galloway</t>
  </si>
  <si>
    <t>Dr. Jennifer Dunn</t>
  </si>
  <si>
    <t>Gregory Osborne</t>
  </si>
  <si>
    <t>Justin Perry</t>
  </si>
  <si>
    <t>Dean Williams</t>
  </si>
  <si>
    <t>Michael Gray</t>
  </si>
  <si>
    <t>Kelly Rice</t>
  </si>
  <si>
    <t>Debra Powell</t>
  </si>
  <si>
    <t>Ashley Hammond</t>
  </si>
  <si>
    <t>Douglas Castro</t>
  </si>
  <si>
    <t>Amanda Evans</t>
  </si>
  <si>
    <t>Samantha Taylor</t>
  </si>
  <si>
    <t>Tina Sanders</t>
  </si>
  <si>
    <t>Zachary Carpenter</t>
  </si>
  <si>
    <t>Brian Gallegos</t>
  </si>
  <si>
    <t>Mary Wall</t>
  </si>
  <si>
    <t>Mark Hernandez</t>
  </si>
  <si>
    <t>Luis Krause</t>
  </si>
  <si>
    <t>Jeffrey Allen</t>
  </si>
  <si>
    <t>Allison Porter</t>
  </si>
  <si>
    <t>Donna Clark</t>
  </si>
  <si>
    <t>Daniel Lowe</t>
  </si>
  <si>
    <t>Jenna Delgado</t>
  </si>
  <si>
    <t>Shannon Shah</t>
  </si>
  <si>
    <t>Gary Harrington</t>
  </si>
  <si>
    <t>Jacob Barrett</t>
  </si>
  <si>
    <t>Glen Smith</t>
  </si>
  <si>
    <t>Mallory Butler</t>
  </si>
  <si>
    <t>James Irwin</t>
  </si>
  <si>
    <t>Lisa Hogan</t>
  </si>
  <si>
    <t>Derrick Jenkins</t>
  </si>
  <si>
    <t>Linda Stephens</t>
  </si>
  <si>
    <t>Chelsea Hensley</t>
  </si>
  <si>
    <t>Jennifer Stewart</t>
  </si>
  <si>
    <t>Elizabeth Wright</t>
  </si>
  <si>
    <t>Frank Perry</t>
  </si>
  <si>
    <t>Amy Miller</t>
  </si>
  <si>
    <t>Michael Butler</t>
  </si>
  <si>
    <t>Tabitha Morrison</t>
  </si>
  <si>
    <t>Brittany Armstrong</t>
  </si>
  <si>
    <t>Darlene Lee DVM</t>
  </si>
  <si>
    <t>Robert Baird</t>
  </si>
  <si>
    <t>Jorge Watson</t>
  </si>
  <si>
    <t>Robert Fitzgerald</t>
  </si>
  <si>
    <t>Darrell Rogers</t>
  </si>
  <si>
    <t>Steven Flores</t>
  </si>
  <si>
    <t>Linda Evans</t>
  </si>
  <si>
    <t>Kimberly Odom</t>
  </si>
  <si>
    <t>Sandra Smith</t>
  </si>
  <si>
    <t>Renee Beck</t>
  </si>
  <si>
    <t>Tiffany Perry</t>
  </si>
  <si>
    <t>Anthony Thompson</t>
  </si>
  <si>
    <t>Justin Edwards</t>
  </si>
  <si>
    <t>Harold Morris</t>
  </si>
  <si>
    <t>Robert Mcdonald</t>
  </si>
  <si>
    <t>Krista Fisher</t>
  </si>
  <si>
    <t>Leslie Berry</t>
  </si>
  <si>
    <t>Jennifer Clark</t>
  </si>
  <si>
    <t>Rhonda Jones</t>
  </si>
  <si>
    <t>Thomas Scott</t>
  </si>
  <si>
    <t>Jonathan Martin</t>
  </si>
  <si>
    <t>Matthew Rose</t>
  </si>
  <si>
    <t>Christina Lane</t>
  </si>
  <si>
    <t>Scott Carter</t>
  </si>
  <si>
    <t>Kendra Hall</t>
  </si>
  <si>
    <t>Richard Gonzales</t>
  </si>
  <si>
    <t>Patricia Pittman</t>
  </si>
  <si>
    <t>Dana Kim</t>
  </si>
  <si>
    <t>Brian Suarez MD</t>
  </si>
  <si>
    <t>Joshua Singleton</t>
  </si>
  <si>
    <t>Diana Wolfe</t>
  </si>
  <si>
    <t>James Fitzgerald</t>
  </si>
  <si>
    <t>Casey Hernandez</t>
  </si>
  <si>
    <t>Jaime Evans</t>
  </si>
  <si>
    <t>Janet Robbins</t>
  </si>
  <si>
    <t>Carol Graham</t>
  </si>
  <si>
    <t>Sarah Drake</t>
  </si>
  <si>
    <t>Sergio Hurst</t>
  </si>
  <si>
    <t>Anna Cooper</t>
  </si>
  <si>
    <t>Joy Ingram</t>
  </si>
  <si>
    <t>Scott Gibson</t>
  </si>
  <si>
    <t>Patricia Potter</t>
  </si>
  <si>
    <t>Timothy Chandler</t>
  </si>
  <si>
    <t>Kelsey Perez</t>
  </si>
  <si>
    <t>Jeffrey Bates</t>
  </si>
  <si>
    <t>Maria Webb</t>
  </si>
  <si>
    <t>Nicole Hatfield</t>
  </si>
  <si>
    <t>Richard Matthews</t>
  </si>
  <si>
    <t>Michele Olsen</t>
  </si>
  <si>
    <t>Karen Cordova</t>
  </si>
  <si>
    <t>Alicia Frazier</t>
  </si>
  <si>
    <t>Jenna Rivera</t>
  </si>
  <si>
    <t>William Li</t>
  </si>
  <si>
    <t>Jennifer Keller</t>
  </si>
  <si>
    <t>Sarah Moody</t>
  </si>
  <si>
    <t>Vanessa Green</t>
  </si>
  <si>
    <t>Jacqueline Thompson</t>
  </si>
  <si>
    <t>Dr. Amy Martin</t>
  </si>
  <si>
    <t>Ruben Johns</t>
  </si>
  <si>
    <t>Kevin Doyle</t>
  </si>
  <si>
    <t>Ashley Morris</t>
  </si>
  <si>
    <t>Joe Moran</t>
  </si>
  <si>
    <t>Timothy Good</t>
  </si>
  <si>
    <t>Kelsey Johnson</t>
  </si>
  <si>
    <t>Heather Erickson</t>
  </si>
  <si>
    <t>Robin Parker</t>
  </si>
  <si>
    <t>Ryan Hodge</t>
  </si>
  <si>
    <t>Melissa Franklin</t>
  </si>
  <si>
    <t>Bianca Casey</t>
  </si>
  <si>
    <t>Stephanie Lopez</t>
  </si>
  <si>
    <t>Katherine Doyle</t>
  </si>
  <si>
    <t>Brian Oliver</t>
  </si>
  <si>
    <t>Darren Golden</t>
  </si>
  <si>
    <t>David Hinton</t>
  </si>
  <si>
    <t>Sheila Wright</t>
  </si>
  <si>
    <t>Stacy Newman</t>
  </si>
  <si>
    <t>John Wilson</t>
  </si>
  <si>
    <t>Richard Hill</t>
  </si>
  <si>
    <t>Shane Carr</t>
  </si>
  <si>
    <t>Alexandria Li</t>
  </si>
  <si>
    <t>David Parsons</t>
  </si>
  <si>
    <t>Patricia Simmons</t>
  </si>
  <si>
    <t>Alan Hill</t>
  </si>
  <si>
    <t>April Barnett</t>
  </si>
  <si>
    <t>Danielle Paul</t>
  </si>
  <si>
    <t>Carolyn Rush</t>
  </si>
  <si>
    <t>Cheryl Townsend</t>
  </si>
  <si>
    <t>Michael Nguyen</t>
  </si>
  <si>
    <t>Alisha Morrison</t>
  </si>
  <si>
    <t>Susan Moreno</t>
  </si>
  <si>
    <t>Ricky Mitchell</t>
  </si>
  <si>
    <t>Juan Rose</t>
  </si>
  <si>
    <t>Deborah Park</t>
  </si>
  <si>
    <t>Karla Bird</t>
  </si>
  <si>
    <t>Frank Estes</t>
  </si>
  <si>
    <t>Nicholas Lopez</t>
  </si>
  <si>
    <t>Brandy Phelps</t>
  </si>
  <si>
    <t>Stephen Anderson</t>
  </si>
  <si>
    <t>Michelle Kent</t>
  </si>
  <si>
    <t>Kimberly Malone</t>
  </si>
  <si>
    <t>Jennifer Abbott</t>
  </si>
  <si>
    <t>Cheryl Harper</t>
  </si>
  <si>
    <t>Bradley Oliver</t>
  </si>
  <si>
    <t>Isaac Rios</t>
  </si>
  <si>
    <t>Chelsea Dominguez</t>
  </si>
  <si>
    <t>Alison Gonzalez</t>
  </si>
  <si>
    <t>Alexandra Moore</t>
  </si>
  <si>
    <t>Jon Adams</t>
  </si>
  <si>
    <t>Jennifer Haley</t>
  </si>
  <si>
    <t>Jason Burnett</t>
  </si>
  <si>
    <t>Lori Harris</t>
  </si>
  <si>
    <t>Jonathan Schaefer</t>
  </si>
  <si>
    <t>William Peters</t>
  </si>
  <si>
    <t>Jeffrey Dean</t>
  </si>
  <si>
    <t>Parker Blevins</t>
  </si>
  <si>
    <t>Ashley Adams</t>
  </si>
  <si>
    <t>Carolyn Coleman</t>
  </si>
  <si>
    <t>Nathan Colon</t>
  </si>
  <si>
    <t>James Wise</t>
  </si>
  <si>
    <t>Angie Perry</t>
  </si>
  <si>
    <t>Robin Whitehead</t>
  </si>
  <si>
    <t>Christopher Olson</t>
  </si>
  <si>
    <t>Susan Palmer</t>
  </si>
  <si>
    <t>Judith Andrade</t>
  </si>
  <si>
    <t>Mrs. Brandi Bowers</t>
  </si>
  <si>
    <t>Mariah Parker</t>
  </si>
  <si>
    <t>Rachel Fletcher</t>
  </si>
  <si>
    <t>Laurie Larsen</t>
  </si>
  <si>
    <t>Thomas Maynard</t>
  </si>
  <si>
    <t>Wendy Diaz</t>
  </si>
  <si>
    <t>Austin Nunez</t>
  </si>
  <si>
    <t>Jeremy Allen</t>
  </si>
  <si>
    <t>Stacy Hall</t>
  </si>
  <si>
    <t>Jerry Washington</t>
  </si>
  <si>
    <t>Kenneth Norman</t>
  </si>
  <si>
    <t>Jessica Chase</t>
  </si>
  <si>
    <t>Caitlyn Singleton</t>
  </si>
  <si>
    <t>Julie Smith</t>
  </si>
  <si>
    <t>Dr. Valerie Morgan</t>
  </si>
  <si>
    <t>Philip Stark</t>
  </si>
  <si>
    <t>George Schultz</t>
  </si>
  <si>
    <t>Vanessa Rogers</t>
  </si>
  <si>
    <t>Stephanie Harvey</t>
  </si>
  <si>
    <t>Rebecca Brooks</t>
  </si>
  <si>
    <t>Alejandro Lara</t>
  </si>
  <si>
    <t>Dustin West</t>
  </si>
  <si>
    <t>Summer Underwood</t>
  </si>
  <si>
    <t>Scott Ward</t>
  </si>
  <si>
    <t>Jeffery Carter</t>
  </si>
  <si>
    <t>Lindsey Smith</t>
  </si>
  <si>
    <t>Linda Figueroa</t>
  </si>
  <si>
    <t>Zoe Santos</t>
  </si>
  <si>
    <t>Donna Wolf</t>
  </si>
  <si>
    <t>Jared Harper</t>
  </si>
  <si>
    <t>William Roberts</t>
  </si>
  <si>
    <t>Lisa Villegas</t>
  </si>
  <si>
    <t>Emma Sherman</t>
  </si>
  <si>
    <t>Timothy Bradley</t>
  </si>
  <si>
    <t>Sarah Ferguson</t>
  </si>
  <si>
    <t>Megan Fernandez</t>
  </si>
  <si>
    <t>Brandon Wagner</t>
  </si>
  <si>
    <t>Linda Moon</t>
  </si>
  <si>
    <t>Judy Lam</t>
  </si>
  <si>
    <t>Jessica Willis</t>
  </si>
  <si>
    <t>Taylor Guzman</t>
  </si>
  <si>
    <t>Justin Anderson</t>
  </si>
  <si>
    <t>Anna Hall</t>
  </si>
  <si>
    <t>Edward Rojas</t>
  </si>
  <si>
    <t>Alexandra Schultz</t>
  </si>
  <si>
    <t>Barry Pugh</t>
  </si>
  <si>
    <t>Zachary Jones</t>
  </si>
  <si>
    <t>Patricia Burke</t>
  </si>
  <si>
    <t>Terry Jimenez</t>
  </si>
  <si>
    <t>Raymond Terrell</t>
  </si>
  <si>
    <t>Julie Schneider</t>
  </si>
  <si>
    <t>Ann Klein</t>
  </si>
  <si>
    <t>Gail Mccarthy</t>
  </si>
  <si>
    <t>Clarence Perkins</t>
  </si>
  <si>
    <t>Victoria Jones</t>
  </si>
  <si>
    <t>Ian Simpson</t>
  </si>
  <si>
    <t>Denise Perez</t>
  </si>
  <si>
    <t>Alexander Booth</t>
  </si>
  <si>
    <t>Margaret Dunn</t>
  </si>
  <si>
    <t>Christopher Martin</t>
  </si>
  <si>
    <t>Tracey Gibson</t>
  </si>
  <si>
    <t>Nicole Sutton</t>
  </si>
  <si>
    <t>Daniel Bernard</t>
  </si>
  <si>
    <t>Christopher Bartlett</t>
  </si>
  <si>
    <t>Brian Sparks</t>
  </si>
  <si>
    <t>Sarah Bell</t>
  </si>
  <si>
    <t>Katherine Lambert</t>
  </si>
  <si>
    <t>Maria Johnson</t>
  </si>
  <si>
    <t>Teresa Ball</t>
  </si>
  <si>
    <t>Christine Carrillo</t>
  </si>
  <si>
    <t>Johnny Lowe</t>
  </si>
  <si>
    <t>Jennifer Young</t>
  </si>
  <si>
    <t>Cassandra Gentry</t>
  </si>
  <si>
    <t>Anna Russell</t>
  </si>
  <si>
    <t>George Baker</t>
  </si>
  <si>
    <t>Troy Johnson</t>
  </si>
  <si>
    <t>Miguel Gonzalez</t>
  </si>
  <si>
    <t>Jon Wong</t>
  </si>
  <si>
    <t>Dr. Emily Peck</t>
  </si>
  <si>
    <t>Austin Cummings MD</t>
  </si>
  <si>
    <t>Ronald Chapman</t>
  </si>
  <si>
    <t>Hannah Hubbard</t>
  </si>
  <si>
    <t>Kenneth Bryant</t>
  </si>
  <si>
    <t>Tamara Marshall</t>
  </si>
  <si>
    <t>Mitchell Arnold</t>
  </si>
  <si>
    <t>Eric Flores</t>
  </si>
  <si>
    <t>Rebecca Frank</t>
  </si>
  <si>
    <t>Rebecca Evans</t>
  </si>
  <si>
    <t>Matthew Lopez</t>
  </si>
  <si>
    <t>Kimberly Terry</t>
  </si>
  <si>
    <t>Megan Walter</t>
  </si>
  <si>
    <t>Angela Allen</t>
  </si>
  <si>
    <t>Gary Rice</t>
  </si>
  <si>
    <t>Bryan Nguyen</t>
  </si>
  <si>
    <t>Lauren Perez</t>
  </si>
  <si>
    <t>Kathryn Hernandez</t>
  </si>
  <si>
    <t>Traci Hanson</t>
  </si>
  <si>
    <t>James Mccoy</t>
  </si>
  <si>
    <t>James Garcia</t>
  </si>
  <si>
    <t>Travis Barrett</t>
  </si>
  <si>
    <t>Brian Arnold</t>
  </si>
  <si>
    <t>Kayla Ortiz</t>
  </si>
  <si>
    <t>Michele Liu</t>
  </si>
  <si>
    <t>Loretta Spencer</t>
  </si>
  <si>
    <t>Brenda Smith</t>
  </si>
  <si>
    <t>Natalie Collins</t>
  </si>
  <si>
    <t>Jason Stanley</t>
  </si>
  <si>
    <t>Amanda Love</t>
  </si>
  <si>
    <t>Sarah Brown</t>
  </si>
  <si>
    <t>Andrew Glenn</t>
  </si>
  <si>
    <t>Jessica Wright</t>
  </si>
  <si>
    <t>Fernando Sherman</t>
  </si>
  <si>
    <t>Michael Mcdonald</t>
  </si>
  <si>
    <t>William Peterson</t>
  </si>
  <si>
    <t>Jennifer Esparza</t>
  </si>
  <si>
    <t>Theresa Hubbard</t>
  </si>
  <si>
    <t>Jill Price</t>
  </si>
  <si>
    <t>Tiffany Walter</t>
  </si>
  <si>
    <t>Richard Sawyer</t>
  </si>
  <si>
    <t>Barry Brown</t>
  </si>
  <si>
    <t>Ricky Reynolds</t>
  </si>
  <si>
    <t>Michael Wilson</t>
  </si>
  <si>
    <t>Paige Blankenship</t>
  </si>
  <si>
    <t>Zachary Oneill</t>
  </si>
  <si>
    <t>Corey Bishop</t>
  </si>
  <si>
    <t>Paul Williams</t>
  </si>
  <si>
    <t>Rebecca Davila</t>
  </si>
  <si>
    <t>Austin Simmons</t>
  </si>
  <si>
    <t>Daniel George DVM</t>
  </si>
  <si>
    <t>Zachary Garza</t>
  </si>
  <si>
    <t>Danny Finley</t>
  </si>
  <si>
    <t>Krista Brooks</t>
  </si>
  <si>
    <t>Sally Stokes MD</t>
  </si>
  <si>
    <t>Dr. Jonathan Faulkner</t>
  </si>
  <si>
    <t>Michael Jackson</t>
  </si>
  <si>
    <t>Heather Sutton</t>
  </si>
  <si>
    <t>Angela Mcclain</t>
  </si>
  <si>
    <t>Dustin Carr</t>
  </si>
  <si>
    <t>Brittany Simmons</t>
  </si>
  <si>
    <t>Rebecca Morgan</t>
  </si>
  <si>
    <t>Kristen Long</t>
  </si>
  <si>
    <t>Alexandra Hudson</t>
  </si>
  <si>
    <t>Brian Fuller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</si>
</sst>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0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1" numFmtId="0" xfId="0" applyFont="1"/>
    <xf borderId="0" fillId="0" fontId="4" numFmtId="0" xfId="0" applyFont="1"/>
    <xf borderId="0" fillId="0" fontId="1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 car_sales_dat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Car brand by Sum of Sale Price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Sheet3!$I$3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Sheet3!$H$4:$H$9</c:f>
            </c:strRef>
          </c:cat>
          <c:val>
            <c:numRef>
              <c:f>Sheet3!$I$4:$I$9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10 Salesperson by Sales Performance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Sale Price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Sheet3!$B$4:$B$14</c:f>
              <c:numCache/>
            </c:numRef>
          </c:val>
        </c:ser>
        <c:ser>
          <c:idx val="1"/>
          <c:order val="1"/>
          <c:tx>
            <c:v>Sum of Commission Earned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Sheet3!$C$4:$C$14</c:f>
              <c:numCache/>
            </c:numRef>
          </c:val>
        </c:ser>
        <c:ser>
          <c:idx val="2"/>
          <c:order val="2"/>
          <c:tx>
            <c:v>Sum of profit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Sheet3!$D$4:$D$14</c:f>
              <c:numCache/>
            </c:numRef>
          </c:val>
        </c:ser>
        <c:axId val="468805619"/>
        <c:axId val="2054384676"/>
      </c:barChart>
      <c:catAx>
        <c:axId val="468805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54384676"/>
      </c:catAx>
      <c:valAx>
        <c:axId val="2054384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 PERFORMENS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6880561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Sale Price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Sheet3!$G$19:$G$31</c:f>
            </c:strRef>
          </c:cat>
          <c:val>
            <c:numRef>
              <c:f>Sheet3!$H$19:$H$31</c:f>
              <c:numCache/>
            </c:numRef>
          </c:val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Sheet3!$G$19:$G$31</c:f>
            </c:strRef>
          </c:cat>
          <c:val>
            <c:numRef>
              <c:f>Sheet3!$I$19:$I$31</c:f>
              <c:numCache/>
            </c:numRef>
          </c:val>
        </c:ser>
        <c:axId val="1575698749"/>
        <c:axId val="348528266"/>
      </c:barChart>
      <c:catAx>
        <c:axId val="1575698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48528266"/>
      </c:catAx>
      <c:valAx>
        <c:axId val="348528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 AND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7569874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catagory by profit and  sales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Sheet3!$A$40:$A$43</c:f>
            </c:strRef>
          </c:cat>
          <c:val>
            <c:numRef>
              <c:f>Sheet3!$B$40:$B$43</c:f>
              <c:numCache/>
            </c:numRef>
          </c:val>
        </c:ser>
        <c:ser>
          <c:idx val="1"/>
          <c:order val="1"/>
          <c:tx>
            <c:v>Sum of Sale Price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Sheet3!$A$40:$A$43</c:f>
            </c:strRef>
          </c:cat>
          <c:val>
            <c:numRef>
              <c:f>Sheet3!$C$40:$C$43</c:f>
              <c:numCache/>
            </c:numRef>
          </c:val>
        </c:ser>
        <c:axId val="797463341"/>
        <c:axId val="161392943"/>
      </c:barChart>
      <c:catAx>
        <c:axId val="797463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1392943"/>
      </c:catAx>
      <c:valAx>
        <c:axId val="16139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974633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sales car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Ford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Sheet3!$B$57:$B$70</c:f>
              <c:numCache/>
            </c:numRef>
          </c:val>
        </c:ser>
        <c:ser>
          <c:idx val="1"/>
          <c:order val="1"/>
          <c:tx>
            <c:v>Honda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Sheet3!$C$57:$C$70</c:f>
              <c:numCache/>
            </c:numRef>
          </c:val>
        </c:ser>
        <c:ser>
          <c:idx val="2"/>
          <c:order val="2"/>
          <c:tx>
            <c:v>Toyota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Sheet3!$D$57:$D$70</c:f>
              <c:numCache/>
            </c:numRef>
          </c:val>
        </c:ser>
        <c:axId val="911863395"/>
        <c:axId val="1296888727"/>
      </c:barChart>
      <c:catAx>
        <c:axId val="911863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CAR AGE</a:t>
                </a:r>
              </a:p>
            </c:rich>
          </c:tx>
          <c:layout>
            <c:manualLayout>
              <c:xMode val="edge"/>
              <c:yMode val="edge"/>
              <c:x val="0.42749190726159225"/>
              <c:y val="0.852941819772528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96888727"/>
      </c:catAx>
      <c:valAx>
        <c:axId val="1296888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1186339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SALES OF CARS</a:t>
            </a:r>
          </a:p>
        </c:rich>
      </c:tx>
      <c:overlay val="0"/>
    </c:title>
    <c:plotArea>
      <c:layout>
        <c:manualLayout>
          <c:xMode val="edge"/>
          <c:yMode val="edge"/>
          <c:x val="0.2150531496062992"/>
          <c:y val="0.26328484981044037"/>
          <c:w val="0.6379838145231846"/>
          <c:h val="0.4869335083114611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Sheet3!$A$76:$A$79</c:f>
            </c:strRef>
          </c:cat>
          <c:val>
            <c:numRef>
              <c:f>Sheet3!$B$76:$B$79</c:f>
              <c:numCache/>
            </c:numRef>
          </c:val>
        </c:ser>
        <c:axId val="2116575824"/>
        <c:axId val="782231366"/>
      </c:barChart>
      <c:catAx>
        <c:axId val="211657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CARS</a:t>
                </a:r>
              </a:p>
            </c:rich>
          </c:tx>
          <c:layout>
            <c:manualLayout>
              <c:xMode val="edge"/>
              <c:yMode val="edge"/>
              <c:x val="0.48279505686789154"/>
              <c:y val="0.857617745698454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82231366"/>
      </c:catAx>
      <c:valAx>
        <c:axId val="782231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1657582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CAR AND SALESPERSON BY PROFIT</a:t>
            </a:r>
          </a:p>
        </c:rich>
      </c:tx>
      <c:layout>
        <c:manualLayout>
          <c:xMode val="edge"/>
          <c:yMode val="edge"/>
          <c:x val="0.18781955380577425"/>
          <c:y val="0.045275590551181105"/>
        </c:manualLayout>
      </c:layout>
      <c:overlay val="0"/>
    </c:title>
    <c:plotArea>
      <c:layout>
        <c:manualLayout>
          <c:xMode val="edge"/>
          <c:yMode val="edge"/>
          <c:x val="0.17983092738407697"/>
          <c:y val="0.19805336832895887"/>
          <c:w val="0.6048912948381453"/>
          <c:h val="0.5727438757655294"/>
        </c:manualLayout>
      </c:layout>
      <c:barChart>
        <c:barDir val="col"/>
        <c:ser>
          <c:idx val="0"/>
          <c:order val="0"/>
          <c:tx>
            <c:v>Ford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Sheet3!$B$96:$B$99</c:f>
              <c:numCache/>
            </c:numRef>
          </c:val>
        </c:ser>
        <c:ser>
          <c:idx val="1"/>
          <c:order val="1"/>
          <c:tx>
            <c:v>Honda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Sheet3!$C$96:$C$99</c:f>
              <c:numCache/>
            </c:numRef>
          </c:val>
        </c:ser>
        <c:ser>
          <c:idx val="2"/>
          <c:order val="2"/>
          <c:tx>
            <c:v>Nissan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Sheet3!$D$96:$D$99</c:f>
              <c:numCache/>
            </c:numRef>
          </c:val>
        </c:ser>
        <c:axId val="471626740"/>
        <c:axId val="1970226884"/>
      </c:barChart>
      <c:catAx>
        <c:axId val="471626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saleperson</a:t>
                </a:r>
              </a:p>
            </c:rich>
          </c:tx>
          <c:layout>
            <c:manualLayout>
              <c:xMode val="edge"/>
              <c:yMode val="edge"/>
              <c:x val="0.3753667979002624"/>
              <c:y val="0.87819663167104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70226884"/>
      </c:catAx>
      <c:valAx>
        <c:axId val="1970226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7162674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Car brand by Sum of Sale Price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Sheet3!$I$3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Sheet3!$H$4:$H$9</c:f>
            </c:strRef>
          </c:cat>
          <c:val>
            <c:numRef>
              <c:f>Sheet3!$I$4:$I$9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10 Salesperson by Sales Performance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Sale Price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Sheet3!$B$4:$B$14</c:f>
              <c:numCache/>
            </c:numRef>
          </c:val>
        </c:ser>
        <c:ser>
          <c:idx val="1"/>
          <c:order val="1"/>
          <c:tx>
            <c:v>Sum of Commission Earned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Sheet3!$C$4:$C$14</c:f>
              <c:numCache/>
            </c:numRef>
          </c:val>
        </c:ser>
        <c:ser>
          <c:idx val="2"/>
          <c:order val="2"/>
          <c:tx>
            <c:v>Sum of profit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Sheet3!$A$4:$A$14</c:f>
            </c:strRef>
          </c:cat>
          <c:val>
            <c:numRef>
              <c:f>Sheet3!$D$4:$D$14</c:f>
              <c:numCache/>
            </c:numRef>
          </c:val>
        </c:ser>
        <c:axId val="348841812"/>
        <c:axId val="1404126461"/>
      </c:barChart>
      <c:catAx>
        <c:axId val="348841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04126461"/>
      </c:catAx>
      <c:valAx>
        <c:axId val="1404126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 PERFORMENS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4884181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Sale Price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Sheet3!$G$19:$G$31</c:f>
            </c:strRef>
          </c:cat>
          <c:val>
            <c:numRef>
              <c:f>Sheet3!$H$19:$H$31</c:f>
              <c:numCache/>
            </c:numRef>
          </c:val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Sheet3!$G$19:$G$31</c:f>
            </c:strRef>
          </c:cat>
          <c:val>
            <c:numRef>
              <c:f>Sheet3!$I$19:$I$31</c:f>
              <c:numCache/>
            </c:numRef>
          </c:val>
        </c:ser>
        <c:axId val="1390684047"/>
        <c:axId val="1855829087"/>
      </c:barChart>
      <c:catAx>
        <c:axId val="139068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55829087"/>
      </c:catAx>
      <c:valAx>
        <c:axId val="1855829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 AND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9068404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catagory by profit and  sales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Sheet3!$A$40:$A$43</c:f>
            </c:strRef>
          </c:cat>
          <c:val>
            <c:numRef>
              <c:f>Sheet3!$B$40:$B$43</c:f>
              <c:numCache/>
            </c:numRef>
          </c:val>
        </c:ser>
        <c:ser>
          <c:idx val="1"/>
          <c:order val="1"/>
          <c:tx>
            <c:v>Sum of Sale Price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Sheet3!$A$40:$A$43</c:f>
            </c:strRef>
          </c:cat>
          <c:val>
            <c:numRef>
              <c:f>Sheet3!$C$40:$C$43</c:f>
              <c:numCache/>
            </c:numRef>
          </c:val>
        </c:ser>
        <c:axId val="2051439408"/>
        <c:axId val="404061392"/>
      </c:barChart>
      <c:catAx>
        <c:axId val="205143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04061392"/>
      </c:catAx>
      <c:valAx>
        <c:axId val="404061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5143940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sales car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Ford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Sheet3!$B$57:$B$70</c:f>
              <c:numCache/>
            </c:numRef>
          </c:val>
        </c:ser>
        <c:ser>
          <c:idx val="1"/>
          <c:order val="1"/>
          <c:tx>
            <c:v>Honda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Sheet3!$C$57:$C$70</c:f>
              <c:numCache/>
            </c:numRef>
          </c:val>
        </c:ser>
        <c:ser>
          <c:idx val="2"/>
          <c:order val="2"/>
          <c:tx>
            <c:v>Toyota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Sheet3!$A$57:$A$70</c:f>
            </c:strRef>
          </c:cat>
          <c:val>
            <c:numRef>
              <c:f>Sheet3!$D$57:$D$70</c:f>
              <c:numCache/>
            </c:numRef>
          </c:val>
        </c:ser>
        <c:axId val="1500997124"/>
        <c:axId val="69991331"/>
      </c:barChart>
      <c:catAx>
        <c:axId val="1500997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CAR AGE</a:t>
                </a:r>
              </a:p>
            </c:rich>
          </c:tx>
          <c:layout>
            <c:manualLayout>
              <c:xMode val="edge"/>
              <c:yMode val="edge"/>
              <c:x val="0.42749190726159225"/>
              <c:y val="0.852941819772528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9991331"/>
      </c:catAx>
      <c:valAx>
        <c:axId val="69991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0099712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SALES OF CARS</a:t>
            </a:r>
          </a:p>
        </c:rich>
      </c:tx>
      <c:overlay val="0"/>
    </c:title>
    <c:plotArea>
      <c:layout>
        <c:manualLayout>
          <c:xMode val="edge"/>
          <c:yMode val="edge"/>
          <c:x val="0.2150531496062992"/>
          <c:y val="0.26328484981044037"/>
          <c:w val="0.6379838145231846"/>
          <c:h val="0.4869335083114611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Sheet3!$A$76:$A$79</c:f>
            </c:strRef>
          </c:cat>
          <c:val>
            <c:numRef>
              <c:f>Sheet3!$B$76:$B$79</c:f>
              <c:numCache/>
            </c:numRef>
          </c:val>
        </c:ser>
        <c:axId val="1831578764"/>
        <c:axId val="1730082473"/>
      </c:barChart>
      <c:catAx>
        <c:axId val="1831578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CARS</a:t>
                </a:r>
              </a:p>
            </c:rich>
          </c:tx>
          <c:layout>
            <c:manualLayout>
              <c:xMode val="edge"/>
              <c:yMode val="edge"/>
              <c:x val="0.48279505686789154"/>
              <c:y val="0.857617745698454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30082473"/>
      </c:catAx>
      <c:valAx>
        <c:axId val="1730082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3157876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TOP 3 CAR AND SALESPERSON BY PROFIT</a:t>
            </a:r>
          </a:p>
        </c:rich>
      </c:tx>
      <c:layout>
        <c:manualLayout>
          <c:xMode val="edge"/>
          <c:yMode val="edge"/>
          <c:x val="0.18781955380577425"/>
          <c:y val="0.045275590551181105"/>
        </c:manualLayout>
      </c:layout>
      <c:overlay val="0"/>
    </c:title>
    <c:plotArea>
      <c:layout>
        <c:manualLayout>
          <c:xMode val="edge"/>
          <c:yMode val="edge"/>
          <c:x val="0.17983092738407697"/>
          <c:y val="0.19805336832895887"/>
          <c:w val="0.6048912948381453"/>
          <c:h val="0.5727438757655294"/>
        </c:manualLayout>
      </c:layout>
      <c:barChart>
        <c:barDir val="col"/>
        <c:ser>
          <c:idx val="0"/>
          <c:order val="0"/>
          <c:tx>
            <c:v>Ford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Sheet3!$B$96:$B$99</c:f>
              <c:numCache/>
            </c:numRef>
          </c:val>
        </c:ser>
        <c:ser>
          <c:idx val="1"/>
          <c:order val="1"/>
          <c:tx>
            <c:v>Honda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Sheet3!$C$96:$C$99</c:f>
              <c:numCache/>
            </c:numRef>
          </c:val>
        </c:ser>
        <c:ser>
          <c:idx val="2"/>
          <c:order val="2"/>
          <c:tx>
            <c:v>Nissan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Sheet3!$A$96:$A$99</c:f>
            </c:strRef>
          </c:cat>
          <c:val>
            <c:numRef>
              <c:f>Sheet3!$D$96:$D$99</c:f>
              <c:numCache/>
            </c:numRef>
          </c:val>
        </c:ser>
        <c:axId val="390697515"/>
        <c:axId val="1090754305"/>
      </c:barChart>
      <c:catAx>
        <c:axId val="390697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saleperson</a:t>
                </a:r>
              </a:p>
            </c:rich>
          </c:tx>
          <c:layout>
            <c:manualLayout>
              <c:xMode val="edge"/>
              <c:yMode val="edge"/>
              <c:x val="0.3753667979002624"/>
              <c:y val="0.87819663167104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90754305"/>
      </c:catAx>
      <c:valAx>
        <c:axId val="1090754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9069751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9</xdr:row>
      <xdr:rowOff>28575</xdr:rowOff>
    </xdr:from>
    <xdr:ext cx="4048125" cy="2647950"/>
    <xdr:graphicFrame>
      <xdr:nvGraphicFramePr>
        <xdr:cNvPr id="10705089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533400</xdr:colOff>
      <xdr:row>23</xdr:row>
      <xdr:rowOff>28575</xdr:rowOff>
    </xdr:from>
    <xdr:ext cx="4810125" cy="2838450"/>
    <xdr:graphicFrame>
      <xdr:nvGraphicFramePr>
        <xdr:cNvPr id="100195739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361950</xdr:colOff>
      <xdr:row>9</xdr:row>
      <xdr:rowOff>28575</xdr:rowOff>
    </xdr:from>
    <xdr:ext cx="3933825" cy="2638425"/>
    <xdr:graphicFrame>
      <xdr:nvGraphicFramePr>
        <xdr:cNvPr id="103723270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504825</xdr:colOff>
      <xdr:row>23</xdr:row>
      <xdr:rowOff>28575</xdr:rowOff>
    </xdr:from>
    <xdr:ext cx="4229100" cy="2847975"/>
    <xdr:graphicFrame>
      <xdr:nvGraphicFramePr>
        <xdr:cNvPr id="680857600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485775</xdr:colOff>
      <xdr:row>23</xdr:row>
      <xdr:rowOff>19050</xdr:rowOff>
    </xdr:from>
    <xdr:ext cx="4238625" cy="2847975"/>
    <xdr:graphicFrame>
      <xdr:nvGraphicFramePr>
        <xdr:cNvPr id="39899410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123825</xdr:colOff>
      <xdr:row>9</xdr:row>
      <xdr:rowOff>0</xdr:rowOff>
    </xdr:from>
    <xdr:ext cx="3962400" cy="2647950"/>
    <xdr:graphicFrame>
      <xdr:nvGraphicFramePr>
        <xdr:cNvPr id="123190188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38100</xdr:colOff>
      <xdr:row>23</xdr:row>
      <xdr:rowOff>9525</xdr:rowOff>
    </xdr:from>
    <xdr:ext cx="4124325" cy="2838450"/>
    <xdr:graphicFrame>
      <xdr:nvGraphicFramePr>
        <xdr:cNvPr id="215099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1</xdr:row>
      <xdr:rowOff>104775</xdr:rowOff>
    </xdr:from>
    <xdr:ext cx="4343400" cy="2876550"/>
    <xdr:graphicFrame>
      <xdr:nvGraphicFramePr>
        <xdr:cNvPr id="1806103820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14</xdr:row>
      <xdr:rowOff>47625</xdr:rowOff>
    </xdr:from>
    <xdr:ext cx="4514850" cy="3533775"/>
    <xdr:graphicFrame>
      <xdr:nvGraphicFramePr>
        <xdr:cNvPr id="144944291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609600</xdr:colOff>
      <xdr:row>18</xdr:row>
      <xdr:rowOff>95250</xdr:rowOff>
    </xdr:from>
    <xdr:ext cx="4419600" cy="2876550"/>
    <xdr:graphicFrame>
      <xdr:nvGraphicFramePr>
        <xdr:cNvPr id="101842534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695325</xdr:colOff>
      <xdr:row>33</xdr:row>
      <xdr:rowOff>152400</xdr:rowOff>
    </xdr:from>
    <xdr:ext cx="4467225" cy="2886075"/>
    <xdr:graphicFrame>
      <xdr:nvGraphicFramePr>
        <xdr:cNvPr id="279649359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133350</xdr:colOff>
      <xdr:row>52</xdr:row>
      <xdr:rowOff>152400</xdr:rowOff>
    </xdr:from>
    <xdr:ext cx="4819650" cy="2886075"/>
    <xdr:graphicFrame>
      <xdr:nvGraphicFramePr>
        <xdr:cNvPr id="208390966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295275</xdr:colOff>
      <xdr:row>69</xdr:row>
      <xdr:rowOff>85725</xdr:rowOff>
    </xdr:from>
    <xdr:ext cx="4648200" cy="2876550"/>
    <xdr:graphicFrame>
      <xdr:nvGraphicFramePr>
        <xdr:cNvPr id="108467230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171450</xdr:colOff>
      <xdr:row>86</xdr:row>
      <xdr:rowOff>66675</xdr:rowOff>
    </xdr:from>
    <xdr:ext cx="4848225" cy="2876550"/>
    <xdr:graphicFrame>
      <xdr:nvGraphicFramePr>
        <xdr:cNvPr id="133412867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000" displayName="Table_1" name="Table_1" id="1">
  <tableColumns count="12">
    <tableColumn name="Date" id="1"/>
    <tableColumn name="Salesperson" id="2"/>
    <tableColumn name="Customer Name" id="3"/>
    <tableColumn name="Car Make" id="4"/>
    <tableColumn name="Car Model" id="5"/>
    <tableColumn name="Car Year" id="6"/>
    <tableColumn name="Sale Price" id="7"/>
    <tableColumn name="Commission Earned" id="8"/>
    <tableColumn name="profit" id="9"/>
    <tableColumn name="Sale Month" id="10"/>
    <tableColumn name="Sale Category" id="11"/>
    <tableColumn name="Car Age" id="12"/>
  </tableColumns>
  <tableStyleInfo name=" car_sales_dat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0" width="9.14"/>
    <col customWidth="1" min="21" max="30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1"/>
      <c r="I3" s="1"/>
      <c r="J3" s="2" t="s">
        <v>0</v>
      </c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5"/>
      <c r="T4" s="6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5"/>
      <c r="T5" s="6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5"/>
      <c r="T6" s="6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7"/>
      <c r="K7" s="8"/>
      <c r="L7" s="8"/>
      <c r="M7" s="8"/>
      <c r="N7" s="8"/>
      <c r="O7" s="8"/>
      <c r="P7" s="8"/>
      <c r="Q7" s="8"/>
      <c r="R7" s="8"/>
      <c r="S7" s="8"/>
      <c r="T7" s="9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">
    <mergeCell ref="J3:T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6.43"/>
    <col customWidth="1" min="3" max="4" width="8.43"/>
    <col customWidth="1" min="5" max="5" width="11.86"/>
    <col customWidth="1" min="6" max="6" width="7.43"/>
    <col customWidth="1" min="7" max="7" width="13.29"/>
    <col customWidth="1" min="8" max="8" width="17.0"/>
    <col customWidth="1" min="9" max="10" width="13.29"/>
    <col customWidth="1" min="11" max="26" width="8.71"/>
  </cols>
  <sheetData>
    <row r="3">
      <c r="A3" s="10" t="s">
        <v>1</v>
      </c>
      <c r="B3" s="11" t="s">
        <v>2</v>
      </c>
      <c r="C3" s="11" t="s">
        <v>3</v>
      </c>
      <c r="D3" s="11" t="s">
        <v>4</v>
      </c>
      <c r="H3" s="10" t="s">
        <v>1</v>
      </c>
      <c r="I3" s="11" t="s">
        <v>2</v>
      </c>
      <c r="J3" s="11" t="s">
        <v>4</v>
      </c>
    </row>
    <row r="4">
      <c r="A4" s="12" t="s">
        <v>5</v>
      </c>
      <c r="B4" s="10">
        <v>130390.0</v>
      </c>
      <c r="C4" s="10">
        <v>13238.55</v>
      </c>
      <c r="D4" s="10">
        <v>26078.0</v>
      </c>
      <c r="H4" s="12" t="s">
        <v>6</v>
      </c>
      <c r="I4" s="10">
        <v>1.7374031E7</v>
      </c>
      <c r="J4" s="10">
        <v>3474806.1999999993</v>
      </c>
    </row>
    <row r="5">
      <c r="A5" s="12" t="s">
        <v>7</v>
      </c>
      <c r="B5" s="10">
        <v>86875.0</v>
      </c>
      <c r="C5" s="10">
        <v>10290.77</v>
      </c>
      <c r="D5" s="10">
        <v>17375.0</v>
      </c>
      <c r="H5" s="12" t="s">
        <v>8</v>
      </c>
      <c r="I5" s="10">
        <v>1.9454032E7</v>
      </c>
      <c r="J5" s="10">
        <v>3890806.3999999994</v>
      </c>
    </row>
    <row r="6">
      <c r="A6" s="12" t="s">
        <v>9</v>
      </c>
      <c r="B6" s="10">
        <v>89909.0</v>
      </c>
      <c r="C6" s="10">
        <v>7706.84</v>
      </c>
      <c r="D6" s="10">
        <v>17981.800000000003</v>
      </c>
      <c r="H6" s="12" t="s">
        <v>10</v>
      </c>
      <c r="I6" s="10">
        <v>1.7969784E7</v>
      </c>
      <c r="J6" s="10">
        <v>3593956.8000000007</v>
      </c>
    </row>
    <row r="7">
      <c r="A7" s="12" t="s">
        <v>11</v>
      </c>
      <c r="B7" s="10">
        <v>94418.0</v>
      </c>
      <c r="C7" s="10">
        <v>11779.62</v>
      </c>
      <c r="D7" s="10">
        <v>18883.600000000002</v>
      </c>
      <c r="H7" s="12" t="s">
        <v>12</v>
      </c>
      <c r="I7" s="10">
        <v>1.7190395E7</v>
      </c>
      <c r="J7" s="10">
        <v>3438078.9999999995</v>
      </c>
    </row>
    <row r="8">
      <c r="A8" s="12" t="s">
        <v>13</v>
      </c>
      <c r="B8" s="10">
        <v>91038.0</v>
      </c>
      <c r="C8" s="10">
        <v>6153.83</v>
      </c>
      <c r="D8" s="10">
        <v>18207.6</v>
      </c>
      <c r="H8" s="12" t="s">
        <v>14</v>
      </c>
      <c r="I8" s="10">
        <v>1.8324311E7</v>
      </c>
      <c r="J8" s="10">
        <v>3664862.1999999993</v>
      </c>
    </row>
    <row r="9">
      <c r="A9" s="12" t="s">
        <v>15</v>
      </c>
      <c r="B9" s="10">
        <v>86883.0</v>
      </c>
      <c r="C9" s="10">
        <v>8088.66</v>
      </c>
      <c r="D9" s="10">
        <v>17376.600000000002</v>
      </c>
      <c r="H9" s="12" t="s">
        <v>16</v>
      </c>
      <c r="I9" s="10">
        <v>9.0312553E7</v>
      </c>
      <c r="J9" s="10">
        <v>1.8062510599999998E7</v>
      </c>
    </row>
    <row r="10">
      <c r="A10" s="12" t="s">
        <v>17</v>
      </c>
      <c r="B10" s="10">
        <v>94172.0</v>
      </c>
      <c r="C10" s="10">
        <v>11714.45</v>
      </c>
      <c r="D10" s="10">
        <v>18834.4</v>
      </c>
    </row>
    <row r="11">
      <c r="A11" s="12" t="s">
        <v>18</v>
      </c>
      <c r="B11" s="10">
        <v>90040.0</v>
      </c>
      <c r="C11" s="10">
        <v>11402.31</v>
      </c>
      <c r="D11" s="10">
        <v>18008.0</v>
      </c>
    </row>
    <row r="12">
      <c r="A12" s="12" t="s">
        <v>19</v>
      </c>
      <c r="B12" s="10">
        <v>104428.0</v>
      </c>
      <c r="C12" s="10">
        <v>13771.91</v>
      </c>
      <c r="D12" s="10">
        <v>20885.6</v>
      </c>
    </row>
    <row r="13">
      <c r="A13" s="12" t="s">
        <v>20</v>
      </c>
      <c r="B13" s="10">
        <v>146576.0</v>
      </c>
      <c r="C13" s="10">
        <v>15070.810000000001</v>
      </c>
      <c r="D13" s="10">
        <v>29315.2</v>
      </c>
    </row>
    <row r="14">
      <c r="A14" s="12" t="s">
        <v>16</v>
      </c>
      <c r="B14" s="10">
        <v>1014729.0</v>
      </c>
      <c r="C14" s="10">
        <v>109217.75</v>
      </c>
      <c r="D14" s="10">
        <v>202945.80000000002</v>
      </c>
    </row>
    <row r="18">
      <c r="G18" s="10" t="s">
        <v>1</v>
      </c>
      <c r="H18" s="11" t="s">
        <v>2</v>
      </c>
      <c r="I18" s="11" t="s">
        <v>4</v>
      </c>
    </row>
    <row r="19">
      <c r="G19" s="12" t="s">
        <v>21</v>
      </c>
      <c r="H19" s="10">
        <v>8603302.0</v>
      </c>
      <c r="I19" s="10">
        <v>1720660.4000000004</v>
      </c>
    </row>
    <row r="20">
      <c r="G20" s="12" t="s">
        <v>22</v>
      </c>
      <c r="H20" s="10">
        <v>6247777.0</v>
      </c>
      <c r="I20" s="10">
        <v>1249555.400000001</v>
      </c>
    </row>
    <row r="21" ht="15.75" customHeight="1">
      <c r="G21" s="12" t="s">
        <v>23</v>
      </c>
      <c r="H21" s="10">
        <v>7232801.0</v>
      </c>
      <c r="I21" s="10">
        <v>1446560.2000000004</v>
      </c>
    </row>
    <row r="22" ht="15.75" customHeight="1">
      <c r="G22" s="12" t="s">
        <v>24</v>
      </c>
      <c r="H22" s="10">
        <v>8001002.0</v>
      </c>
      <c r="I22" s="10">
        <v>1600200.4</v>
      </c>
    </row>
    <row r="23" ht="15.75" customHeight="1">
      <c r="G23" s="12" t="s">
        <v>25</v>
      </c>
      <c r="H23" s="10">
        <v>7861367.0</v>
      </c>
      <c r="I23" s="10">
        <v>1572273.4000000001</v>
      </c>
    </row>
    <row r="24" ht="15.75" customHeight="1">
      <c r="G24" s="12" t="s">
        <v>26</v>
      </c>
      <c r="H24" s="10">
        <v>7192051.0</v>
      </c>
      <c r="I24" s="10">
        <v>1438410.2000000007</v>
      </c>
    </row>
    <row r="25" ht="15.75" customHeight="1">
      <c r="G25" s="12" t="s">
        <v>27</v>
      </c>
      <c r="H25" s="10">
        <v>7235239.0</v>
      </c>
      <c r="I25" s="10">
        <v>1447047.8000000003</v>
      </c>
    </row>
    <row r="26" ht="15.75" customHeight="1">
      <c r="G26" s="12" t="s">
        <v>28</v>
      </c>
      <c r="H26" s="10">
        <v>7972317.0</v>
      </c>
      <c r="I26" s="10">
        <v>1594463.3999999997</v>
      </c>
    </row>
    <row r="27" ht="15.75" customHeight="1">
      <c r="G27" s="12" t="s">
        <v>29</v>
      </c>
      <c r="H27" s="10">
        <v>7545291.0</v>
      </c>
      <c r="I27" s="10">
        <v>1509058.1999999997</v>
      </c>
    </row>
    <row r="28" ht="15.75" customHeight="1">
      <c r="G28" s="12" t="s">
        <v>30</v>
      </c>
      <c r="H28" s="10">
        <v>7472137.0</v>
      </c>
      <c r="I28" s="10">
        <v>1494427.3999999987</v>
      </c>
    </row>
    <row r="29" ht="15.75" customHeight="1">
      <c r="G29" s="12" t="s">
        <v>31</v>
      </c>
      <c r="H29" s="10">
        <v>7057209.0</v>
      </c>
      <c r="I29" s="10">
        <v>1411441.8000000005</v>
      </c>
    </row>
    <row r="30" ht="15.75" customHeight="1">
      <c r="G30" s="12" t="s">
        <v>32</v>
      </c>
      <c r="H30" s="10">
        <v>7892060.0</v>
      </c>
      <c r="I30" s="10">
        <v>1578412.0</v>
      </c>
    </row>
    <row r="31" ht="15.75" customHeight="1">
      <c r="G31" s="12" t="s">
        <v>16</v>
      </c>
      <c r="H31" s="10">
        <v>9.0312553E7</v>
      </c>
      <c r="I31" s="10">
        <v>1.80625106E7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A39" s="10" t="s">
        <v>1</v>
      </c>
      <c r="B39" s="11" t="s">
        <v>4</v>
      </c>
      <c r="C39" s="11" t="s">
        <v>2</v>
      </c>
    </row>
    <row r="40" ht="15.75" customHeight="1">
      <c r="A40" s="12" t="s">
        <v>33</v>
      </c>
      <c r="B40" s="10">
        <v>2202834.8</v>
      </c>
      <c r="C40" s="10">
        <v>1.1014174E7</v>
      </c>
    </row>
    <row r="41" ht="15.75" customHeight="1">
      <c r="A41" s="12" t="s">
        <v>34</v>
      </c>
      <c r="B41" s="10">
        <v>9133742.000000004</v>
      </c>
      <c r="C41" s="10">
        <v>4.566871E7</v>
      </c>
    </row>
    <row r="42" ht="15.75" customHeight="1">
      <c r="A42" s="12" t="s">
        <v>35</v>
      </c>
      <c r="B42" s="10">
        <v>6725933.799999999</v>
      </c>
      <c r="C42" s="10">
        <v>3.3629669E7</v>
      </c>
    </row>
    <row r="43" ht="15.75" customHeight="1">
      <c r="A43" s="12" t="s">
        <v>16</v>
      </c>
      <c r="B43" s="10">
        <v>1.80625106E7</v>
      </c>
      <c r="C43" s="10">
        <v>9.0312553E7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10" t="s">
        <v>4</v>
      </c>
      <c r="B55" s="10" t="s">
        <v>36</v>
      </c>
    </row>
    <row r="56" ht="15.75" customHeight="1">
      <c r="A56" s="10" t="s">
        <v>1</v>
      </c>
      <c r="B56" s="11" t="s">
        <v>8</v>
      </c>
      <c r="C56" s="11" t="s">
        <v>10</v>
      </c>
      <c r="D56" s="11" t="s">
        <v>14</v>
      </c>
      <c r="E56" s="11" t="s">
        <v>16</v>
      </c>
    </row>
    <row r="57" ht="15.75" customHeight="1">
      <c r="A57" s="12">
        <v>3.0</v>
      </c>
      <c r="B57" s="10">
        <v>304364.4</v>
      </c>
      <c r="C57" s="10">
        <v>347798.19999999995</v>
      </c>
      <c r="D57" s="10">
        <v>271495.99999999994</v>
      </c>
      <c r="E57" s="10">
        <v>923658.5999999999</v>
      </c>
    </row>
    <row r="58" ht="15.75" customHeight="1">
      <c r="A58" s="12">
        <v>4.0</v>
      </c>
      <c r="B58" s="10">
        <v>312661.60000000003</v>
      </c>
      <c r="C58" s="10">
        <v>349302.7999999999</v>
      </c>
      <c r="D58" s="10">
        <v>261247.8</v>
      </c>
      <c r="E58" s="10">
        <v>923212.2</v>
      </c>
    </row>
    <row r="59" ht="15.75" customHeight="1">
      <c r="A59" s="12">
        <v>5.0</v>
      </c>
      <c r="B59" s="10">
        <v>313982.00000000006</v>
      </c>
      <c r="C59" s="10">
        <v>298914.6</v>
      </c>
      <c r="D59" s="10">
        <v>297997.1999999999</v>
      </c>
      <c r="E59" s="10">
        <v>910893.8</v>
      </c>
    </row>
    <row r="60" ht="15.75" customHeight="1">
      <c r="A60" s="12">
        <v>6.0</v>
      </c>
      <c r="B60" s="10">
        <v>287916.60000000003</v>
      </c>
      <c r="C60" s="10">
        <v>229314.00000000003</v>
      </c>
      <c r="D60" s="10">
        <v>341910.39999999997</v>
      </c>
      <c r="E60" s="10">
        <v>859141.0</v>
      </c>
    </row>
    <row r="61" ht="15.75" customHeight="1">
      <c r="A61" s="12">
        <v>7.0</v>
      </c>
      <c r="B61" s="10">
        <v>339506.2000000001</v>
      </c>
      <c r="C61" s="10">
        <v>236484.20000000004</v>
      </c>
      <c r="D61" s="10">
        <v>332890.2</v>
      </c>
      <c r="E61" s="10">
        <v>908880.6000000001</v>
      </c>
    </row>
    <row r="62" ht="15.75" customHeight="1">
      <c r="A62" s="12">
        <v>8.0</v>
      </c>
      <c r="B62" s="10">
        <v>343546.5999999999</v>
      </c>
      <c r="C62" s="10">
        <v>279967.99999999994</v>
      </c>
      <c r="D62" s="10">
        <v>256524.2</v>
      </c>
      <c r="E62" s="10">
        <v>880038.7999999998</v>
      </c>
    </row>
    <row r="63" ht="15.75" customHeight="1">
      <c r="A63" s="12">
        <v>9.0</v>
      </c>
      <c r="B63" s="10">
        <v>256545.99999999994</v>
      </c>
      <c r="C63" s="10">
        <v>408165.60000000003</v>
      </c>
      <c r="D63" s="10">
        <v>252110.19999999995</v>
      </c>
      <c r="E63" s="10">
        <v>916821.7999999999</v>
      </c>
    </row>
    <row r="64" ht="15.75" customHeight="1">
      <c r="A64" s="12">
        <v>10.0</v>
      </c>
      <c r="B64" s="10">
        <v>310900.2</v>
      </c>
      <c r="C64" s="10">
        <v>231591.40000000002</v>
      </c>
      <c r="D64" s="10">
        <v>283401.39999999997</v>
      </c>
      <c r="E64" s="10">
        <v>825893.0</v>
      </c>
    </row>
    <row r="65" ht="15.75" customHeight="1">
      <c r="A65" s="12">
        <v>11.0</v>
      </c>
      <c r="B65" s="10">
        <v>283055.79999999993</v>
      </c>
      <c r="C65" s="10">
        <v>245182.40000000002</v>
      </c>
      <c r="D65" s="10">
        <v>296173.80000000005</v>
      </c>
      <c r="E65" s="10">
        <v>824412.0</v>
      </c>
    </row>
    <row r="66" ht="15.75" customHeight="1">
      <c r="A66" s="12">
        <v>12.0</v>
      </c>
      <c r="B66" s="10">
        <v>293080.2</v>
      </c>
      <c r="C66" s="10">
        <v>246903.4</v>
      </c>
      <c r="D66" s="10">
        <v>239794.19999999998</v>
      </c>
      <c r="E66" s="10">
        <v>779777.7999999999</v>
      </c>
    </row>
    <row r="67" ht="15.75" customHeight="1">
      <c r="A67" s="12">
        <v>13.0</v>
      </c>
      <c r="B67" s="10">
        <v>267586.80000000005</v>
      </c>
      <c r="C67" s="10">
        <v>274363.99999999994</v>
      </c>
      <c r="D67" s="10">
        <v>281974.0</v>
      </c>
      <c r="E67" s="10">
        <v>823924.8</v>
      </c>
    </row>
    <row r="68" ht="15.75" customHeight="1">
      <c r="A68" s="12">
        <v>14.0</v>
      </c>
      <c r="B68" s="10">
        <v>305989.80000000005</v>
      </c>
      <c r="C68" s="10">
        <v>240053.59999999998</v>
      </c>
      <c r="D68" s="10">
        <v>272410.2</v>
      </c>
      <c r="E68" s="10">
        <v>818453.6000000001</v>
      </c>
    </row>
    <row r="69" ht="15.75" customHeight="1">
      <c r="A69" s="12">
        <v>15.0</v>
      </c>
      <c r="B69" s="10">
        <v>271670.2</v>
      </c>
      <c r="C69" s="10">
        <v>205914.60000000003</v>
      </c>
      <c r="D69" s="10">
        <v>276932.60000000003</v>
      </c>
      <c r="E69" s="10">
        <v>754517.4000000001</v>
      </c>
    </row>
    <row r="70" ht="15.75" customHeight="1">
      <c r="A70" s="12" t="s">
        <v>16</v>
      </c>
      <c r="B70" s="10">
        <v>3890806.4000000004</v>
      </c>
      <c r="C70" s="10">
        <v>3593956.8</v>
      </c>
      <c r="D70" s="10">
        <v>3664862.1999999997</v>
      </c>
      <c r="E70" s="10">
        <v>1.11496254E7</v>
      </c>
    </row>
    <row r="71" ht="15.75" customHeight="1"/>
    <row r="72" ht="15.75" customHeight="1"/>
    <row r="73" ht="15.75" customHeight="1"/>
    <row r="74" ht="15.75" customHeight="1"/>
    <row r="75" ht="15.75" customHeight="1">
      <c r="A75" s="10" t="s">
        <v>1</v>
      </c>
      <c r="B75" s="11" t="s">
        <v>2</v>
      </c>
    </row>
    <row r="76" ht="15.75" customHeight="1">
      <c r="A76" s="12" t="s">
        <v>8</v>
      </c>
      <c r="B76" s="10">
        <v>1.9454032E7</v>
      </c>
    </row>
    <row r="77" ht="15.75" customHeight="1">
      <c r="A77" s="12" t="s">
        <v>10</v>
      </c>
      <c r="B77" s="10">
        <v>1.7969784E7</v>
      </c>
    </row>
    <row r="78" ht="15.75" customHeight="1">
      <c r="A78" s="12" t="s">
        <v>14</v>
      </c>
      <c r="B78" s="10">
        <v>1.8324311E7</v>
      </c>
    </row>
    <row r="79" ht="15.75" customHeight="1">
      <c r="A79" s="12" t="s">
        <v>16</v>
      </c>
      <c r="B79" s="10">
        <v>5.5748127E7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>
      <c r="A94" s="10" t="s">
        <v>4</v>
      </c>
      <c r="B94" s="10" t="s">
        <v>36</v>
      </c>
    </row>
    <row r="95" ht="15.75" customHeight="1">
      <c r="A95" s="10" t="s">
        <v>1</v>
      </c>
      <c r="B95" s="11" t="s">
        <v>8</v>
      </c>
      <c r="C95" s="11" t="s">
        <v>10</v>
      </c>
      <c r="D95" s="11" t="s">
        <v>12</v>
      </c>
      <c r="E95" s="11" t="s">
        <v>16</v>
      </c>
    </row>
    <row r="96" ht="15.75" customHeight="1">
      <c r="A96" s="12" t="s">
        <v>5</v>
      </c>
      <c r="B96" s="10">
        <v>6644.8</v>
      </c>
      <c r="C96" s="10"/>
      <c r="D96" s="10">
        <v>19433.2</v>
      </c>
      <c r="E96" s="10">
        <v>26078.0</v>
      </c>
    </row>
    <row r="97" ht="15.75" customHeight="1">
      <c r="A97" s="12" t="s">
        <v>19</v>
      </c>
      <c r="B97" s="10">
        <v>17046.0</v>
      </c>
      <c r="C97" s="10"/>
      <c r="D97" s="10">
        <v>3839.6000000000004</v>
      </c>
      <c r="E97" s="10">
        <v>20885.6</v>
      </c>
    </row>
    <row r="98" ht="15.75" customHeight="1">
      <c r="A98" s="12" t="s">
        <v>20</v>
      </c>
      <c r="B98" s="10">
        <v>5090.200000000001</v>
      </c>
      <c r="C98" s="10">
        <v>16496.4</v>
      </c>
      <c r="D98" s="10"/>
      <c r="E98" s="10">
        <v>21586.600000000002</v>
      </c>
    </row>
    <row r="99" ht="15.75" customHeight="1">
      <c r="A99" s="12" t="s">
        <v>16</v>
      </c>
      <c r="B99" s="10">
        <v>28781.0</v>
      </c>
      <c r="C99" s="10">
        <v>16496.4</v>
      </c>
      <c r="D99" s="10">
        <v>23272.800000000003</v>
      </c>
      <c r="E99" s="10">
        <v>68550.2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9.43"/>
    <col customWidth="1" min="3" max="3" width="20.43"/>
    <col customWidth="1" min="4" max="4" width="11.43"/>
    <col customWidth="1" min="5" max="5" width="12.29"/>
    <col customWidth="1" min="6" max="6" width="10.43"/>
    <col customWidth="1" min="7" max="7" width="11.71"/>
    <col customWidth="1" min="8" max="8" width="18.43"/>
    <col customWidth="1" min="9" max="9" width="9.43"/>
    <col customWidth="1" min="10" max="10" width="11.29"/>
    <col customWidth="1" min="11" max="11" width="12.71"/>
    <col customWidth="1" min="12" max="12" width="13.57"/>
  </cols>
  <sheetData>
    <row r="1">
      <c r="A1" s="13" t="s">
        <v>37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  <c r="J1" s="14" t="s">
        <v>46</v>
      </c>
      <c r="K1" s="15" t="s">
        <v>47</v>
      </c>
      <c r="L1" s="13" t="s">
        <v>48</v>
      </c>
    </row>
    <row r="2">
      <c r="A2" s="16">
        <v>44774.0</v>
      </c>
      <c r="B2" s="13" t="s">
        <v>49</v>
      </c>
      <c r="C2" s="13" t="s">
        <v>50</v>
      </c>
      <c r="D2" s="13" t="s">
        <v>12</v>
      </c>
      <c r="E2" s="13" t="s">
        <v>51</v>
      </c>
      <c r="F2" s="13">
        <v>2018.0</v>
      </c>
      <c r="G2" s="13">
        <v>15983.0</v>
      </c>
      <c r="H2" s="13">
        <v>1126.73</v>
      </c>
      <c r="I2" s="13">
        <f>' car_sales_data 1'!$G2*0.2</f>
        <v>3196.6</v>
      </c>
      <c r="J2" s="13" t="str">
        <f>TEXT(' car_sales_data 1'!$A2,"mmmm")</f>
        <v>August</v>
      </c>
      <c r="K2" s="13" t="str">
        <f>IF(' car_sales_data 1'!$G2&gt;40000,"Premium",
 IF(' car_sales_data 1'!$G2&gt;=20000,"Mid Range","Budget"))</f>
        <v>Budget</v>
      </c>
      <c r="L2" s="13">
        <f>YEAR(TODAY())-' car_sales_data 1'!$F2</f>
        <v>7</v>
      </c>
    </row>
    <row r="3">
      <c r="A3" s="16">
        <v>45000.0</v>
      </c>
      <c r="B3" s="13" t="s">
        <v>52</v>
      </c>
      <c r="C3" s="13" t="s">
        <v>53</v>
      </c>
      <c r="D3" s="13" t="s">
        <v>12</v>
      </c>
      <c r="E3" s="13" t="s">
        <v>54</v>
      </c>
      <c r="F3" s="13">
        <v>2016.0</v>
      </c>
      <c r="G3" s="13">
        <v>38474.0</v>
      </c>
      <c r="H3" s="13">
        <v>5172.4</v>
      </c>
      <c r="I3" s="13">
        <f>' car_sales_data 1'!$G3*0.2</f>
        <v>7694.8</v>
      </c>
      <c r="J3" s="13" t="str">
        <f>TEXT(' car_sales_data 1'!$A3,"mmmm")</f>
        <v>March</v>
      </c>
      <c r="K3" s="13" t="str">
        <f>IF(' car_sales_data 1'!$G3&gt;40000,"Premium",
 IF(' car_sales_data 1'!$G3&gt;=20000,"Mid Range","Budget"))</f>
        <v>Mid Range</v>
      </c>
      <c r="L3" s="13">
        <f>YEAR(TODAY())-' car_sales_data 1'!$F3</f>
        <v>9</v>
      </c>
    </row>
    <row r="4">
      <c r="A4" s="16">
        <v>45045.0</v>
      </c>
      <c r="B4" s="13" t="s">
        <v>55</v>
      </c>
      <c r="C4" s="13" t="s">
        <v>56</v>
      </c>
      <c r="D4" s="13" t="s">
        <v>8</v>
      </c>
      <c r="E4" s="13" t="s">
        <v>57</v>
      </c>
      <c r="F4" s="13">
        <v>2016.0</v>
      </c>
      <c r="G4" s="13">
        <v>33340.0</v>
      </c>
      <c r="H4" s="13">
        <v>3818.63</v>
      </c>
      <c r="I4" s="13">
        <f>' car_sales_data 1'!$G4*0.2</f>
        <v>6668</v>
      </c>
      <c r="J4" s="13" t="str">
        <f>TEXT(' car_sales_data 1'!$A4,"mmmm")</f>
        <v>April</v>
      </c>
      <c r="K4" s="13" t="str">
        <f>IF(' car_sales_data 1'!$G4&gt;40000,"Premium",
 IF(' car_sales_data 1'!$G4&gt;=20000,"Mid Range","Budget"))</f>
        <v>Mid Range</v>
      </c>
      <c r="L4" s="13">
        <f>YEAR(TODAY())-' car_sales_data 1'!$F4</f>
        <v>9</v>
      </c>
    </row>
    <row r="5">
      <c r="A5" s="16">
        <v>44808.0</v>
      </c>
      <c r="B5" s="13" t="s">
        <v>58</v>
      </c>
      <c r="C5" s="13" t="s">
        <v>59</v>
      </c>
      <c r="D5" s="13" t="s">
        <v>8</v>
      </c>
      <c r="E5" s="13" t="s">
        <v>51</v>
      </c>
      <c r="F5" s="13">
        <v>2013.0</v>
      </c>
      <c r="G5" s="13">
        <v>41937.0</v>
      </c>
      <c r="H5" s="13">
        <v>3866.2</v>
      </c>
      <c r="I5" s="13">
        <f>' car_sales_data 1'!$G5*0.2</f>
        <v>8387.4</v>
      </c>
      <c r="J5" s="13" t="str">
        <f>TEXT(' car_sales_data 1'!$A5,"mmmm")</f>
        <v>September</v>
      </c>
      <c r="K5" s="13" t="str">
        <f>IF(' car_sales_data 1'!$G5&gt;40000,"Premium",
 IF(' car_sales_data 1'!$G5&gt;=20000,"Mid Range","Budget"))</f>
        <v>Premium</v>
      </c>
      <c r="L5" s="13">
        <f>YEAR(TODAY())-' car_sales_data 1'!$F5</f>
        <v>12</v>
      </c>
    </row>
    <row r="6">
      <c r="A6" s="16">
        <v>44728.0</v>
      </c>
      <c r="B6" s="13" t="s">
        <v>60</v>
      </c>
      <c r="C6" s="13" t="s">
        <v>61</v>
      </c>
      <c r="D6" s="13" t="s">
        <v>10</v>
      </c>
      <c r="E6" s="13" t="s">
        <v>62</v>
      </c>
      <c r="F6" s="13">
        <v>2022.0</v>
      </c>
      <c r="G6" s="13">
        <v>20256.0</v>
      </c>
      <c r="H6" s="13">
        <v>2298.85</v>
      </c>
      <c r="I6" s="13">
        <f>' car_sales_data 1'!$G6*0.2</f>
        <v>4051.2</v>
      </c>
      <c r="J6" s="13" t="str">
        <f>TEXT(' car_sales_data 1'!$A6,"mmmm")</f>
        <v>June</v>
      </c>
      <c r="K6" s="13" t="str">
        <f>IF(' car_sales_data 1'!$G6&gt;40000,"Premium",
 IF(' car_sales_data 1'!$G6&gt;=20000,"Mid Range","Budget"))</f>
        <v>Mid Range</v>
      </c>
      <c r="L6" s="13">
        <f>YEAR(TODAY())-' car_sales_data 1'!$F6</f>
        <v>3</v>
      </c>
    </row>
    <row r="7">
      <c r="A7" s="16">
        <v>44913.0</v>
      </c>
      <c r="B7" s="13" t="s">
        <v>63</v>
      </c>
      <c r="C7" s="13" t="s">
        <v>64</v>
      </c>
      <c r="D7" s="13" t="s">
        <v>8</v>
      </c>
      <c r="E7" s="13" t="s">
        <v>51</v>
      </c>
      <c r="F7" s="13">
        <v>2015.0</v>
      </c>
      <c r="G7" s="13">
        <v>14769.0</v>
      </c>
      <c r="H7" s="13">
        <v>1140.86</v>
      </c>
      <c r="I7" s="13">
        <f>' car_sales_data 1'!$G7*0.2</f>
        <v>2953.8</v>
      </c>
      <c r="J7" s="13" t="str">
        <f>TEXT(' car_sales_data 1'!$A7,"mmmm")</f>
        <v>December</v>
      </c>
      <c r="K7" s="13" t="str">
        <f>IF(' car_sales_data 1'!$G7&gt;40000,"Premium",
 IF(' car_sales_data 1'!$G7&gt;=20000,"Mid Range","Budget"))</f>
        <v>Budget</v>
      </c>
      <c r="L7" s="13">
        <f>YEAR(TODAY())-' car_sales_data 1'!$F7</f>
        <v>10</v>
      </c>
    </row>
    <row r="8">
      <c r="A8" s="16">
        <v>44724.0</v>
      </c>
      <c r="B8" s="13" t="s">
        <v>65</v>
      </c>
      <c r="C8" s="13" t="s">
        <v>66</v>
      </c>
      <c r="D8" s="13" t="s">
        <v>10</v>
      </c>
      <c r="E8" s="13" t="s">
        <v>54</v>
      </c>
      <c r="F8" s="13">
        <v>2013.0</v>
      </c>
      <c r="G8" s="13">
        <v>41397.0</v>
      </c>
      <c r="H8" s="13">
        <v>5910.67</v>
      </c>
      <c r="I8" s="13">
        <f>' car_sales_data 1'!$G8*0.2</f>
        <v>8279.4</v>
      </c>
      <c r="J8" s="13" t="str">
        <f>TEXT(' car_sales_data 1'!$A8,"mmmm")</f>
        <v>June</v>
      </c>
      <c r="K8" s="13" t="str">
        <f>IF(' car_sales_data 1'!$G8&gt;40000,"Premium",
 IF(' car_sales_data 1'!$G8&gt;=20000,"Mid Range","Budget"))</f>
        <v>Premium</v>
      </c>
      <c r="L8" s="13">
        <f>YEAR(TODAY())-' car_sales_data 1'!$F8</f>
        <v>12</v>
      </c>
    </row>
    <row r="9">
      <c r="A9" s="16">
        <v>44732.0</v>
      </c>
      <c r="B9" s="13" t="s">
        <v>67</v>
      </c>
      <c r="C9" s="13" t="s">
        <v>68</v>
      </c>
      <c r="D9" s="13" t="s">
        <v>8</v>
      </c>
      <c r="E9" s="13" t="s">
        <v>51</v>
      </c>
      <c r="F9" s="13">
        <v>2015.0</v>
      </c>
      <c r="G9" s="13">
        <v>46233.0</v>
      </c>
      <c r="H9" s="13">
        <v>3311.38</v>
      </c>
      <c r="I9" s="13">
        <f>' car_sales_data 1'!$G9*0.2</f>
        <v>9246.6</v>
      </c>
      <c r="J9" s="13" t="str">
        <f>TEXT(' car_sales_data 1'!$A9,"mmmm")</f>
        <v>June</v>
      </c>
      <c r="K9" s="13" t="str">
        <f>IF(' car_sales_data 1'!$G9&gt;40000,"Premium",
 IF(' car_sales_data 1'!$G9&gt;=20000,"Mid Range","Budget"))</f>
        <v>Premium</v>
      </c>
      <c r="L9" s="13">
        <f>YEAR(TODAY())-' car_sales_data 1'!$F9</f>
        <v>10</v>
      </c>
    </row>
    <row r="10">
      <c r="A10" s="16">
        <v>44806.0</v>
      </c>
      <c r="B10" s="13" t="s">
        <v>69</v>
      </c>
      <c r="C10" s="13" t="s">
        <v>20</v>
      </c>
      <c r="D10" s="13" t="s">
        <v>8</v>
      </c>
      <c r="E10" s="13" t="s">
        <v>70</v>
      </c>
      <c r="F10" s="13">
        <v>2021.0</v>
      </c>
      <c r="G10" s="13">
        <v>27337.0</v>
      </c>
      <c r="H10" s="13">
        <v>2720.13</v>
      </c>
      <c r="I10" s="13">
        <f>' car_sales_data 1'!$G10*0.2</f>
        <v>5467.4</v>
      </c>
      <c r="J10" s="13" t="str">
        <f>TEXT(' car_sales_data 1'!$A10,"mmmm")</f>
        <v>September</v>
      </c>
      <c r="K10" s="13" t="str">
        <f>IF(' car_sales_data 1'!$G10&gt;40000,"Premium",
 IF(' car_sales_data 1'!$G10&gt;=20000,"Mid Range","Budget"))</f>
        <v>Mid Range</v>
      </c>
      <c r="L10" s="13">
        <f>YEAR(TODAY())-' car_sales_data 1'!$F10</f>
        <v>4</v>
      </c>
    </row>
    <row r="11">
      <c r="A11" s="16">
        <v>45022.0</v>
      </c>
      <c r="B11" s="13" t="s">
        <v>71</v>
      </c>
      <c r="C11" s="13" t="s">
        <v>72</v>
      </c>
      <c r="D11" s="13" t="s">
        <v>8</v>
      </c>
      <c r="E11" s="13" t="s">
        <v>57</v>
      </c>
      <c r="F11" s="13">
        <v>2018.0</v>
      </c>
      <c r="G11" s="13">
        <v>16309.0</v>
      </c>
      <c r="H11" s="13">
        <v>2445.14</v>
      </c>
      <c r="I11" s="13">
        <f>' car_sales_data 1'!$G11*0.2</f>
        <v>3261.8</v>
      </c>
      <c r="J11" s="13" t="str">
        <f>TEXT(' car_sales_data 1'!$A11,"mmmm")</f>
        <v>April</v>
      </c>
      <c r="K11" s="13" t="str">
        <f>IF(' car_sales_data 1'!$G11&gt;40000,"Premium",
 IF(' car_sales_data 1'!$G11&gt;=20000,"Mid Range","Budget"))</f>
        <v>Budget</v>
      </c>
      <c r="L11" s="13">
        <f>YEAR(TODAY())-' car_sales_data 1'!$F11</f>
        <v>7</v>
      </c>
    </row>
    <row r="12">
      <c r="A12" s="16">
        <v>44997.0</v>
      </c>
      <c r="B12" s="13" t="s">
        <v>73</v>
      </c>
      <c r="C12" s="13" t="s">
        <v>74</v>
      </c>
      <c r="D12" s="13" t="s">
        <v>10</v>
      </c>
      <c r="E12" s="13" t="s">
        <v>62</v>
      </c>
      <c r="F12" s="13">
        <v>2021.0</v>
      </c>
      <c r="G12" s="13">
        <v>41259.0</v>
      </c>
      <c r="H12" s="13">
        <v>3818.16</v>
      </c>
      <c r="I12" s="13">
        <f>' car_sales_data 1'!$G12*0.2</f>
        <v>8251.8</v>
      </c>
      <c r="J12" s="13" t="str">
        <f>TEXT(' car_sales_data 1'!$A12,"mmmm")</f>
        <v>March</v>
      </c>
      <c r="K12" s="13" t="str">
        <f>IF(' car_sales_data 1'!$G12&gt;40000,"Premium",
 IF(' car_sales_data 1'!$G12&gt;=20000,"Mid Range","Budget"))</f>
        <v>Premium</v>
      </c>
      <c r="L12" s="13">
        <f>YEAR(TODAY())-' car_sales_data 1'!$F12</f>
        <v>4</v>
      </c>
    </row>
    <row r="13">
      <c r="A13" s="16">
        <v>44955.0</v>
      </c>
      <c r="B13" s="13" t="s">
        <v>75</v>
      </c>
      <c r="C13" s="13" t="s">
        <v>76</v>
      </c>
      <c r="D13" s="13" t="s">
        <v>14</v>
      </c>
      <c r="E13" s="13" t="s">
        <v>62</v>
      </c>
      <c r="F13" s="13">
        <v>2022.0</v>
      </c>
      <c r="G13" s="13">
        <v>48224.0</v>
      </c>
      <c r="H13" s="13">
        <v>4368.72</v>
      </c>
      <c r="I13" s="13">
        <f>' car_sales_data 1'!$G13*0.2</f>
        <v>9644.8</v>
      </c>
      <c r="J13" s="13" t="str">
        <f>TEXT(' car_sales_data 1'!$A13,"mmmm")</f>
        <v>January</v>
      </c>
      <c r="K13" s="13" t="str">
        <f>IF(' car_sales_data 1'!$G13&gt;40000,"Premium",
 IF(' car_sales_data 1'!$G13&gt;=20000,"Mid Range","Budget"))</f>
        <v>Premium</v>
      </c>
      <c r="L13" s="13">
        <f>YEAR(TODAY())-' car_sales_data 1'!$F13</f>
        <v>3</v>
      </c>
    </row>
    <row r="14">
      <c r="A14" s="16">
        <v>44710.0</v>
      </c>
      <c r="B14" s="13" t="s">
        <v>77</v>
      </c>
      <c r="C14" s="13" t="s">
        <v>78</v>
      </c>
      <c r="D14" s="13" t="s">
        <v>8</v>
      </c>
      <c r="E14" s="13" t="s">
        <v>51</v>
      </c>
      <c r="F14" s="13">
        <v>2017.0</v>
      </c>
      <c r="G14" s="13">
        <v>36409.0</v>
      </c>
      <c r="H14" s="13">
        <v>4454.6</v>
      </c>
      <c r="I14" s="13">
        <f>' car_sales_data 1'!$G14*0.2</f>
        <v>7281.8</v>
      </c>
      <c r="J14" s="13" t="str">
        <f>TEXT(' car_sales_data 1'!$A14,"mmmm")</f>
        <v>May</v>
      </c>
      <c r="K14" s="13" t="str">
        <f>IF(' car_sales_data 1'!$G14&gt;40000,"Premium",
 IF(' car_sales_data 1'!$G14&gt;=20000,"Mid Range","Budget"))</f>
        <v>Mid Range</v>
      </c>
      <c r="L14" s="13">
        <f>YEAR(TODAY())-' car_sales_data 1'!$F14</f>
        <v>8</v>
      </c>
    </row>
    <row r="15">
      <c r="A15" s="16">
        <v>44785.0</v>
      </c>
      <c r="B15" s="13" t="s">
        <v>79</v>
      </c>
      <c r="C15" s="13" t="s">
        <v>80</v>
      </c>
      <c r="D15" s="13" t="s">
        <v>14</v>
      </c>
      <c r="E15" s="13" t="s">
        <v>54</v>
      </c>
      <c r="F15" s="13">
        <v>2011.0</v>
      </c>
      <c r="G15" s="13">
        <v>29628.0</v>
      </c>
      <c r="H15" s="13">
        <v>3328.0</v>
      </c>
      <c r="I15" s="13">
        <f>' car_sales_data 1'!$G15*0.2</f>
        <v>5925.6</v>
      </c>
      <c r="J15" s="13" t="str">
        <f>TEXT(' car_sales_data 1'!$A15,"mmmm")</f>
        <v>August</v>
      </c>
      <c r="K15" s="13" t="str">
        <f>IF(' car_sales_data 1'!$G15&gt;40000,"Premium",
 IF(' car_sales_data 1'!$G15&gt;=20000,"Mid Range","Budget"))</f>
        <v>Mid Range</v>
      </c>
      <c r="L15" s="13">
        <f>YEAR(TODAY())-' car_sales_data 1'!$F15</f>
        <v>14</v>
      </c>
    </row>
    <row r="16">
      <c r="A16" s="16">
        <v>45022.0</v>
      </c>
      <c r="B16" s="13" t="s">
        <v>81</v>
      </c>
      <c r="C16" s="13" t="s">
        <v>82</v>
      </c>
      <c r="D16" s="13" t="s">
        <v>6</v>
      </c>
      <c r="E16" s="13" t="s">
        <v>51</v>
      </c>
      <c r="F16" s="13">
        <v>2021.0</v>
      </c>
      <c r="G16" s="13">
        <v>10313.0</v>
      </c>
      <c r="H16" s="13">
        <v>1071.26</v>
      </c>
      <c r="I16" s="13">
        <f>' car_sales_data 1'!$G16*0.2</f>
        <v>2062.6</v>
      </c>
      <c r="J16" s="13" t="str">
        <f>TEXT(' car_sales_data 1'!$A16,"mmmm")</f>
        <v>April</v>
      </c>
      <c r="K16" s="13" t="str">
        <f>IF(' car_sales_data 1'!$G16&gt;40000,"Premium",
 IF(' car_sales_data 1'!$G16&gt;=20000,"Mid Range","Budget"))</f>
        <v>Budget</v>
      </c>
      <c r="L16" s="13">
        <f>YEAR(TODAY())-' car_sales_data 1'!$F16</f>
        <v>4</v>
      </c>
    </row>
    <row r="17">
      <c r="A17" s="16">
        <v>44916.0</v>
      </c>
      <c r="B17" s="13" t="s">
        <v>83</v>
      </c>
      <c r="C17" s="13" t="s">
        <v>84</v>
      </c>
      <c r="D17" s="13" t="s">
        <v>10</v>
      </c>
      <c r="E17" s="13" t="s">
        <v>70</v>
      </c>
      <c r="F17" s="13">
        <v>2016.0</v>
      </c>
      <c r="G17" s="13">
        <v>36607.0</v>
      </c>
      <c r="H17" s="13">
        <v>2022.57</v>
      </c>
      <c r="I17" s="13">
        <f>' car_sales_data 1'!$G17*0.2</f>
        <v>7321.4</v>
      </c>
      <c r="J17" s="13" t="str">
        <f>TEXT(' car_sales_data 1'!$A17,"mmmm")</f>
        <v>December</v>
      </c>
      <c r="K17" s="13" t="str">
        <f>IF(' car_sales_data 1'!$G17&gt;40000,"Premium",
 IF(' car_sales_data 1'!$G17&gt;=20000,"Mid Range","Budget"))</f>
        <v>Mid Range</v>
      </c>
      <c r="L17" s="13">
        <f>YEAR(TODAY())-' car_sales_data 1'!$F17</f>
        <v>9</v>
      </c>
    </row>
    <row r="18">
      <c r="A18" s="16">
        <v>44785.0</v>
      </c>
      <c r="B18" s="13" t="s">
        <v>85</v>
      </c>
      <c r="C18" s="13" t="s">
        <v>86</v>
      </c>
      <c r="D18" s="13" t="s">
        <v>12</v>
      </c>
      <c r="E18" s="13" t="s">
        <v>51</v>
      </c>
      <c r="F18" s="13">
        <v>2010.0</v>
      </c>
      <c r="G18" s="13">
        <v>39916.0</v>
      </c>
      <c r="H18" s="13">
        <v>2075.94</v>
      </c>
      <c r="I18" s="13">
        <f>' car_sales_data 1'!$G18*0.2</f>
        <v>7983.2</v>
      </c>
      <c r="J18" s="13" t="str">
        <f>TEXT(' car_sales_data 1'!$A18,"mmmm")</f>
        <v>August</v>
      </c>
      <c r="K18" s="13" t="str">
        <f>IF(' car_sales_data 1'!$G18&gt;40000,"Premium",
 IF(' car_sales_data 1'!$G18&gt;=20000,"Mid Range","Budget"))</f>
        <v>Mid Range</v>
      </c>
      <c r="L18" s="13">
        <f>YEAR(TODAY())-' car_sales_data 1'!$F18</f>
        <v>15</v>
      </c>
    </row>
    <row r="19">
      <c r="A19" s="16">
        <v>44796.0</v>
      </c>
      <c r="B19" s="13" t="s">
        <v>87</v>
      </c>
      <c r="C19" s="13" t="s">
        <v>88</v>
      </c>
      <c r="D19" s="13" t="s">
        <v>12</v>
      </c>
      <c r="E19" s="13" t="s">
        <v>62</v>
      </c>
      <c r="F19" s="13">
        <v>2018.0</v>
      </c>
      <c r="G19" s="13">
        <v>18482.0</v>
      </c>
      <c r="H19" s="13">
        <v>1592.88</v>
      </c>
      <c r="I19" s="13">
        <f>' car_sales_data 1'!$G19*0.2</f>
        <v>3696.4</v>
      </c>
      <c r="J19" s="13" t="str">
        <f>TEXT(' car_sales_data 1'!$A19,"mmmm")</f>
        <v>August</v>
      </c>
      <c r="K19" s="13" t="str">
        <f>IF(' car_sales_data 1'!$G19&gt;40000,"Premium",
 IF(' car_sales_data 1'!$G19&gt;=20000,"Mid Range","Budget"))</f>
        <v>Budget</v>
      </c>
      <c r="L19" s="13">
        <f>YEAR(TODAY())-' car_sales_data 1'!$F19</f>
        <v>7</v>
      </c>
    </row>
    <row r="20">
      <c r="A20" s="16">
        <v>44852.0</v>
      </c>
      <c r="B20" s="13" t="s">
        <v>89</v>
      </c>
      <c r="C20" s="13" t="s">
        <v>90</v>
      </c>
      <c r="D20" s="13" t="s">
        <v>14</v>
      </c>
      <c r="E20" s="13" t="s">
        <v>57</v>
      </c>
      <c r="F20" s="13">
        <v>2013.0</v>
      </c>
      <c r="G20" s="13">
        <v>17158.0</v>
      </c>
      <c r="H20" s="13">
        <v>2182.97</v>
      </c>
      <c r="I20" s="13">
        <f>' car_sales_data 1'!$G20*0.2</f>
        <v>3431.6</v>
      </c>
      <c r="J20" s="13" t="str">
        <f>TEXT(' car_sales_data 1'!$A20,"mmmm")</f>
        <v>October</v>
      </c>
      <c r="K20" s="13" t="str">
        <f>IF(' car_sales_data 1'!$G20&gt;40000,"Premium",
 IF(' car_sales_data 1'!$G20&gt;=20000,"Mid Range","Budget"))</f>
        <v>Budget</v>
      </c>
      <c r="L20" s="13">
        <f>YEAR(TODAY())-' car_sales_data 1'!$F20</f>
        <v>12</v>
      </c>
    </row>
    <row r="21" ht="15.75" customHeight="1">
      <c r="A21" s="16">
        <v>44994.0</v>
      </c>
      <c r="B21" s="13" t="s">
        <v>91</v>
      </c>
      <c r="C21" s="13" t="s">
        <v>92</v>
      </c>
      <c r="D21" s="13" t="s">
        <v>8</v>
      </c>
      <c r="E21" s="13" t="s">
        <v>51</v>
      </c>
      <c r="F21" s="13">
        <v>2014.0</v>
      </c>
      <c r="G21" s="13">
        <v>28796.0</v>
      </c>
      <c r="H21" s="13">
        <v>2691.02</v>
      </c>
      <c r="I21" s="13">
        <f>' car_sales_data 1'!$G21*0.2</f>
        <v>5759.2</v>
      </c>
      <c r="J21" s="13" t="str">
        <f>TEXT(' car_sales_data 1'!$A21,"mmmm")</f>
        <v>March</v>
      </c>
      <c r="K21" s="13" t="str">
        <f>IF(' car_sales_data 1'!$G21&gt;40000,"Premium",
 IF(' car_sales_data 1'!$G21&gt;=20000,"Mid Range","Budget"))</f>
        <v>Mid Range</v>
      </c>
      <c r="L21" s="13">
        <f>YEAR(TODAY())-' car_sales_data 1'!$F21</f>
        <v>11</v>
      </c>
    </row>
    <row r="22" ht="15.75" customHeight="1">
      <c r="A22" s="16">
        <v>44832.0</v>
      </c>
      <c r="B22" s="13" t="s">
        <v>93</v>
      </c>
      <c r="C22" s="13" t="s">
        <v>94</v>
      </c>
      <c r="D22" s="13" t="s">
        <v>8</v>
      </c>
      <c r="E22" s="13" t="s">
        <v>70</v>
      </c>
      <c r="F22" s="13">
        <v>2014.0</v>
      </c>
      <c r="G22" s="13">
        <v>24128.0</v>
      </c>
      <c r="H22" s="13">
        <v>2045.59</v>
      </c>
      <c r="I22" s="13">
        <f>' car_sales_data 1'!$G22*0.2</f>
        <v>4825.6</v>
      </c>
      <c r="J22" s="13" t="str">
        <f>TEXT(' car_sales_data 1'!$A22,"mmmm")</f>
        <v>September</v>
      </c>
      <c r="K22" s="13" t="str">
        <f>IF(' car_sales_data 1'!$G22&gt;40000,"Premium",
 IF(' car_sales_data 1'!$G22&gt;=20000,"Mid Range","Budget"))</f>
        <v>Mid Range</v>
      </c>
      <c r="L22" s="13">
        <f>YEAR(TODAY())-' car_sales_data 1'!$F22</f>
        <v>11</v>
      </c>
    </row>
    <row r="23" ht="15.75" customHeight="1">
      <c r="A23" s="16">
        <v>44915.0</v>
      </c>
      <c r="B23" s="13" t="s">
        <v>95</v>
      </c>
      <c r="C23" s="13" t="s">
        <v>96</v>
      </c>
      <c r="D23" s="13" t="s">
        <v>14</v>
      </c>
      <c r="E23" s="13" t="s">
        <v>57</v>
      </c>
      <c r="F23" s="13">
        <v>2011.0</v>
      </c>
      <c r="G23" s="13">
        <v>36895.0</v>
      </c>
      <c r="H23" s="13">
        <v>4733.19</v>
      </c>
      <c r="I23" s="13">
        <f>' car_sales_data 1'!$G23*0.2</f>
        <v>7379</v>
      </c>
      <c r="J23" s="13" t="str">
        <f>TEXT(' car_sales_data 1'!$A23,"mmmm")</f>
        <v>December</v>
      </c>
      <c r="K23" s="13" t="str">
        <f>IF(' car_sales_data 1'!$G23&gt;40000,"Premium",
 IF(' car_sales_data 1'!$G23&gt;=20000,"Mid Range","Budget"))</f>
        <v>Mid Range</v>
      </c>
      <c r="L23" s="13">
        <f>YEAR(TODAY())-' car_sales_data 1'!$F23</f>
        <v>14</v>
      </c>
    </row>
    <row r="24" ht="15.75" customHeight="1">
      <c r="A24" s="16">
        <v>44768.0</v>
      </c>
      <c r="B24" s="13" t="s">
        <v>97</v>
      </c>
      <c r="C24" s="13" t="s">
        <v>98</v>
      </c>
      <c r="D24" s="13" t="s">
        <v>12</v>
      </c>
      <c r="E24" s="13" t="s">
        <v>51</v>
      </c>
      <c r="F24" s="13">
        <v>2013.0</v>
      </c>
      <c r="G24" s="13">
        <v>16797.0</v>
      </c>
      <c r="H24" s="13">
        <v>2422.75</v>
      </c>
      <c r="I24" s="13">
        <f>' car_sales_data 1'!$G24*0.2</f>
        <v>3359.4</v>
      </c>
      <c r="J24" s="13" t="str">
        <f>TEXT(' car_sales_data 1'!$A24,"mmmm")</f>
        <v>July</v>
      </c>
      <c r="K24" s="13" t="str">
        <f>IF(' car_sales_data 1'!$G24&gt;40000,"Premium",
 IF(' car_sales_data 1'!$G24&gt;=20000,"Mid Range","Budget"))</f>
        <v>Budget</v>
      </c>
      <c r="L24" s="13">
        <f>YEAR(TODAY())-' car_sales_data 1'!$F24</f>
        <v>12</v>
      </c>
    </row>
    <row r="25" ht="15.75" customHeight="1">
      <c r="A25" s="16">
        <v>44760.0</v>
      </c>
      <c r="B25" s="13" t="s">
        <v>99</v>
      </c>
      <c r="C25" s="13" t="s">
        <v>100</v>
      </c>
      <c r="D25" s="13" t="s">
        <v>6</v>
      </c>
      <c r="E25" s="13" t="s">
        <v>51</v>
      </c>
      <c r="F25" s="13">
        <v>2020.0</v>
      </c>
      <c r="G25" s="13">
        <v>30184.0</v>
      </c>
      <c r="H25" s="13">
        <v>4134.94</v>
      </c>
      <c r="I25" s="13">
        <f>' car_sales_data 1'!$G25*0.2</f>
        <v>6036.8</v>
      </c>
      <c r="J25" s="13" t="str">
        <f>TEXT(' car_sales_data 1'!$A25,"mmmm")</f>
        <v>July</v>
      </c>
      <c r="K25" s="13" t="str">
        <f>IF(' car_sales_data 1'!$G25&gt;40000,"Premium",
 IF(' car_sales_data 1'!$G25&gt;=20000,"Mid Range","Budget"))</f>
        <v>Mid Range</v>
      </c>
      <c r="L25" s="13">
        <f>YEAR(TODAY())-' car_sales_data 1'!$F25</f>
        <v>5</v>
      </c>
    </row>
    <row r="26" ht="15.75" customHeight="1">
      <c r="A26" s="16">
        <v>44914.0</v>
      </c>
      <c r="B26" s="13" t="s">
        <v>101</v>
      </c>
      <c r="C26" s="13" t="s">
        <v>102</v>
      </c>
      <c r="D26" s="13" t="s">
        <v>12</v>
      </c>
      <c r="E26" s="13" t="s">
        <v>57</v>
      </c>
      <c r="F26" s="13">
        <v>2010.0</v>
      </c>
      <c r="G26" s="13">
        <v>41587.0</v>
      </c>
      <c r="H26" s="13">
        <v>3510.13</v>
      </c>
      <c r="I26" s="13">
        <f>' car_sales_data 1'!$G26*0.2</f>
        <v>8317.4</v>
      </c>
      <c r="J26" s="13" t="str">
        <f>TEXT(' car_sales_data 1'!$A26,"mmmm")</f>
        <v>December</v>
      </c>
      <c r="K26" s="13" t="str">
        <f>IF(' car_sales_data 1'!$G26&gt;40000,"Premium",
 IF(' car_sales_data 1'!$G26&gt;=20000,"Mid Range","Budget"))</f>
        <v>Premium</v>
      </c>
      <c r="L26" s="13">
        <f>YEAR(TODAY())-' car_sales_data 1'!$F26</f>
        <v>15</v>
      </c>
    </row>
    <row r="27" ht="15.75" customHeight="1">
      <c r="A27" s="16">
        <v>44972.0</v>
      </c>
      <c r="B27" s="13" t="s">
        <v>103</v>
      </c>
      <c r="C27" s="13" t="s">
        <v>104</v>
      </c>
      <c r="D27" s="13" t="s">
        <v>10</v>
      </c>
      <c r="E27" s="13" t="s">
        <v>62</v>
      </c>
      <c r="F27" s="13">
        <v>2016.0</v>
      </c>
      <c r="G27" s="13">
        <v>35279.0</v>
      </c>
      <c r="H27" s="13">
        <v>2236.68</v>
      </c>
      <c r="I27" s="13">
        <f>' car_sales_data 1'!$G27*0.2</f>
        <v>7055.8</v>
      </c>
      <c r="J27" s="13" t="str">
        <f>TEXT(' car_sales_data 1'!$A27,"mmmm")</f>
        <v>February</v>
      </c>
      <c r="K27" s="13" t="str">
        <f>IF(' car_sales_data 1'!$G27&gt;40000,"Premium",
 IF(' car_sales_data 1'!$G27&gt;=20000,"Mid Range","Budget"))</f>
        <v>Mid Range</v>
      </c>
      <c r="L27" s="13">
        <f>YEAR(TODAY())-' car_sales_data 1'!$F27</f>
        <v>9</v>
      </c>
    </row>
    <row r="28" ht="15.75" customHeight="1">
      <c r="A28" s="16">
        <v>44735.0</v>
      </c>
      <c r="B28" s="13" t="s">
        <v>105</v>
      </c>
      <c r="C28" s="13" t="s">
        <v>106</v>
      </c>
      <c r="D28" s="13" t="s">
        <v>6</v>
      </c>
      <c r="E28" s="13" t="s">
        <v>54</v>
      </c>
      <c r="F28" s="13">
        <v>2016.0</v>
      </c>
      <c r="G28" s="13">
        <v>33502.0</v>
      </c>
      <c r="H28" s="13">
        <v>4118.18</v>
      </c>
      <c r="I28" s="13">
        <f>' car_sales_data 1'!$G28*0.2</f>
        <v>6700.4</v>
      </c>
      <c r="J28" s="13" t="str">
        <f>TEXT(' car_sales_data 1'!$A28,"mmmm")</f>
        <v>June</v>
      </c>
      <c r="K28" s="13" t="str">
        <f>IF(' car_sales_data 1'!$G28&gt;40000,"Premium",
 IF(' car_sales_data 1'!$G28&gt;=20000,"Mid Range","Budget"))</f>
        <v>Mid Range</v>
      </c>
      <c r="L28" s="13">
        <f>YEAR(TODAY())-' car_sales_data 1'!$F28</f>
        <v>9</v>
      </c>
    </row>
    <row r="29" ht="15.75" customHeight="1">
      <c r="A29" s="16">
        <v>44756.0</v>
      </c>
      <c r="B29" s="13" t="s">
        <v>107</v>
      </c>
      <c r="C29" s="13" t="s">
        <v>108</v>
      </c>
      <c r="D29" s="13" t="s">
        <v>12</v>
      </c>
      <c r="E29" s="13" t="s">
        <v>54</v>
      </c>
      <c r="F29" s="13">
        <v>2018.0</v>
      </c>
      <c r="G29" s="13">
        <v>30296.0</v>
      </c>
      <c r="H29" s="13">
        <v>3034.76</v>
      </c>
      <c r="I29" s="13">
        <f>' car_sales_data 1'!$G29*0.2</f>
        <v>6059.2</v>
      </c>
      <c r="J29" s="13" t="str">
        <f>TEXT(' car_sales_data 1'!$A29,"mmmm")</f>
        <v>July</v>
      </c>
      <c r="K29" s="13" t="str">
        <f>IF(' car_sales_data 1'!$G29&gt;40000,"Premium",
 IF(' car_sales_data 1'!$G29&gt;=20000,"Mid Range","Budget"))</f>
        <v>Mid Range</v>
      </c>
      <c r="L29" s="13">
        <f>YEAR(TODAY())-' car_sales_data 1'!$F29</f>
        <v>7</v>
      </c>
    </row>
    <row r="30" ht="15.75" customHeight="1">
      <c r="A30" s="16">
        <v>44759.0</v>
      </c>
      <c r="B30" s="13" t="s">
        <v>109</v>
      </c>
      <c r="C30" s="13" t="s">
        <v>110</v>
      </c>
      <c r="D30" s="13" t="s">
        <v>10</v>
      </c>
      <c r="E30" s="13" t="s">
        <v>70</v>
      </c>
      <c r="F30" s="13">
        <v>2018.0</v>
      </c>
      <c r="G30" s="13">
        <v>28406.0</v>
      </c>
      <c r="H30" s="13">
        <v>2421.52</v>
      </c>
      <c r="I30" s="13">
        <f>' car_sales_data 1'!$G30*0.2</f>
        <v>5681.2</v>
      </c>
      <c r="J30" s="13" t="str">
        <f>TEXT(' car_sales_data 1'!$A30,"mmmm")</f>
        <v>July</v>
      </c>
      <c r="K30" s="13" t="str">
        <f>IF(' car_sales_data 1'!$G30&gt;40000,"Premium",
 IF(' car_sales_data 1'!$G30&gt;=20000,"Mid Range","Budget"))</f>
        <v>Mid Range</v>
      </c>
      <c r="L30" s="13">
        <f>YEAR(TODAY())-' car_sales_data 1'!$F30</f>
        <v>7</v>
      </c>
    </row>
    <row r="31" ht="15.75" customHeight="1">
      <c r="A31" s="16">
        <v>44906.0</v>
      </c>
      <c r="B31" s="13" t="s">
        <v>111</v>
      </c>
      <c r="C31" s="13" t="s">
        <v>112</v>
      </c>
      <c r="D31" s="13" t="s">
        <v>6</v>
      </c>
      <c r="E31" s="13" t="s">
        <v>54</v>
      </c>
      <c r="F31" s="13">
        <v>2012.0</v>
      </c>
      <c r="G31" s="13">
        <v>20725.0</v>
      </c>
      <c r="H31" s="13">
        <v>3006.65</v>
      </c>
      <c r="I31" s="13">
        <f>' car_sales_data 1'!$G31*0.2</f>
        <v>4145</v>
      </c>
      <c r="J31" s="13" t="str">
        <f>TEXT(' car_sales_data 1'!$A31,"mmmm")</f>
        <v>December</v>
      </c>
      <c r="K31" s="13" t="str">
        <f>IF(' car_sales_data 1'!$G31&gt;40000,"Premium",
 IF(' car_sales_data 1'!$G31&gt;=20000,"Mid Range","Budget"))</f>
        <v>Mid Range</v>
      </c>
      <c r="L31" s="13">
        <f>YEAR(TODAY())-' car_sales_data 1'!$F31</f>
        <v>13</v>
      </c>
    </row>
    <row r="32" ht="15.75" customHeight="1">
      <c r="A32" s="16">
        <v>44760.0</v>
      </c>
      <c r="B32" s="13" t="s">
        <v>113</v>
      </c>
      <c r="C32" s="13" t="s">
        <v>114</v>
      </c>
      <c r="D32" s="13" t="s">
        <v>8</v>
      </c>
      <c r="E32" s="13" t="s">
        <v>51</v>
      </c>
      <c r="F32" s="13">
        <v>2011.0</v>
      </c>
      <c r="G32" s="13">
        <v>23330.0</v>
      </c>
      <c r="H32" s="13">
        <v>1609.32</v>
      </c>
      <c r="I32" s="13">
        <f>' car_sales_data 1'!$G32*0.2</f>
        <v>4666</v>
      </c>
      <c r="J32" s="13" t="str">
        <f>TEXT(' car_sales_data 1'!$A32,"mmmm")</f>
        <v>July</v>
      </c>
      <c r="K32" s="13" t="str">
        <f>IF(' car_sales_data 1'!$G32&gt;40000,"Premium",
 IF(' car_sales_data 1'!$G32&gt;=20000,"Mid Range","Budget"))</f>
        <v>Mid Range</v>
      </c>
      <c r="L32" s="13">
        <f>YEAR(TODAY())-' car_sales_data 1'!$F32</f>
        <v>14</v>
      </c>
    </row>
    <row r="33" ht="15.75" customHeight="1">
      <c r="A33" s="16">
        <v>44694.0</v>
      </c>
      <c r="B33" s="13" t="s">
        <v>115</v>
      </c>
      <c r="C33" s="13" t="s">
        <v>116</v>
      </c>
      <c r="D33" s="13" t="s">
        <v>6</v>
      </c>
      <c r="E33" s="13" t="s">
        <v>62</v>
      </c>
      <c r="F33" s="13">
        <v>2019.0</v>
      </c>
      <c r="G33" s="13">
        <v>41216.0</v>
      </c>
      <c r="H33" s="13">
        <v>5304.13</v>
      </c>
      <c r="I33" s="13">
        <f>' car_sales_data 1'!$G33*0.2</f>
        <v>8243.2</v>
      </c>
      <c r="J33" s="13" t="str">
        <f>TEXT(' car_sales_data 1'!$A33,"mmmm")</f>
        <v>May</v>
      </c>
      <c r="K33" s="13" t="str">
        <f>IF(' car_sales_data 1'!$G33&gt;40000,"Premium",
 IF(' car_sales_data 1'!$G33&gt;=20000,"Mid Range","Budget"))</f>
        <v>Premium</v>
      </c>
      <c r="L33" s="13">
        <f>YEAR(TODAY())-' car_sales_data 1'!$F33</f>
        <v>6</v>
      </c>
    </row>
    <row r="34" ht="15.75" customHeight="1">
      <c r="A34" s="16">
        <v>44809.0</v>
      </c>
      <c r="B34" s="13" t="s">
        <v>117</v>
      </c>
      <c r="C34" s="13" t="s">
        <v>118</v>
      </c>
      <c r="D34" s="13" t="s">
        <v>8</v>
      </c>
      <c r="E34" s="13" t="s">
        <v>62</v>
      </c>
      <c r="F34" s="13">
        <v>2022.0</v>
      </c>
      <c r="G34" s="13">
        <v>43188.0</v>
      </c>
      <c r="H34" s="13">
        <v>4285.12</v>
      </c>
      <c r="I34" s="13">
        <f>' car_sales_data 1'!$G34*0.2</f>
        <v>8637.6</v>
      </c>
      <c r="J34" s="13" t="str">
        <f>TEXT(' car_sales_data 1'!$A34,"mmmm")</f>
        <v>September</v>
      </c>
      <c r="K34" s="13" t="str">
        <f>IF(' car_sales_data 1'!$G34&gt;40000,"Premium",
 IF(' car_sales_data 1'!$G34&gt;=20000,"Mid Range","Budget"))</f>
        <v>Premium</v>
      </c>
      <c r="L34" s="13">
        <f>YEAR(TODAY())-' car_sales_data 1'!$F34</f>
        <v>3</v>
      </c>
    </row>
    <row r="35" ht="15.75" customHeight="1">
      <c r="A35" s="16">
        <v>44925.0</v>
      </c>
      <c r="B35" s="13" t="s">
        <v>119</v>
      </c>
      <c r="C35" s="13" t="s">
        <v>120</v>
      </c>
      <c r="D35" s="13" t="s">
        <v>6</v>
      </c>
      <c r="E35" s="13" t="s">
        <v>51</v>
      </c>
      <c r="F35" s="13">
        <v>2013.0</v>
      </c>
      <c r="G35" s="13">
        <v>15064.0</v>
      </c>
      <c r="H35" s="13">
        <v>804.14</v>
      </c>
      <c r="I35" s="13">
        <f>' car_sales_data 1'!$G35*0.2</f>
        <v>3012.8</v>
      </c>
      <c r="J35" s="13" t="str">
        <f>TEXT(' car_sales_data 1'!$A35,"mmmm")</f>
        <v>December</v>
      </c>
      <c r="K35" s="13" t="str">
        <f>IF(' car_sales_data 1'!$G35&gt;40000,"Premium",
 IF(' car_sales_data 1'!$G35&gt;=20000,"Mid Range","Budget"))</f>
        <v>Budget</v>
      </c>
      <c r="L35" s="13">
        <f>YEAR(TODAY())-' car_sales_data 1'!$F35</f>
        <v>12</v>
      </c>
    </row>
    <row r="36" ht="15.75" customHeight="1">
      <c r="A36" s="16">
        <v>44744.0</v>
      </c>
      <c r="B36" s="13" t="s">
        <v>121</v>
      </c>
      <c r="C36" s="13" t="s">
        <v>122</v>
      </c>
      <c r="D36" s="13" t="s">
        <v>14</v>
      </c>
      <c r="E36" s="13" t="s">
        <v>51</v>
      </c>
      <c r="F36" s="13">
        <v>2015.0</v>
      </c>
      <c r="G36" s="13">
        <v>36019.0</v>
      </c>
      <c r="H36" s="13">
        <v>3541.96</v>
      </c>
      <c r="I36" s="13">
        <f>' car_sales_data 1'!$G36*0.2</f>
        <v>7203.8</v>
      </c>
      <c r="J36" s="13" t="str">
        <f>TEXT(' car_sales_data 1'!$A36,"mmmm")</f>
        <v>July</v>
      </c>
      <c r="K36" s="13" t="str">
        <f>IF(' car_sales_data 1'!$G36&gt;40000,"Premium",
 IF(' car_sales_data 1'!$G36&gt;=20000,"Mid Range","Budget"))</f>
        <v>Mid Range</v>
      </c>
      <c r="L36" s="13">
        <f>YEAR(TODAY())-' car_sales_data 1'!$F36</f>
        <v>10</v>
      </c>
    </row>
    <row r="37" ht="15.75" customHeight="1">
      <c r="A37" s="16">
        <v>44961.0</v>
      </c>
      <c r="B37" s="13" t="s">
        <v>123</v>
      </c>
      <c r="C37" s="13" t="s">
        <v>124</v>
      </c>
      <c r="D37" s="13" t="s">
        <v>6</v>
      </c>
      <c r="E37" s="13" t="s">
        <v>57</v>
      </c>
      <c r="F37" s="13">
        <v>2019.0</v>
      </c>
      <c r="G37" s="13">
        <v>23249.0</v>
      </c>
      <c r="H37" s="13">
        <v>3292.57</v>
      </c>
      <c r="I37" s="13">
        <f>' car_sales_data 1'!$G37*0.2</f>
        <v>4649.8</v>
      </c>
      <c r="J37" s="13" t="str">
        <f>TEXT(' car_sales_data 1'!$A37,"mmmm")</f>
        <v>February</v>
      </c>
      <c r="K37" s="13" t="str">
        <f>IF(' car_sales_data 1'!$G37&gt;40000,"Premium",
 IF(' car_sales_data 1'!$G37&gt;=20000,"Mid Range","Budget"))</f>
        <v>Mid Range</v>
      </c>
      <c r="L37" s="13">
        <f>YEAR(TODAY())-' car_sales_data 1'!$F37</f>
        <v>6</v>
      </c>
    </row>
    <row r="38" ht="15.75" customHeight="1">
      <c r="A38" s="16">
        <v>44842.0</v>
      </c>
      <c r="B38" s="13" t="s">
        <v>125</v>
      </c>
      <c r="C38" s="13" t="s">
        <v>126</v>
      </c>
      <c r="D38" s="13" t="s">
        <v>12</v>
      </c>
      <c r="E38" s="13" t="s">
        <v>57</v>
      </c>
      <c r="F38" s="13">
        <v>2016.0</v>
      </c>
      <c r="G38" s="13">
        <v>38278.0</v>
      </c>
      <c r="H38" s="13">
        <v>2156.59</v>
      </c>
      <c r="I38" s="13">
        <f>' car_sales_data 1'!$G38*0.2</f>
        <v>7655.6</v>
      </c>
      <c r="J38" s="13" t="str">
        <f>TEXT(' car_sales_data 1'!$A38,"mmmm")</f>
        <v>October</v>
      </c>
      <c r="K38" s="13" t="str">
        <f>IF(' car_sales_data 1'!$G38&gt;40000,"Premium",
 IF(' car_sales_data 1'!$G38&gt;=20000,"Mid Range","Budget"))</f>
        <v>Mid Range</v>
      </c>
      <c r="L38" s="13">
        <f>YEAR(TODAY())-' car_sales_data 1'!$F38</f>
        <v>9</v>
      </c>
    </row>
    <row r="39" ht="15.75" customHeight="1">
      <c r="A39" s="16">
        <v>44950.0</v>
      </c>
      <c r="B39" s="13" t="s">
        <v>127</v>
      </c>
      <c r="C39" s="13" t="s">
        <v>128</v>
      </c>
      <c r="D39" s="13" t="s">
        <v>12</v>
      </c>
      <c r="E39" s="13" t="s">
        <v>62</v>
      </c>
      <c r="F39" s="13">
        <v>2018.0</v>
      </c>
      <c r="G39" s="13">
        <v>38307.0</v>
      </c>
      <c r="H39" s="13">
        <v>3046.6</v>
      </c>
      <c r="I39" s="13">
        <f>' car_sales_data 1'!$G39*0.2</f>
        <v>7661.4</v>
      </c>
      <c r="J39" s="13" t="str">
        <f>TEXT(' car_sales_data 1'!$A39,"mmmm")</f>
        <v>January</v>
      </c>
      <c r="K39" s="13" t="str">
        <f>IF(' car_sales_data 1'!$G39&gt;40000,"Premium",
 IF(' car_sales_data 1'!$G39&gt;=20000,"Mid Range","Budget"))</f>
        <v>Mid Range</v>
      </c>
      <c r="L39" s="13">
        <f>YEAR(TODAY())-' car_sales_data 1'!$F39</f>
        <v>7</v>
      </c>
    </row>
    <row r="40" ht="15.75" customHeight="1">
      <c r="A40" s="16">
        <v>45031.0</v>
      </c>
      <c r="B40" s="13" t="s">
        <v>129</v>
      </c>
      <c r="C40" s="13" t="s">
        <v>130</v>
      </c>
      <c r="D40" s="13" t="s">
        <v>6</v>
      </c>
      <c r="E40" s="13" t="s">
        <v>70</v>
      </c>
      <c r="F40" s="13">
        <v>2015.0</v>
      </c>
      <c r="G40" s="13">
        <v>36834.0</v>
      </c>
      <c r="H40" s="13">
        <v>2979.71</v>
      </c>
      <c r="I40" s="13">
        <f>' car_sales_data 1'!$G40*0.2</f>
        <v>7366.8</v>
      </c>
      <c r="J40" s="13" t="str">
        <f>TEXT(' car_sales_data 1'!$A40,"mmmm")</f>
        <v>April</v>
      </c>
      <c r="K40" s="13" t="str">
        <f>IF(' car_sales_data 1'!$G40&gt;40000,"Premium",
 IF(' car_sales_data 1'!$G40&gt;=20000,"Mid Range","Budget"))</f>
        <v>Mid Range</v>
      </c>
      <c r="L40" s="13">
        <f>YEAR(TODAY())-' car_sales_data 1'!$F40</f>
        <v>10</v>
      </c>
    </row>
    <row r="41" ht="15.75" customHeight="1">
      <c r="A41" s="16">
        <v>44783.0</v>
      </c>
      <c r="B41" s="13" t="s">
        <v>131</v>
      </c>
      <c r="C41" s="13" t="s">
        <v>132</v>
      </c>
      <c r="D41" s="13" t="s">
        <v>8</v>
      </c>
      <c r="E41" s="13" t="s">
        <v>57</v>
      </c>
      <c r="F41" s="13">
        <v>2012.0</v>
      </c>
      <c r="G41" s="13">
        <v>31941.0</v>
      </c>
      <c r="H41" s="13">
        <v>3285.29</v>
      </c>
      <c r="I41" s="13">
        <f>' car_sales_data 1'!$G41*0.2</f>
        <v>6388.2</v>
      </c>
      <c r="J41" s="13" t="str">
        <f>TEXT(' car_sales_data 1'!$A41,"mmmm")</f>
        <v>August</v>
      </c>
      <c r="K41" s="13" t="str">
        <f>IF(' car_sales_data 1'!$G41&gt;40000,"Premium",
 IF(' car_sales_data 1'!$G41&gt;=20000,"Mid Range","Budget"))</f>
        <v>Mid Range</v>
      </c>
      <c r="L41" s="13">
        <f>YEAR(TODAY())-' car_sales_data 1'!$F41</f>
        <v>13</v>
      </c>
    </row>
    <row r="42" ht="15.75" customHeight="1">
      <c r="A42" s="16">
        <v>44706.0</v>
      </c>
      <c r="B42" s="13" t="s">
        <v>133</v>
      </c>
      <c r="C42" s="13" t="s">
        <v>134</v>
      </c>
      <c r="D42" s="13" t="s">
        <v>10</v>
      </c>
      <c r="E42" s="13" t="s">
        <v>57</v>
      </c>
      <c r="F42" s="13">
        <v>2011.0</v>
      </c>
      <c r="G42" s="13">
        <v>17997.0</v>
      </c>
      <c r="H42" s="13">
        <v>1128.28</v>
      </c>
      <c r="I42" s="13">
        <f>' car_sales_data 1'!$G42*0.2</f>
        <v>3599.4</v>
      </c>
      <c r="J42" s="13" t="str">
        <f>TEXT(' car_sales_data 1'!$A42,"mmmm")</f>
        <v>May</v>
      </c>
      <c r="K42" s="13" t="str">
        <f>IF(' car_sales_data 1'!$G42&gt;40000,"Premium",
 IF(' car_sales_data 1'!$G42&gt;=20000,"Mid Range","Budget"))</f>
        <v>Budget</v>
      </c>
      <c r="L42" s="13">
        <f>YEAR(TODAY())-' car_sales_data 1'!$F42</f>
        <v>14</v>
      </c>
    </row>
    <row r="43" ht="15.75" customHeight="1">
      <c r="A43" s="16">
        <v>44972.0</v>
      </c>
      <c r="B43" s="13" t="s">
        <v>135</v>
      </c>
      <c r="C43" s="13" t="s">
        <v>136</v>
      </c>
      <c r="D43" s="13" t="s">
        <v>10</v>
      </c>
      <c r="E43" s="13" t="s">
        <v>70</v>
      </c>
      <c r="F43" s="13">
        <v>2015.0</v>
      </c>
      <c r="G43" s="13">
        <v>44250.0</v>
      </c>
      <c r="H43" s="13">
        <v>5090.71</v>
      </c>
      <c r="I43" s="13">
        <f>' car_sales_data 1'!$G43*0.2</f>
        <v>8850</v>
      </c>
      <c r="J43" s="13" t="str">
        <f>TEXT(' car_sales_data 1'!$A43,"mmmm")</f>
        <v>February</v>
      </c>
      <c r="K43" s="13" t="str">
        <f>IF(' car_sales_data 1'!$G43&gt;40000,"Premium",
 IF(' car_sales_data 1'!$G43&gt;=20000,"Mid Range","Budget"))</f>
        <v>Premium</v>
      </c>
      <c r="L43" s="13">
        <f>YEAR(TODAY())-' car_sales_data 1'!$F43</f>
        <v>10</v>
      </c>
    </row>
    <row r="44" ht="15.75" customHeight="1">
      <c r="A44" s="16">
        <v>45034.0</v>
      </c>
      <c r="B44" s="13" t="s">
        <v>137</v>
      </c>
      <c r="C44" s="13" t="s">
        <v>138</v>
      </c>
      <c r="D44" s="13" t="s">
        <v>12</v>
      </c>
      <c r="E44" s="13" t="s">
        <v>70</v>
      </c>
      <c r="F44" s="13">
        <v>2013.0</v>
      </c>
      <c r="G44" s="13">
        <v>13194.0</v>
      </c>
      <c r="H44" s="13">
        <v>1565.09</v>
      </c>
      <c r="I44" s="13">
        <f>' car_sales_data 1'!$G44*0.2</f>
        <v>2638.8</v>
      </c>
      <c r="J44" s="13" t="str">
        <f>TEXT(' car_sales_data 1'!$A44,"mmmm")</f>
        <v>April</v>
      </c>
      <c r="K44" s="13" t="str">
        <f>IF(' car_sales_data 1'!$G44&gt;40000,"Premium",
 IF(' car_sales_data 1'!$G44&gt;=20000,"Mid Range","Budget"))</f>
        <v>Budget</v>
      </c>
      <c r="L44" s="13">
        <f>YEAR(TODAY())-' car_sales_data 1'!$F44</f>
        <v>12</v>
      </c>
    </row>
    <row r="45" ht="15.75" customHeight="1">
      <c r="A45" s="16">
        <v>44879.0</v>
      </c>
      <c r="B45" s="13" t="s">
        <v>139</v>
      </c>
      <c r="C45" s="13" t="s">
        <v>140</v>
      </c>
      <c r="D45" s="13" t="s">
        <v>8</v>
      </c>
      <c r="E45" s="13" t="s">
        <v>57</v>
      </c>
      <c r="F45" s="13">
        <v>2012.0</v>
      </c>
      <c r="G45" s="13">
        <v>29108.0</v>
      </c>
      <c r="H45" s="13">
        <v>3579.6</v>
      </c>
      <c r="I45" s="13">
        <f>' car_sales_data 1'!$G45*0.2</f>
        <v>5821.6</v>
      </c>
      <c r="J45" s="13" t="str">
        <f>TEXT(' car_sales_data 1'!$A45,"mmmm")</f>
        <v>November</v>
      </c>
      <c r="K45" s="13" t="str">
        <f>IF(' car_sales_data 1'!$G45&gt;40000,"Premium",
 IF(' car_sales_data 1'!$G45&gt;=20000,"Mid Range","Budget"))</f>
        <v>Mid Range</v>
      </c>
      <c r="L45" s="13">
        <f>YEAR(TODAY())-' car_sales_data 1'!$F45</f>
        <v>13</v>
      </c>
    </row>
    <row r="46" ht="15.75" customHeight="1">
      <c r="A46" s="16">
        <v>44705.0</v>
      </c>
      <c r="B46" s="13" t="s">
        <v>141</v>
      </c>
      <c r="C46" s="13" t="s">
        <v>142</v>
      </c>
      <c r="D46" s="13" t="s">
        <v>6</v>
      </c>
      <c r="E46" s="13" t="s">
        <v>54</v>
      </c>
      <c r="F46" s="13">
        <v>2013.0</v>
      </c>
      <c r="G46" s="13">
        <v>26168.0</v>
      </c>
      <c r="H46" s="13">
        <v>3565.7</v>
      </c>
      <c r="I46" s="13">
        <f>' car_sales_data 1'!$G46*0.2</f>
        <v>5233.6</v>
      </c>
      <c r="J46" s="13" t="str">
        <f>TEXT(' car_sales_data 1'!$A46,"mmmm")</f>
        <v>May</v>
      </c>
      <c r="K46" s="13" t="str">
        <f>IF(' car_sales_data 1'!$G46&gt;40000,"Premium",
 IF(' car_sales_data 1'!$G46&gt;=20000,"Mid Range","Budget"))</f>
        <v>Mid Range</v>
      </c>
      <c r="L46" s="13">
        <f>YEAR(TODAY())-' car_sales_data 1'!$F46</f>
        <v>12</v>
      </c>
    </row>
    <row r="47" ht="15.75" customHeight="1">
      <c r="A47" s="16">
        <v>45008.0</v>
      </c>
      <c r="B47" s="13" t="s">
        <v>143</v>
      </c>
      <c r="C47" s="13" t="s">
        <v>144</v>
      </c>
      <c r="D47" s="13" t="s">
        <v>6</v>
      </c>
      <c r="E47" s="13" t="s">
        <v>57</v>
      </c>
      <c r="F47" s="13">
        <v>2013.0</v>
      </c>
      <c r="G47" s="13">
        <v>14864.0</v>
      </c>
      <c r="H47" s="13">
        <v>1155.59</v>
      </c>
      <c r="I47" s="13">
        <f>' car_sales_data 1'!$G47*0.2</f>
        <v>2972.8</v>
      </c>
      <c r="J47" s="13" t="str">
        <f>TEXT(' car_sales_data 1'!$A47,"mmmm")</f>
        <v>March</v>
      </c>
      <c r="K47" s="13" t="str">
        <f>IF(' car_sales_data 1'!$G47&gt;40000,"Premium",
 IF(' car_sales_data 1'!$G47&gt;=20000,"Mid Range","Budget"))</f>
        <v>Budget</v>
      </c>
      <c r="L47" s="13">
        <f>YEAR(TODAY())-' car_sales_data 1'!$F47</f>
        <v>12</v>
      </c>
    </row>
    <row r="48" ht="15.75" customHeight="1">
      <c r="A48" s="16">
        <v>44807.0</v>
      </c>
      <c r="B48" s="13" t="s">
        <v>145</v>
      </c>
      <c r="C48" s="13" t="s">
        <v>146</v>
      </c>
      <c r="D48" s="13" t="s">
        <v>14</v>
      </c>
      <c r="E48" s="13" t="s">
        <v>70</v>
      </c>
      <c r="F48" s="13">
        <v>2012.0</v>
      </c>
      <c r="G48" s="13">
        <v>28564.0</v>
      </c>
      <c r="H48" s="13">
        <v>1766.73</v>
      </c>
      <c r="I48" s="13">
        <f>' car_sales_data 1'!$G48*0.2</f>
        <v>5712.8</v>
      </c>
      <c r="J48" s="13" t="str">
        <f>TEXT(' car_sales_data 1'!$A48,"mmmm")</f>
        <v>September</v>
      </c>
      <c r="K48" s="13" t="str">
        <f>IF(' car_sales_data 1'!$G48&gt;40000,"Premium",
 IF(' car_sales_data 1'!$G48&gt;=20000,"Mid Range","Budget"))</f>
        <v>Mid Range</v>
      </c>
      <c r="L48" s="13">
        <f>YEAR(TODAY())-' car_sales_data 1'!$F48</f>
        <v>13</v>
      </c>
    </row>
    <row r="49" ht="15.75" customHeight="1">
      <c r="A49" s="16">
        <v>44744.0</v>
      </c>
      <c r="B49" s="13" t="s">
        <v>147</v>
      </c>
      <c r="C49" s="13" t="s">
        <v>148</v>
      </c>
      <c r="D49" s="13" t="s">
        <v>12</v>
      </c>
      <c r="E49" s="13" t="s">
        <v>70</v>
      </c>
      <c r="F49" s="13">
        <v>2021.0</v>
      </c>
      <c r="G49" s="13">
        <v>21224.0</v>
      </c>
      <c r="H49" s="13">
        <v>1974.13</v>
      </c>
      <c r="I49" s="13">
        <f>' car_sales_data 1'!$G49*0.2</f>
        <v>4244.8</v>
      </c>
      <c r="J49" s="13" t="str">
        <f>TEXT(' car_sales_data 1'!$A49,"mmmm")</f>
        <v>July</v>
      </c>
      <c r="K49" s="13" t="str">
        <f>IF(' car_sales_data 1'!$G49&gt;40000,"Premium",
 IF(' car_sales_data 1'!$G49&gt;=20000,"Mid Range","Budget"))</f>
        <v>Mid Range</v>
      </c>
      <c r="L49" s="13">
        <f>YEAR(TODAY())-' car_sales_data 1'!$F49</f>
        <v>4</v>
      </c>
    </row>
    <row r="50" ht="15.75" customHeight="1">
      <c r="A50" s="16">
        <v>44911.0</v>
      </c>
      <c r="B50" s="13" t="s">
        <v>149</v>
      </c>
      <c r="C50" s="13" t="s">
        <v>150</v>
      </c>
      <c r="D50" s="13" t="s">
        <v>12</v>
      </c>
      <c r="E50" s="13" t="s">
        <v>70</v>
      </c>
      <c r="F50" s="13">
        <v>2011.0</v>
      </c>
      <c r="G50" s="13">
        <v>29018.0</v>
      </c>
      <c r="H50" s="13">
        <v>4235.72</v>
      </c>
      <c r="I50" s="13">
        <f>' car_sales_data 1'!$G50*0.2</f>
        <v>5803.6</v>
      </c>
      <c r="J50" s="13" t="str">
        <f>TEXT(' car_sales_data 1'!$A50,"mmmm")</f>
        <v>December</v>
      </c>
      <c r="K50" s="13" t="str">
        <f>IF(' car_sales_data 1'!$G50&gt;40000,"Premium",
 IF(' car_sales_data 1'!$G50&gt;=20000,"Mid Range","Budget"))</f>
        <v>Mid Range</v>
      </c>
      <c r="L50" s="13">
        <f>YEAR(TODAY())-' car_sales_data 1'!$F50</f>
        <v>14</v>
      </c>
    </row>
    <row r="51" ht="15.75" customHeight="1">
      <c r="A51" s="16">
        <v>44998.0</v>
      </c>
      <c r="B51" s="13" t="s">
        <v>151</v>
      </c>
      <c r="C51" s="13" t="s">
        <v>152</v>
      </c>
      <c r="D51" s="13" t="s">
        <v>14</v>
      </c>
      <c r="E51" s="13" t="s">
        <v>54</v>
      </c>
      <c r="F51" s="13">
        <v>2016.0</v>
      </c>
      <c r="G51" s="13">
        <v>45367.0</v>
      </c>
      <c r="H51" s="13">
        <v>3708.03</v>
      </c>
      <c r="I51" s="13">
        <f>' car_sales_data 1'!$G51*0.2</f>
        <v>9073.4</v>
      </c>
      <c r="J51" s="13" t="str">
        <f>TEXT(' car_sales_data 1'!$A51,"mmmm")</f>
        <v>March</v>
      </c>
      <c r="K51" s="13" t="str">
        <f>IF(' car_sales_data 1'!$G51&gt;40000,"Premium",
 IF(' car_sales_data 1'!$G51&gt;=20000,"Mid Range","Budget"))</f>
        <v>Premium</v>
      </c>
      <c r="L51" s="13">
        <f>YEAR(TODAY())-' car_sales_data 1'!$F51</f>
        <v>9</v>
      </c>
    </row>
    <row r="52" ht="15.75" customHeight="1">
      <c r="A52" s="16">
        <v>44790.0</v>
      </c>
      <c r="B52" s="13" t="s">
        <v>153</v>
      </c>
      <c r="C52" s="13" t="s">
        <v>154</v>
      </c>
      <c r="D52" s="13" t="s">
        <v>6</v>
      </c>
      <c r="E52" s="13" t="s">
        <v>51</v>
      </c>
      <c r="F52" s="13">
        <v>2021.0</v>
      </c>
      <c r="G52" s="13">
        <v>17832.0</v>
      </c>
      <c r="H52" s="13">
        <v>924.64</v>
      </c>
      <c r="I52" s="13">
        <f>' car_sales_data 1'!$G52*0.2</f>
        <v>3566.4</v>
      </c>
      <c r="J52" s="13" t="str">
        <f>TEXT(' car_sales_data 1'!$A52,"mmmm")</f>
        <v>August</v>
      </c>
      <c r="K52" s="13" t="str">
        <f>IF(' car_sales_data 1'!$G52&gt;40000,"Premium",
 IF(' car_sales_data 1'!$G52&gt;=20000,"Mid Range","Budget"))</f>
        <v>Budget</v>
      </c>
      <c r="L52" s="13">
        <f>YEAR(TODAY())-' car_sales_data 1'!$F52</f>
        <v>4</v>
      </c>
    </row>
    <row r="53" ht="15.75" customHeight="1">
      <c r="A53" s="16">
        <v>44929.0</v>
      </c>
      <c r="B53" s="13" t="s">
        <v>155</v>
      </c>
      <c r="C53" s="13" t="s">
        <v>156</v>
      </c>
      <c r="D53" s="13" t="s">
        <v>8</v>
      </c>
      <c r="E53" s="13" t="s">
        <v>57</v>
      </c>
      <c r="F53" s="13">
        <v>2014.0</v>
      </c>
      <c r="G53" s="13">
        <v>39908.0</v>
      </c>
      <c r="H53" s="13">
        <v>4349.38</v>
      </c>
      <c r="I53" s="13">
        <f>' car_sales_data 1'!$G53*0.2</f>
        <v>7981.6</v>
      </c>
      <c r="J53" s="13" t="str">
        <f>TEXT(' car_sales_data 1'!$A53,"mmmm")</f>
        <v>January</v>
      </c>
      <c r="K53" s="13" t="str">
        <f>IF(' car_sales_data 1'!$G53&gt;40000,"Premium",
 IF(' car_sales_data 1'!$G53&gt;=20000,"Mid Range","Budget"))</f>
        <v>Mid Range</v>
      </c>
      <c r="L53" s="13">
        <f>YEAR(TODAY())-' car_sales_data 1'!$F53</f>
        <v>11</v>
      </c>
    </row>
    <row r="54" ht="15.75" customHeight="1">
      <c r="A54" s="16">
        <v>44895.0</v>
      </c>
      <c r="B54" s="13" t="s">
        <v>157</v>
      </c>
      <c r="C54" s="13" t="s">
        <v>158</v>
      </c>
      <c r="D54" s="13" t="s">
        <v>14</v>
      </c>
      <c r="E54" s="13" t="s">
        <v>70</v>
      </c>
      <c r="F54" s="13">
        <v>2016.0</v>
      </c>
      <c r="G54" s="13">
        <v>14609.0</v>
      </c>
      <c r="H54" s="13">
        <v>1335.4</v>
      </c>
      <c r="I54" s="13">
        <f>' car_sales_data 1'!$G54*0.2</f>
        <v>2921.8</v>
      </c>
      <c r="J54" s="13" t="str">
        <f>TEXT(' car_sales_data 1'!$A54,"mmmm")</f>
        <v>November</v>
      </c>
      <c r="K54" s="13" t="str">
        <f>IF(' car_sales_data 1'!$G54&gt;40000,"Premium",
 IF(' car_sales_data 1'!$G54&gt;=20000,"Mid Range","Budget"))</f>
        <v>Budget</v>
      </c>
      <c r="L54" s="13">
        <f>YEAR(TODAY())-' car_sales_data 1'!$F54</f>
        <v>9</v>
      </c>
    </row>
    <row r="55" ht="15.75" customHeight="1">
      <c r="A55" s="16">
        <v>45029.0</v>
      </c>
      <c r="B55" s="13" t="s">
        <v>159</v>
      </c>
      <c r="C55" s="13" t="s">
        <v>160</v>
      </c>
      <c r="D55" s="13" t="s">
        <v>12</v>
      </c>
      <c r="E55" s="13" t="s">
        <v>51</v>
      </c>
      <c r="F55" s="13">
        <v>2022.0</v>
      </c>
      <c r="G55" s="13">
        <v>13508.0</v>
      </c>
      <c r="H55" s="13">
        <v>1982.38</v>
      </c>
      <c r="I55" s="13">
        <f>' car_sales_data 1'!$G55*0.2</f>
        <v>2701.6</v>
      </c>
      <c r="J55" s="13" t="str">
        <f>TEXT(' car_sales_data 1'!$A55,"mmmm")</f>
        <v>April</v>
      </c>
      <c r="K55" s="13" t="str">
        <f>IF(' car_sales_data 1'!$G55&gt;40000,"Premium",
 IF(' car_sales_data 1'!$G55&gt;=20000,"Mid Range","Budget"))</f>
        <v>Budget</v>
      </c>
      <c r="L55" s="13">
        <f>YEAR(TODAY())-' car_sales_data 1'!$F55</f>
        <v>3</v>
      </c>
    </row>
    <row r="56" ht="15.75" customHeight="1">
      <c r="A56" s="16">
        <v>44919.0</v>
      </c>
      <c r="B56" s="13" t="s">
        <v>161</v>
      </c>
      <c r="C56" s="13" t="s">
        <v>162</v>
      </c>
      <c r="D56" s="13" t="s">
        <v>6</v>
      </c>
      <c r="E56" s="13" t="s">
        <v>54</v>
      </c>
      <c r="F56" s="13">
        <v>2022.0</v>
      </c>
      <c r="G56" s="13">
        <v>13280.0</v>
      </c>
      <c r="H56" s="13">
        <v>1631.93</v>
      </c>
      <c r="I56" s="13">
        <f>' car_sales_data 1'!$G56*0.2</f>
        <v>2656</v>
      </c>
      <c r="J56" s="13" t="str">
        <f>TEXT(' car_sales_data 1'!$A56,"mmmm")</f>
        <v>December</v>
      </c>
      <c r="K56" s="13" t="str">
        <f>IF(' car_sales_data 1'!$G56&gt;40000,"Premium",
 IF(' car_sales_data 1'!$G56&gt;=20000,"Mid Range","Budget"))</f>
        <v>Budget</v>
      </c>
      <c r="L56" s="13">
        <f>YEAR(TODAY())-' car_sales_data 1'!$F56</f>
        <v>3</v>
      </c>
    </row>
    <row r="57" ht="15.75" customHeight="1">
      <c r="A57" s="16">
        <v>44968.0</v>
      </c>
      <c r="B57" s="13" t="s">
        <v>163</v>
      </c>
      <c r="C57" s="13" t="s">
        <v>164</v>
      </c>
      <c r="D57" s="13" t="s">
        <v>12</v>
      </c>
      <c r="E57" s="13" t="s">
        <v>51</v>
      </c>
      <c r="F57" s="13">
        <v>2019.0</v>
      </c>
      <c r="G57" s="13">
        <v>46164.0</v>
      </c>
      <c r="H57" s="13">
        <v>6678.72</v>
      </c>
      <c r="I57" s="13">
        <f>' car_sales_data 1'!$G57*0.2</f>
        <v>9232.8</v>
      </c>
      <c r="J57" s="13" t="str">
        <f>TEXT(' car_sales_data 1'!$A57,"mmmm")</f>
        <v>February</v>
      </c>
      <c r="K57" s="13" t="str">
        <f>IF(' car_sales_data 1'!$G57&gt;40000,"Premium",
 IF(' car_sales_data 1'!$G57&gt;=20000,"Mid Range","Budget"))</f>
        <v>Premium</v>
      </c>
      <c r="L57" s="13">
        <f>YEAR(TODAY())-' car_sales_data 1'!$F57</f>
        <v>6</v>
      </c>
    </row>
    <row r="58" ht="15.75" customHeight="1">
      <c r="A58" s="16">
        <v>44783.0</v>
      </c>
      <c r="B58" s="13" t="s">
        <v>165</v>
      </c>
      <c r="C58" s="13" t="s">
        <v>166</v>
      </c>
      <c r="D58" s="13" t="s">
        <v>8</v>
      </c>
      <c r="E58" s="13" t="s">
        <v>54</v>
      </c>
      <c r="F58" s="13">
        <v>2013.0</v>
      </c>
      <c r="G58" s="13">
        <v>14744.0</v>
      </c>
      <c r="H58" s="13">
        <v>1254.61</v>
      </c>
      <c r="I58" s="13">
        <f>' car_sales_data 1'!$G58*0.2</f>
        <v>2948.8</v>
      </c>
      <c r="J58" s="13" t="str">
        <f>TEXT(' car_sales_data 1'!$A58,"mmmm")</f>
        <v>August</v>
      </c>
      <c r="K58" s="13" t="str">
        <f>IF(' car_sales_data 1'!$G58&gt;40000,"Premium",
 IF(' car_sales_data 1'!$G58&gt;=20000,"Mid Range","Budget"))</f>
        <v>Budget</v>
      </c>
      <c r="L58" s="13">
        <f>YEAR(TODAY())-' car_sales_data 1'!$F58</f>
        <v>12</v>
      </c>
    </row>
    <row r="59" ht="15.75" customHeight="1">
      <c r="A59" s="16">
        <v>44701.0</v>
      </c>
      <c r="B59" s="13" t="s">
        <v>167</v>
      </c>
      <c r="C59" s="13" t="s">
        <v>168</v>
      </c>
      <c r="D59" s="13" t="s">
        <v>8</v>
      </c>
      <c r="E59" s="13" t="s">
        <v>57</v>
      </c>
      <c r="F59" s="13">
        <v>2014.0</v>
      </c>
      <c r="G59" s="13">
        <v>27999.0</v>
      </c>
      <c r="H59" s="13">
        <v>2528.26</v>
      </c>
      <c r="I59" s="13">
        <f>' car_sales_data 1'!$G59*0.2</f>
        <v>5599.8</v>
      </c>
      <c r="J59" s="13" t="str">
        <f>TEXT(' car_sales_data 1'!$A59,"mmmm")</f>
        <v>May</v>
      </c>
      <c r="K59" s="13" t="str">
        <f>IF(' car_sales_data 1'!$G59&gt;40000,"Premium",
 IF(' car_sales_data 1'!$G59&gt;=20000,"Mid Range","Budget"))</f>
        <v>Mid Range</v>
      </c>
      <c r="L59" s="13">
        <f>YEAR(TODAY())-' car_sales_data 1'!$F59</f>
        <v>11</v>
      </c>
    </row>
    <row r="60" ht="15.75" customHeight="1">
      <c r="A60" s="16">
        <v>44761.0</v>
      </c>
      <c r="B60" s="13" t="s">
        <v>169</v>
      </c>
      <c r="C60" s="13" t="s">
        <v>170</v>
      </c>
      <c r="D60" s="13" t="s">
        <v>10</v>
      </c>
      <c r="E60" s="13" t="s">
        <v>70</v>
      </c>
      <c r="F60" s="13">
        <v>2010.0</v>
      </c>
      <c r="G60" s="13">
        <v>24327.0</v>
      </c>
      <c r="H60" s="13">
        <v>2322.19</v>
      </c>
      <c r="I60" s="13">
        <f>' car_sales_data 1'!$G60*0.2</f>
        <v>4865.4</v>
      </c>
      <c r="J60" s="13" t="str">
        <f>TEXT(' car_sales_data 1'!$A60,"mmmm")</f>
        <v>July</v>
      </c>
      <c r="K60" s="13" t="str">
        <f>IF(' car_sales_data 1'!$G60&gt;40000,"Premium",
 IF(' car_sales_data 1'!$G60&gt;=20000,"Mid Range","Budget"))</f>
        <v>Mid Range</v>
      </c>
      <c r="L60" s="13">
        <f>YEAR(TODAY())-' car_sales_data 1'!$F60</f>
        <v>15</v>
      </c>
    </row>
    <row r="61" ht="15.75" customHeight="1">
      <c r="A61" s="16">
        <v>44946.0</v>
      </c>
      <c r="B61" s="13" t="s">
        <v>171</v>
      </c>
      <c r="C61" s="13" t="s">
        <v>172</v>
      </c>
      <c r="D61" s="13" t="s">
        <v>10</v>
      </c>
      <c r="E61" s="13" t="s">
        <v>62</v>
      </c>
      <c r="F61" s="13">
        <v>2015.0</v>
      </c>
      <c r="G61" s="13">
        <v>35989.0</v>
      </c>
      <c r="H61" s="13">
        <v>3797.56</v>
      </c>
      <c r="I61" s="13">
        <f>' car_sales_data 1'!$G61*0.2</f>
        <v>7197.8</v>
      </c>
      <c r="J61" s="13" t="str">
        <f>TEXT(' car_sales_data 1'!$A61,"mmmm")</f>
        <v>January</v>
      </c>
      <c r="K61" s="13" t="str">
        <f>IF(' car_sales_data 1'!$G61&gt;40000,"Premium",
 IF(' car_sales_data 1'!$G61&gt;=20000,"Mid Range","Budget"))</f>
        <v>Mid Range</v>
      </c>
      <c r="L61" s="13">
        <f>YEAR(TODAY())-' car_sales_data 1'!$F61</f>
        <v>10</v>
      </c>
    </row>
    <row r="62" ht="15.75" customHeight="1">
      <c r="A62" s="16">
        <v>45035.0</v>
      </c>
      <c r="B62" s="13" t="s">
        <v>173</v>
      </c>
      <c r="C62" s="13" t="s">
        <v>174</v>
      </c>
      <c r="D62" s="13" t="s">
        <v>12</v>
      </c>
      <c r="E62" s="13" t="s">
        <v>62</v>
      </c>
      <c r="F62" s="13">
        <v>2017.0</v>
      </c>
      <c r="G62" s="13">
        <v>21618.0</v>
      </c>
      <c r="H62" s="13">
        <v>3141.92</v>
      </c>
      <c r="I62" s="13">
        <f>' car_sales_data 1'!$G62*0.2</f>
        <v>4323.6</v>
      </c>
      <c r="J62" s="13" t="str">
        <f>TEXT(' car_sales_data 1'!$A62,"mmmm")</f>
        <v>April</v>
      </c>
      <c r="K62" s="13" t="str">
        <f>IF(' car_sales_data 1'!$G62&gt;40000,"Premium",
 IF(' car_sales_data 1'!$G62&gt;=20000,"Mid Range","Budget"))</f>
        <v>Mid Range</v>
      </c>
      <c r="L62" s="13">
        <f>YEAR(TODAY())-' car_sales_data 1'!$F62</f>
        <v>8</v>
      </c>
    </row>
    <row r="63" ht="15.75" customHeight="1">
      <c r="A63" s="16">
        <v>44841.0</v>
      </c>
      <c r="B63" s="13" t="s">
        <v>175</v>
      </c>
      <c r="C63" s="13" t="s">
        <v>176</v>
      </c>
      <c r="D63" s="13" t="s">
        <v>14</v>
      </c>
      <c r="E63" s="13" t="s">
        <v>70</v>
      </c>
      <c r="F63" s="13">
        <v>2022.0</v>
      </c>
      <c r="G63" s="13">
        <v>26862.0</v>
      </c>
      <c r="H63" s="13">
        <v>2555.52</v>
      </c>
      <c r="I63" s="13">
        <f>' car_sales_data 1'!$G63*0.2</f>
        <v>5372.4</v>
      </c>
      <c r="J63" s="13" t="str">
        <f>TEXT(' car_sales_data 1'!$A63,"mmmm")</f>
        <v>October</v>
      </c>
      <c r="K63" s="13" t="str">
        <f>IF(' car_sales_data 1'!$G63&gt;40000,"Premium",
 IF(' car_sales_data 1'!$G63&gt;=20000,"Mid Range","Budget"))</f>
        <v>Mid Range</v>
      </c>
      <c r="L63" s="13">
        <f>YEAR(TODAY())-' car_sales_data 1'!$F63</f>
        <v>3</v>
      </c>
    </row>
    <row r="64" ht="15.75" customHeight="1">
      <c r="A64" s="16">
        <v>44883.0</v>
      </c>
      <c r="B64" s="13" t="s">
        <v>177</v>
      </c>
      <c r="C64" s="13" t="s">
        <v>178</v>
      </c>
      <c r="D64" s="13" t="s">
        <v>6</v>
      </c>
      <c r="E64" s="13" t="s">
        <v>54</v>
      </c>
      <c r="F64" s="13">
        <v>2010.0</v>
      </c>
      <c r="G64" s="13">
        <v>36750.0</v>
      </c>
      <c r="H64" s="13">
        <v>3764.87</v>
      </c>
      <c r="I64" s="13">
        <f>' car_sales_data 1'!$G64*0.2</f>
        <v>7350</v>
      </c>
      <c r="J64" s="13" t="str">
        <f>TEXT(' car_sales_data 1'!$A64,"mmmm")</f>
        <v>November</v>
      </c>
      <c r="K64" s="13" t="str">
        <f>IF(' car_sales_data 1'!$G64&gt;40000,"Premium",
 IF(' car_sales_data 1'!$G64&gt;=20000,"Mid Range","Budget"))</f>
        <v>Mid Range</v>
      </c>
      <c r="L64" s="13">
        <f>YEAR(TODAY())-' car_sales_data 1'!$F64</f>
        <v>15</v>
      </c>
    </row>
    <row r="65" ht="15.75" customHeight="1">
      <c r="A65" s="16">
        <v>44958.0</v>
      </c>
      <c r="B65" s="13" t="s">
        <v>179</v>
      </c>
      <c r="C65" s="13" t="s">
        <v>180</v>
      </c>
      <c r="D65" s="13" t="s">
        <v>10</v>
      </c>
      <c r="E65" s="13" t="s">
        <v>57</v>
      </c>
      <c r="F65" s="13">
        <v>2020.0</v>
      </c>
      <c r="G65" s="13">
        <v>19526.0</v>
      </c>
      <c r="H65" s="13">
        <v>2505.47</v>
      </c>
      <c r="I65" s="13">
        <f>' car_sales_data 1'!$G65*0.2</f>
        <v>3905.2</v>
      </c>
      <c r="J65" s="13" t="str">
        <f>TEXT(' car_sales_data 1'!$A65,"mmmm")</f>
        <v>February</v>
      </c>
      <c r="K65" s="13" t="str">
        <f>IF(' car_sales_data 1'!$G65&gt;40000,"Premium",
 IF(' car_sales_data 1'!$G65&gt;=20000,"Mid Range","Budget"))</f>
        <v>Budget</v>
      </c>
      <c r="L65" s="13">
        <f>YEAR(TODAY())-' car_sales_data 1'!$F65</f>
        <v>5</v>
      </c>
    </row>
    <row r="66" ht="15.75" customHeight="1">
      <c r="A66" s="16">
        <v>44950.0</v>
      </c>
      <c r="B66" s="13" t="s">
        <v>181</v>
      </c>
      <c r="C66" s="13" t="s">
        <v>182</v>
      </c>
      <c r="D66" s="13" t="s">
        <v>6</v>
      </c>
      <c r="E66" s="13" t="s">
        <v>54</v>
      </c>
      <c r="F66" s="13">
        <v>2019.0</v>
      </c>
      <c r="G66" s="13">
        <v>26875.0</v>
      </c>
      <c r="H66" s="13">
        <v>3108.22</v>
      </c>
      <c r="I66" s="13">
        <f>' car_sales_data 1'!$G66*0.2</f>
        <v>5375</v>
      </c>
      <c r="J66" s="13" t="str">
        <f>TEXT(' car_sales_data 1'!$A66,"mmmm")</f>
        <v>January</v>
      </c>
      <c r="K66" s="13" t="str">
        <f>IF(' car_sales_data 1'!$G66&gt;40000,"Premium",
 IF(' car_sales_data 1'!$G66&gt;=20000,"Mid Range","Budget"))</f>
        <v>Mid Range</v>
      </c>
      <c r="L66" s="13">
        <f>YEAR(TODAY())-' car_sales_data 1'!$F66</f>
        <v>6</v>
      </c>
    </row>
    <row r="67" ht="15.75" customHeight="1">
      <c r="A67" s="16">
        <v>44716.0</v>
      </c>
      <c r="B67" s="13" t="s">
        <v>183</v>
      </c>
      <c r="C67" s="13" t="s">
        <v>184</v>
      </c>
      <c r="D67" s="13" t="s">
        <v>8</v>
      </c>
      <c r="E67" s="13" t="s">
        <v>57</v>
      </c>
      <c r="F67" s="13">
        <v>2019.0</v>
      </c>
      <c r="G67" s="13">
        <v>10371.0</v>
      </c>
      <c r="H67" s="13">
        <v>1088.86</v>
      </c>
      <c r="I67" s="13">
        <f>' car_sales_data 1'!$G67*0.2</f>
        <v>2074.2</v>
      </c>
      <c r="J67" s="13" t="str">
        <f>TEXT(' car_sales_data 1'!$A67,"mmmm")</f>
        <v>June</v>
      </c>
      <c r="K67" s="13" t="str">
        <f>IF(' car_sales_data 1'!$G67&gt;40000,"Premium",
 IF(' car_sales_data 1'!$G67&gt;=20000,"Mid Range","Budget"))</f>
        <v>Budget</v>
      </c>
      <c r="L67" s="13">
        <f>YEAR(TODAY())-' car_sales_data 1'!$F67</f>
        <v>6</v>
      </c>
    </row>
    <row r="68" ht="15.75" customHeight="1">
      <c r="A68" s="16">
        <v>44932.0</v>
      </c>
      <c r="B68" s="13" t="s">
        <v>185</v>
      </c>
      <c r="C68" s="13" t="s">
        <v>186</v>
      </c>
      <c r="D68" s="13" t="s">
        <v>12</v>
      </c>
      <c r="E68" s="13" t="s">
        <v>51</v>
      </c>
      <c r="F68" s="13">
        <v>2019.0</v>
      </c>
      <c r="G68" s="13">
        <v>13649.0</v>
      </c>
      <c r="H68" s="13">
        <v>1683.35</v>
      </c>
      <c r="I68" s="13">
        <f>' car_sales_data 1'!$G68*0.2</f>
        <v>2729.8</v>
      </c>
      <c r="J68" s="13" t="str">
        <f>TEXT(' car_sales_data 1'!$A68,"mmmm")</f>
        <v>January</v>
      </c>
      <c r="K68" s="13" t="str">
        <f>IF(' car_sales_data 1'!$G68&gt;40000,"Premium",
 IF(' car_sales_data 1'!$G68&gt;=20000,"Mid Range","Budget"))</f>
        <v>Budget</v>
      </c>
      <c r="L68" s="13">
        <f>YEAR(TODAY())-' car_sales_data 1'!$F68</f>
        <v>6</v>
      </c>
    </row>
    <row r="69" ht="15.75" customHeight="1">
      <c r="A69" s="16">
        <v>44838.0</v>
      </c>
      <c r="B69" s="13" t="s">
        <v>187</v>
      </c>
      <c r="C69" s="13" t="s">
        <v>188</v>
      </c>
      <c r="D69" s="13" t="s">
        <v>6</v>
      </c>
      <c r="E69" s="13" t="s">
        <v>54</v>
      </c>
      <c r="F69" s="13">
        <v>2017.0</v>
      </c>
      <c r="G69" s="13">
        <v>29518.0</v>
      </c>
      <c r="H69" s="13">
        <v>2143.72</v>
      </c>
      <c r="I69" s="13">
        <f>' car_sales_data 1'!$G69*0.2</f>
        <v>5903.6</v>
      </c>
      <c r="J69" s="13" t="str">
        <f>TEXT(' car_sales_data 1'!$A69,"mmmm")</f>
        <v>October</v>
      </c>
      <c r="K69" s="13" t="str">
        <f>IF(' car_sales_data 1'!$G69&gt;40000,"Premium",
 IF(' car_sales_data 1'!$G69&gt;=20000,"Mid Range","Budget"))</f>
        <v>Mid Range</v>
      </c>
      <c r="L69" s="13">
        <f>YEAR(TODAY())-' car_sales_data 1'!$F69</f>
        <v>8</v>
      </c>
    </row>
    <row r="70" ht="15.75" customHeight="1">
      <c r="A70" s="16">
        <v>44929.0</v>
      </c>
      <c r="B70" s="13" t="s">
        <v>189</v>
      </c>
      <c r="C70" s="13" t="s">
        <v>190</v>
      </c>
      <c r="D70" s="13" t="s">
        <v>14</v>
      </c>
      <c r="E70" s="13" t="s">
        <v>51</v>
      </c>
      <c r="F70" s="13">
        <v>2022.0</v>
      </c>
      <c r="G70" s="13">
        <v>43019.0</v>
      </c>
      <c r="H70" s="13">
        <v>6304.04</v>
      </c>
      <c r="I70" s="13">
        <f>' car_sales_data 1'!$G70*0.2</f>
        <v>8603.8</v>
      </c>
      <c r="J70" s="13" t="str">
        <f>TEXT(' car_sales_data 1'!$A70,"mmmm")</f>
        <v>January</v>
      </c>
      <c r="K70" s="13" t="str">
        <f>IF(' car_sales_data 1'!$G70&gt;40000,"Premium",
 IF(' car_sales_data 1'!$G70&gt;=20000,"Mid Range","Budget"))</f>
        <v>Premium</v>
      </c>
      <c r="L70" s="13">
        <f>YEAR(TODAY())-' car_sales_data 1'!$F70</f>
        <v>3</v>
      </c>
    </row>
    <row r="71" ht="15.75" customHeight="1">
      <c r="A71" s="16">
        <v>44881.0</v>
      </c>
      <c r="B71" s="13" t="s">
        <v>191</v>
      </c>
      <c r="C71" s="13" t="s">
        <v>192</v>
      </c>
      <c r="D71" s="13" t="s">
        <v>8</v>
      </c>
      <c r="E71" s="13" t="s">
        <v>51</v>
      </c>
      <c r="F71" s="13">
        <v>2022.0</v>
      </c>
      <c r="G71" s="13">
        <v>33493.0</v>
      </c>
      <c r="H71" s="13">
        <v>4920.06</v>
      </c>
      <c r="I71" s="13">
        <f>' car_sales_data 1'!$G71*0.2</f>
        <v>6698.6</v>
      </c>
      <c r="J71" s="13" t="str">
        <f>TEXT(' car_sales_data 1'!$A71,"mmmm")</f>
        <v>November</v>
      </c>
      <c r="K71" s="13" t="str">
        <f>IF(' car_sales_data 1'!$G71&gt;40000,"Premium",
 IF(' car_sales_data 1'!$G71&gt;=20000,"Mid Range","Budget"))</f>
        <v>Mid Range</v>
      </c>
      <c r="L71" s="13">
        <f>YEAR(TODAY())-' car_sales_data 1'!$F71</f>
        <v>3</v>
      </c>
    </row>
    <row r="72" ht="15.75" customHeight="1">
      <c r="A72" s="16">
        <v>45019.0</v>
      </c>
      <c r="B72" s="13" t="s">
        <v>193</v>
      </c>
      <c r="C72" s="13" t="s">
        <v>194</v>
      </c>
      <c r="D72" s="13" t="s">
        <v>6</v>
      </c>
      <c r="E72" s="13" t="s">
        <v>51</v>
      </c>
      <c r="F72" s="13">
        <v>2017.0</v>
      </c>
      <c r="G72" s="13">
        <v>26262.0</v>
      </c>
      <c r="H72" s="13">
        <v>3236.32</v>
      </c>
      <c r="I72" s="13">
        <f>' car_sales_data 1'!$G72*0.2</f>
        <v>5252.4</v>
      </c>
      <c r="J72" s="13" t="str">
        <f>TEXT(' car_sales_data 1'!$A72,"mmmm")</f>
        <v>April</v>
      </c>
      <c r="K72" s="13" t="str">
        <f>IF(' car_sales_data 1'!$G72&gt;40000,"Premium",
 IF(' car_sales_data 1'!$G72&gt;=20000,"Mid Range","Budget"))</f>
        <v>Mid Range</v>
      </c>
      <c r="L72" s="13">
        <f>YEAR(TODAY())-' car_sales_data 1'!$F72</f>
        <v>8</v>
      </c>
    </row>
    <row r="73" ht="15.75" customHeight="1">
      <c r="A73" s="16">
        <v>44798.0</v>
      </c>
      <c r="B73" s="13" t="s">
        <v>195</v>
      </c>
      <c r="C73" s="13" t="s">
        <v>196</v>
      </c>
      <c r="D73" s="13" t="s">
        <v>14</v>
      </c>
      <c r="E73" s="13" t="s">
        <v>51</v>
      </c>
      <c r="F73" s="13">
        <v>2015.0</v>
      </c>
      <c r="G73" s="13">
        <v>18282.0</v>
      </c>
      <c r="H73" s="13">
        <v>2709.04</v>
      </c>
      <c r="I73" s="13">
        <f>' car_sales_data 1'!$G73*0.2</f>
        <v>3656.4</v>
      </c>
      <c r="J73" s="13" t="str">
        <f>TEXT(' car_sales_data 1'!$A73,"mmmm")</f>
        <v>August</v>
      </c>
      <c r="K73" s="13" t="str">
        <f>IF(' car_sales_data 1'!$G73&gt;40000,"Premium",
 IF(' car_sales_data 1'!$G73&gt;=20000,"Mid Range","Budget"))</f>
        <v>Budget</v>
      </c>
      <c r="L73" s="13">
        <f>YEAR(TODAY())-' car_sales_data 1'!$F73</f>
        <v>10</v>
      </c>
    </row>
    <row r="74" ht="15.75" customHeight="1">
      <c r="A74" s="16">
        <v>45028.0</v>
      </c>
      <c r="B74" s="13" t="s">
        <v>197</v>
      </c>
      <c r="C74" s="13" t="s">
        <v>198</v>
      </c>
      <c r="D74" s="13" t="s">
        <v>10</v>
      </c>
      <c r="E74" s="13" t="s">
        <v>54</v>
      </c>
      <c r="F74" s="13">
        <v>2015.0</v>
      </c>
      <c r="G74" s="13">
        <v>48916.0</v>
      </c>
      <c r="H74" s="13">
        <v>4883.46</v>
      </c>
      <c r="I74" s="13">
        <f>' car_sales_data 1'!$G74*0.2</f>
        <v>9783.2</v>
      </c>
      <c r="J74" s="13" t="str">
        <f>TEXT(' car_sales_data 1'!$A74,"mmmm")</f>
        <v>April</v>
      </c>
      <c r="K74" s="13" t="str">
        <f>IF(' car_sales_data 1'!$G74&gt;40000,"Premium",
 IF(' car_sales_data 1'!$G74&gt;=20000,"Mid Range","Budget"))</f>
        <v>Premium</v>
      </c>
      <c r="L74" s="13">
        <f>YEAR(TODAY())-' car_sales_data 1'!$F74</f>
        <v>10</v>
      </c>
    </row>
    <row r="75" ht="15.75" customHeight="1">
      <c r="A75" s="16">
        <v>45017.0</v>
      </c>
      <c r="B75" s="13" t="s">
        <v>199</v>
      </c>
      <c r="C75" s="13" t="s">
        <v>200</v>
      </c>
      <c r="D75" s="13" t="s">
        <v>14</v>
      </c>
      <c r="E75" s="13" t="s">
        <v>57</v>
      </c>
      <c r="F75" s="13">
        <v>2016.0</v>
      </c>
      <c r="G75" s="13">
        <v>48163.0</v>
      </c>
      <c r="H75" s="13">
        <v>6348.24</v>
      </c>
      <c r="I75" s="13">
        <f>' car_sales_data 1'!$G75*0.2</f>
        <v>9632.6</v>
      </c>
      <c r="J75" s="13" t="str">
        <f>TEXT(' car_sales_data 1'!$A75,"mmmm")</f>
        <v>April</v>
      </c>
      <c r="K75" s="13" t="str">
        <f>IF(' car_sales_data 1'!$G75&gt;40000,"Premium",
 IF(' car_sales_data 1'!$G75&gt;=20000,"Mid Range","Budget"))</f>
        <v>Premium</v>
      </c>
      <c r="L75" s="13">
        <f>YEAR(TODAY())-' car_sales_data 1'!$F75</f>
        <v>9</v>
      </c>
    </row>
    <row r="76" ht="15.75" customHeight="1">
      <c r="A76" s="16">
        <v>44781.0</v>
      </c>
      <c r="B76" s="13" t="s">
        <v>201</v>
      </c>
      <c r="C76" s="13" t="s">
        <v>202</v>
      </c>
      <c r="D76" s="13" t="s">
        <v>12</v>
      </c>
      <c r="E76" s="13" t="s">
        <v>57</v>
      </c>
      <c r="F76" s="13">
        <v>2016.0</v>
      </c>
      <c r="G76" s="13">
        <v>45824.0</v>
      </c>
      <c r="H76" s="13">
        <v>4849.24</v>
      </c>
      <c r="I76" s="13">
        <f>' car_sales_data 1'!$G76*0.2</f>
        <v>9164.8</v>
      </c>
      <c r="J76" s="13" t="str">
        <f>TEXT(' car_sales_data 1'!$A76,"mmmm")</f>
        <v>August</v>
      </c>
      <c r="K76" s="13" t="str">
        <f>IF(' car_sales_data 1'!$G76&gt;40000,"Premium",
 IF(' car_sales_data 1'!$G76&gt;=20000,"Mid Range","Budget"))</f>
        <v>Premium</v>
      </c>
      <c r="L76" s="13">
        <f>YEAR(TODAY())-' car_sales_data 1'!$F76</f>
        <v>9</v>
      </c>
    </row>
    <row r="77" ht="15.75" customHeight="1">
      <c r="A77" s="16">
        <v>44976.0</v>
      </c>
      <c r="B77" s="13" t="s">
        <v>203</v>
      </c>
      <c r="C77" s="13" t="s">
        <v>204</v>
      </c>
      <c r="D77" s="13" t="s">
        <v>12</v>
      </c>
      <c r="E77" s="13" t="s">
        <v>57</v>
      </c>
      <c r="F77" s="13">
        <v>2018.0</v>
      </c>
      <c r="G77" s="13">
        <v>16314.0</v>
      </c>
      <c r="H77" s="13">
        <v>2436.39</v>
      </c>
      <c r="I77" s="13">
        <f>' car_sales_data 1'!$G77*0.2</f>
        <v>3262.8</v>
      </c>
      <c r="J77" s="13" t="str">
        <f>TEXT(' car_sales_data 1'!$A77,"mmmm")</f>
        <v>February</v>
      </c>
      <c r="K77" s="13" t="str">
        <f>IF(' car_sales_data 1'!$G77&gt;40000,"Premium",
 IF(' car_sales_data 1'!$G77&gt;=20000,"Mid Range","Budget"))</f>
        <v>Budget</v>
      </c>
      <c r="L77" s="13">
        <f>YEAR(TODAY())-' car_sales_data 1'!$F77</f>
        <v>7</v>
      </c>
    </row>
    <row r="78" ht="15.75" customHeight="1">
      <c r="A78" s="16">
        <v>44691.0</v>
      </c>
      <c r="B78" s="13" t="s">
        <v>205</v>
      </c>
      <c r="C78" s="13" t="s">
        <v>206</v>
      </c>
      <c r="D78" s="13" t="s">
        <v>6</v>
      </c>
      <c r="E78" s="13" t="s">
        <v>62</v>
      </c>
      <c r="F78" s="13">
        <v>2016.0</v>
      </c>
      <c r="G78" s="13">
        <v>19018.0</v>
      </c>
      <c r="H78" s="13">
        <v>1290.93</v>
      </c>
      <c r="I78" s="13">
        <f>' car_sales_data 1'!$G78*0.2</f>
        <v>3803.6</v>
      </c>
      <c r="J78" s="13" t="str">
        <f>TEXT(' car_sales_data 1'!$A78,"mmmm")</f>
        <v>May</v>
      </c>
      <c r="K78" s="13" t="str">
        <f>IF(' car_sales_data 1'!$G78&gt;40000,"Premium",
 IF(' car_sales_data 1'!$G78&gt;=20000,"Mid Range","Budget"))</f>
        <v>Budget</v>
      </c>
      <c r="L78" s="13">
        <f>YEAR(TODAY())-' car_sales_data 1'!$F78</f>
        <v>9</v>
      </c>
    </row>
    <row r="79" ht="15.75" customHeight="1">
      <c r="A79" s="16">
        <v>44695.0</v>
      </c>
      <c r="B79" s="13" t="s">
        <v>207</v>
      </c>
      <c r="C79" s="13" t="s">
        <v>208</v>
      </c>
      <c r="D79" s="13" t="s">
        <v>10</v>
      </c>
      <c r="E79" s="13" t="s">
        <v>51</v>
      </c>
      <c r="F79" s="13">
        <v>2021.0</v>
      </c>
      <c r="G79" s="13">
        <v>27067.0</v>
      </c>
      <c r="H79" s="13">
        <v>2833.19</v>
      </c>
      <c r="I79" s="13">
        <f>' car_sales_data 1'!$G79*0.2</f>
        <v>5413.4</v>
      </c>
      <c r="J79" s="13" t="str">
        <f>TEXT(' car_sales_data 1'!$A79,"mmmm")</f>
        <v>May</v>
      </c>
      <c r="K79" s="13" t="str">
        <f>IF(' car_sales_data 1'!$G79&gt;40000,"Premium",
 IF(' car_sales_data 1'!$G79&gt;=20000,"Mid Range","Budget"))</f>
        <v>Mid Range</v>
      </c>
      <c r="L79" s="13">
        <f>YEAR(TODAY())-' car_sales_data 1'!$F79</f>
        <v>4</v>
      </c>
    </row>
    <row r="80" ht="15.75" customHeight="1">
      <c r="A80" s="16">
        <v>44850.0</v>
      </c>
      <c r="B80" s="13" t="s">
        <v>209</v>
      </c>
      <c r="C80" s="13" t="s">
        <v>210</v>
      </c>
      <c r="D80" s="13" t="s">
        <v>10</v>
      </c>
      <c r="E80" s="13" t="s">
        <v>57</v>
      </c>
      <c r="F80" s="13">
        <v>2022.0</v>
      </c>
      <c r="G80" s="13">
        <v>31238.0</v>
      </c>
      <c r="H80" s="13">
        <v>3078.67</v>
      </c>
      <c r="I80" s="13">
        <f>' car_sales_data 1'!$G80*0.2</f>
        <v>6247.6</v>
      </c>
      <c r="J80" s="13" t="str">
        <f>TEXT(' car_sales_data 1'!$A80,"mmmm")</f>
        <v>October</v>
      </c>
      <c r="K80" s="13" t="str">
        <f>IF(' car_sales_data 1'!$G80&gt;40000,"Premium",
 IF(' car_sales_data 1'!$G80&gt;=20000,"Mid Range","Budget"))</f>
        <v>Mid Range</v>
      </c>
      <c r="L80" s="13">
        <f>YEAR(TODAY())-' car_sales_data 1'!$F80</f>
        <v>3</v>
      </c>
    </row>
    <row r="81" ht="15.75" customHeight="1">
      <c r="A81" s="16">
        <v>44958.0</v>
      </c>
      <c r="B81" s="13" t="s">
        <v>211</v>
      </c>
      <c r="C81" s="13" t="s">
        <v>212</v>
      </c>
      <c r="D81" s="13" t="s">
        <v>6</v>
      </c>
      <c r="E81" s="13" t="s">
        <v>57</v>
      </c>
      <c r="F81" s="13">
        <v>2012.0</v>
      </c>
      <c r="G81" s="13">
        <v>28865.0</v>
      </c>
      <c r="H81" s="13">
        <v>3588.31</v>
      </c>
      <c r="I81" s="13">
        <f>' car_sales_data 1'!$G81*0.2</f>
        <v>5773</v>
      </c>
      <c r="J81" s="13" t="str">
        <f>TEXT(' car_sales_data 1'!$A81,"mmmm")</f>
        <v>February</v>
      </c>
      <c r="K81" s="13" t="str">
        <f>IF(' car_sales_data 1'!$G81&gt;40000,"Premium",
 IF(' car_sales_data 1'!$G81&gt;=20000,"Mid Range","Budget"))</f>
        <v>Mid Range</v>
      </c>
      <c r="L81" s="13">
        <f>YEAR(TODAY())-' car_sales_data 1'!$F81</f>
        <v>13</v>
      </c>
    </row>
    <row r="82" ht="15.75" customHeight="1">
      <c r="A82" s="16">
        <v>44980.0</v>
      </c>
      <c r="B82" s="13" t="s">
        <v>213</v>
      </c>
      <c r="C82" s="13" t="s">
        <v>214</v>
      </c>
      <c r="D82" s="13" t="s">
        <v>10</v>
      </c>
      <c r="E82" s="13" t="s">
        <v>70</v>
      </c>
      <c r="F82" s="13">
        <v>2012.0</v>
      </c>
      <c r="G82" s="13">
        <v>25187.0</v>
      </c>
      <c r="H82" s="13">
        <v>2097.58</v>
      </c>
      <c r="I82" s="13">
        <f>' car_sales_data 1'!$G82*0.2</f>
        <v>5037.4</v>
      </c>
      <c r="J82" s="13" t="str">
        <f>TEXT(' car_sales_data 1'!$A82,"mmmm")</f>
        <v>February</v>
      </c>
      <c r="K82" s="13" t="str">
        <f>IF(' car_sales_data 1'!$G82&gt;40000,"Premium",
 IF(' car_sales_data 1'!$G82&gt;=20000,"Mid Range","Budget"))</f>
        <v>Mid Range</v>
      </c>
      <c r="L82" s="13">
        <f>YEAR(TODAY())-' car_sales_data 1'!$F82</f>
        <v>13</v>
      </c>
    </row>
    <row r="83" ht="15.75" customHeight="1">
      <c r="A83" s="16">
        <v>44812.0</v>
      </c>
      <c r="B83" s="13" t="s">
        <v>215</v>
      </c>
      <c r="C83" s="13" t="s">
        <v>216</v>
      </c>
      <c r="D83" s="13" t="s">
        <v>6</v>
      </c>
      <c r="E83" s="13" t="s">
        <v>70</v>
      </c>
      <c r="F83" s="13">
        <v>2022.0</v>
      </c>
      <c r="G83" s="13">
        <v>45561.0</v>
      </c>
      <c r="H83" s="13">
        <v>5296.66</v>
      </c>
      <c r="I83" s="13">
        <f>' car_sales_data 1'!$G83*0.2</f>
        <v>9112.2</v>
      </c>
      <c r="J83" s="13" t="str">
        <f>TEXT(' car_sales_data 1'!$A83,"mmmm")</f>
        <v>September</v>
      </c>
      <c r="K83" s="13" t="str">
        <f>IF(' car_sales_data 1'!$G83&gt;40000,"Premium",
 IF(' car_sales_data 1'!$G83&gt;=20000,"Mid Range","Budget"))</f>
        <v>Premium</v>
      </c>
      <c r="L83" s="13">
        <f>YEAR(TODAY())-' car_sales_data 1'!$F83</f>
        <v>3</v>
      </c>
    </row>
    <row r="84" ht="15.75" customHeight="1">
      <c r="A84" s="16">
        <v>44721.0</v>
      </c>
      <c r="B84" s="13" t="s">
        <v>217</v>
      </c>
      <c r="C84" s="13" t="s">
        <v>218</v>
      </c>
      <c r="D84" s="13" t="s">
        <v>6</v>
      </c>
      <c r="E84" s="13" t="s">
        <v>54</v>
      </c>
      <c r="F84" s="13">
        <v>2014.0</v>
      </c>
      <c r="G84" s="13">
        <v>15751.0</v>
      </c>
      <c r="H84" s="13">
        <v>1608.35</v>
      </c>
      <c r="I84" s="13">
        <f>' car_sales_data 1'!$G84*0.2</f>
        <v>3150.2</v>
      </c>
      <c r="J84" s="13" t="str">
        <f>TEXT(' car_sales_data 1'!$A84,"mmmm")</f>
        <v>June</v>
      </c>
      <c r="K84" s="13" t="str">
        <f>IF(' car_sales_data 1'!$G84&gt;40000,"Premium",
 IF(' car_sales_data 1'!$G84&gt;=20000,"Mid Range","Budget"))</f>
        <v>Budget</v>
      </c>
      <c r="L84" s="13">
        <f>YEAR(TODAY())-' car_sales_data 1'!$F84</f>
        <v>11</v>
      </c>
    </row>
    <row r="85" ht="15.75" customHeight="1">
      <c r="A85" s="16">
        <v>44713.0</v>
      </c>
      <c r="B85" s="13" t="s">
        <v>219</v>
      </c>
      <c r="C85" s="13" t="s">
        <v>220</v>
      </c>
      <c r="D85" s="13" t="s">
        <v>12</v>
      </c>
      <c r="E85" s="13" t="s">
        <v>62</v>
      </c>
      <c r="F85" s="13">
        <v>2016.0</v>
      </c>
      <c r="G85" s="13">
        <v>24664.0</v>
      </c>
      <c r="H85" s="13">
        <v>3076.2</v>
      </c>
      <c r="I85" s="13">
        <f>' car_sales_data 1'!$G85*0.2</f>
        <v>4932.8</v>
      </c>
      <c r="J85" s="13" t="str">
        <f>TEXT(' car_sales_data 1'!$A85,"mmmm")</f>
        <v>June</v>
      </c>
      <c r="K85" s="13" t="str">
        <f>IF(' car_sales_data 1'!$G85&gt;40000,"Premium",
 IF(' car_sales_data 1'!$G85&gt;=20000,"Mid Range","Budget"))</f>
        <v>Mid Range</v>
      </c>
      <c r="L85" s="13">
        <f>YEAR(TODAY())-' car_sales_data 1'!$F85</f>
        <v>9</v>
      </c>
    </row>
    <row r="86" ht="15.75" customHeight="1">
      <c r="A86" s="16">
        <v>44705.0</v>
      </c>
      <c r="B86" s="13" t="s">
        <v>221</v>
      </c>
      <c r="C86" s="13" t="s">
        <v>222</v>
      </c>
      <c r="D86" s="13" t="s">
        <v>14</v>
      </c>
      <c r="E86" s="13" t="s">
        <v>57</v>
      </c>
      <c r="F86" s="13">
        <v>2012.0</v>
      </c>
      <c r="G86" s="13">
        <v>46092.0</v>
      </c>
      <c r="H86" s="13">
        <v>3660.83</v>
      </c>
      <c r="I86" s="13">
        <f>' car_sales_data 1'!$G86*0.2</f>
        <v>9218.4</v>
      </c>
      <c r="J86" s="13" t="str">
        <f>TEXT(' car_sales_data 1'!$A86,"mmmm")</f>
        <v>May</v>
      </c>
      <c r="K86" s="13" t="str">
        <f>IF(' car_sales_data 1'!$G86&gt;40000,"Premium",
 IF(' car_sales_data 1'!$G86&gt;=20000,"Mid Range","Budget"))</f>
        <v>Premium</v>
      </c>
      <c r="L86" s="13">
        <f>YEAR(TODAY())-' car_sales_data 1'!$F86</f>
        <v>13</v>
      </c>
    </row>
    <row r="87" ht="15.75" customHeight="1">
      <c r="A87" s="16">
        <v>44827.0</v>
      </c>
      <c r="B87" s="13" t="s">
        <v>223</v>
      </c>
      <c r="C87" s="13" t="s">
        <v>224</v>
      </c>
      <c r="D87" s="13" t="s">
        <v>14</v>
      </c>
      <c r="E87" s="13" t="s">
        <v>70</v>
      </c>
      <c r="F87" s="13">
        <v>2014.0</v>
      </c>
      <c r="G87" s="13">
        <v>32968.0</v>
      </c>
      <c r="H87" s="13">
        <v>3913.77</v>
      </c>
      <c r="I87" s="13">
        <f>' car_sales_data 1'!$G87*0.2</f>
        <v>6593.6</v>
      </c>
      <c r="J87" s="13" t="str">
        <f>TEXT(' car_sales_data 1'!$A87,"mmmm")</f>
        <v>September</v>
      </c>
      <c r="K87" s="13" t="str">
        <f>IF(' car_sales_data 1'!$G87&gt;40000,"Premium",
 IF(' car_sales_data 1'!$G87&gt;=20000,"Mid Range","Budget"))</f>
        <v>Mid Range</v>
      </c>
      <c r="L87" s="13">
        <f>YEAR(TODAY())-' car_sales_data 1'!$F87</f>
        <v>11</v>
      </c>
    </row>
    <row r="88" ht="15.75" customHeight="1">
      <c r="A88" s="16">
        <v>44725.0</v>
      </c>
      <c r="B88" s="13" t="s">
        <v>225</v>
      </c>
      <c r="C88" s="13" t="s">
        <v>226</v>
      </c>
      <c r="D88" s="13" t="s">
        <v>8</v>
      </c>
      <c r="E88" s="13" t="s">
        <v>70</v>
      </c>
      <c r="F88" s="13">
        <v>2011.0</v>
      </c>
      <c r="G88" s="13">
        <v>13261.0</v>
      </c>
      <c r="H88" s="13">
        <v>1650.23</v>
      </c>
      <c r="I88" s="13">
        <f>' car_sales_data 1'!$G88*0.2</f>
        <v>2652.2</v>
      </c>
      <c r="J88" s="13" t="str">
        <f>TEXT(' car_sales_data 1'!$A88,"mmmm")</f>
        <v>June</v>
      </c>
      <c r="K88" s="13" t="str">
        <f>IF(' car_sales_data 1'!$G88&gt;40000,"Premium",
 IF(' car_sales_data 1'!$G88&gt;=20000,"Mid Range","Budget"))</f>
        <v>Budget</v>
      </c>
      <c r="L88" s="13">
        <f>YEAR(TODAY())-' car_sales_data 1'!$F88</f>
        <v>14</v>
      </c>
    </row>
    <row r="89" ht="15.75" customHeight="1">
      <c r="A89" s="16">
        <v>44971.0</v>
      </c>
      <c r="B89" s="13" t="s">
        <v>227</v>
      </c>
      <c r="C89" s="13" t="s">
        <v>228</v>
      </c>
      <c r="D89" s="13" t="s">
        <v>6</v>
      </c>
      <c r="E89" s="13" t="s">
        <v>70</v>
      </c>
      <c r="F89" s="13">
        <v>2019.0</v>
      </c>
      <c r="G89" s="13">
        <v>45162.0</v>
      </c>
      <c r="H89" s="13">
        <v>6038.47</v>
      </c>
      <c r="I89" s="13">
        <f>' car_sales_data 1'!$G89*0.2</f>
        <v>9032.4</v>
      </c>
      <c r="J89" s="13" t="str">
        <f>TEXT(' car_sales_data 1'!$A89,"mmmm")</f>
        <v>February</v>
      </c>
      <c r="K89" s="13" t="str">
        <f>IF(' car_sales_data 1'!$G89&gt;40000,"Premium",
 IF(' car_sales_data 1'!$G89&gt;=20000,"Mid Range","Budget"))</f>
        <v>Premium</v>
      </c>
      <c r="L89" s="13">
        <f>YEAR(TODAY())-' car_sales_data 1'!$F89</f>
        <v>6</v>
      </c>
    </row>
    <row r="90" ht="15.75" customHeight="1">
      <c r="A90" s="16">
        <v>45001.0</v>
      </c>
      <c r="B90" s="13" t="s">
        <v>229</v>
      </c>
      <c r="C90" s="13" t="s">
        <v>230</v>
      </c>
      <c r="D90" s="13" t="s">
        <v>10</v>
      </c>
      <c r="E90" s="13" t="s">
        <v>57</v>
      </c>
      <c r="F90" s="13">
        <v>2018.0</v>
      </c>
      <c r="G90" s="13">
        <v>28160.0</v>
      </c>
      <c r="H90" s="13">
        <v>2597.87</v>
      </c>
      <c r="I90" s="13">
        <f>' car_sales_data 1'!$G90*0.2</f>
        <v>5632</v>
      </c>
      <c r="J90" s="13" t="str">
        <f>TEXT(' car_sales_data 1'!$A90,"mmmm")</f>
        <v>March</v>
      </c>
      <c r="K90" s="13" t="str">
        <f>IF(' car_sales_data 1'!$G90&gt;40000,"Premium",
 IF(' car_sales_data 1'!$G90&gt;=20000,"Mid Range","Budget"))</f>
        <v>Mid Range</v>
      </c>
      <c r="L90" s="13">
        <f>YEAR(TODAY())-' car_sales_data 1'!$F90</f>
        <v>7</v>
      </c>
    </row>
    <row r="91" ht="15.75" customHeight="1">
      <c r="A91" s="16">
        <v>45020.0</v>
      </c>
      <c r="B91" s="13" t="s">
        <v>231</v>
      </c>
      <c r="C91" s="13" t="s">
        <v>232</v>
      </c>
      <c r="D91" s="13" t="s">
        <v>8</v>
      </c>
      <c r="E91" s="13" t="s">
        <v>57</v>
      </c>
      <c r="F91" s="13">
        <v>2013.0</v>
      </c>
      <c r="G91" s="13">
        <v>45334.0</v>
      </c>
      <c r="H91" s="13">
        <v>6205.44</v>
      </c>
      <c r="I91" s="13">
        <f>' car_sales_data 1'!$G91*0.2</f>
        <v>9066.8</v>
      </c>
      <c r="J91" s="13" t="str">
        <f>TEXT(' car_sales_data 1'!$A91,"mmmm")</f>
        <v>April</v>
      </c>
      <c r="K91" s="13" t="str">
        <f>IF(' car_sales_data 1'!$G91&gt;40000,"Premium",
 IF(' car_sales_data 1'!$G91&gt;=20000,"Mid Range","Budget"))</f>
        <v>Premium</v>
      </c>
      <c r="L91" s="13">
        <f>YEAR(TODAY())-' car_sales_data 1'!$F91</f>
        <v>12</v>
      </c>
    </row>
    <row r="92" ht="15.75" customHeight="1">
      <c r="A92" s="16">
        <v>44825.0</v>
      </c>
      <c r="B92" s="13" t="s">
        <v>233</v>
      </c>
      <c r="C92" s="13" t="s">
        <v>234</v>
      </c>
      <c r="D92" s="13" t="s">
        <v>14</v>
      </c>
      <c r="E92" s="13" t="s">
        <v>51</v>
      </c>
      <c r="F92" s="13">
        <v>2013.0</v>
      </c>
      <c r="G92" s="13">
        <v>24034.0</v>
      </c>
      <c r="H92" s="13">
        <v>2194.62</v>
      </c>
      <c r="I92" s="13">
        <f>' car_sales_data 1'!$G92*0.2</f>
        <v>4806.8</v>
      </c>
      <c r="J92" s="13" t="str">
        <f>TEXT(' car_sales_data 1'!$A92,"mmmm")</f>
        <v>September</v>
      </c>
      <c r="K92" s="13" t="str">
        <f>IF(' car_sales_data 1'!$G92&gt;40000,"Premium",
 IF(' car_sales_data 1'!$G92&gt;=20000,"Mid Range","Budget"))</f>
        <v>Mid Range</v>
      </c>
      <c r="L92" s="13">
        <f>YEAR(TODAY())-' car_sales_data 1'!$F92</f>
        <v>12</v>
      </c>
    </row>
    <row r="93" ht="15.75" customHeight="1">
      <c r="A93" s="16">
        <v>44735.0</v>
      </c>
      <c r="B93" s="13" t="s">
        <v>235</v>
      </c>
      <c r="C93" s="13" t="s">
        <v>236</v>
      </c>
      <c r="D93" s="13" t="s">
        <v>14</v>
      </c>
      <c r="E93" s="13" t="s">
        <v>51</v>
      </c>
      <c r="F93" s="13">
        <v>2022.0</v>
      </c>
      <c r="G93" s="13">
        <v>18209.0</v>
      </c>
      <c r="H93" s="13">
        <v>1771.33</v>
      </c>
      <c r="I93" s="13">
        <f>' car_sales_data 1'!$G93*0.2</f>
        <v>3641.8</v>
      </c>
      <c r="J93" s="13" t="str">
        <f>TEXT(' car_sales_data 1'!$A93,"mmmm")</f>
        <v>June</v>
      </c>
      <c r="K93" s="13" t="str">
        <f>IF(' car_sales_data 1'!$G93&gt;40000,"Premium",
 IF(' car_sales_data 1'!$G93&gt;=20000,"Mid Range","Budget"))</f>
        <v>Budget</v>
      </c>
      <c r="L93" s="13">
        <f>YEAR(TODAY())-' car_sales_data 1'!$F93</f>
        <v>3</v>
      </c>
    </row>
    <row r="94" ht="15.75" customHeight="1">
      <c r="A94" s="16">
        <v>44716.0</v>
      </c>
      <c r="B94" s="13" t="s">
        <v>237</v>
      </c>
      <c r="C94" s="13" t="s">
        <v>238</v>
      </c>
      <c r="D94" s="13" t="s">
        <v>10</v>
      </c>
      <c r="E94" s="13" t="s">
        <v>70</v>
      </c>
      <c r="F94" s="13">
        <v>2015.0</v>
      </c>
      <c r="G94" s="13">
        <v>23255.0</v>
      </c>
      <c r="H94" s="13">
        <v>1273.09</v>
      </c>
      <c r="I94" s="13">
        <f>' car_sales_data 1'!$G94*0.2</f>
        <v>4651</v>
      </c>
      <c r="J94" s="13" t="str">
        <f>TEXT(' car_sales_data 1'!$A94,"mmmm")</f>
        <v>June</v>
      </c>
      <c r="K94" s="13" t="str">
        <f>IF(' car_sales_data 1'!$G94&gt;40000,"Premium",
 IF(' car_sales_data 1'!$G94&gt;=20000,"Mid Range","Budget"))</f>
        <v>Mid Range</v>
      </c>
      <c r="L94" s="13">
        <f>YEAR(TODAY())-' car_sales_data 1'!$F94</f>
        <v>10</v>
      </c>
    </row>
    <row r="95" ht="15.75" customHeight="1">
      <c r="A95" s="16">
        <v>44897.0</v>
      </c>
      <c r="B95" s="13" t="s">
        <v>239</v>
      </c>
      <c r="C95" s="13" t="s">
        <v>240</v>
      </c>
      <c r="D95" s="13" t="s">
        <v>8</v>
      </c>
      <c r="E95" s="13" t="s">
        <v>70</v>
      </c>
      <c r="F95" s="13">
        <v>2022.0</v>
      </c>
      <c r="G95" s="13">
        <v>17038.0</v>
      </c>
      <c r="H95" s="13">
        <v>1388.94</v>
      </c>
      <c r="I95" s="13">
        <f>' car_sales_data 1'!$G95*0.2</f>
        <v>3407.6</v>
      </c>
      <c r="J95" s="13" t="str">
        <f>TEXT(' car_sales_data 1'!$A95,"mmmm")</f>
        <v>December</v>
      </c>
      <c r="K95" s="13" t="str">
        <f>IF(' car_sales_data 1'!$G95&gt;40000,"Premium",
 IF(' car_sales_data 1'!$G95&gt;=20000,"Mid Range","Budget"))</f>
        <v>Budget</v>
      </c>
      <c r="L95" s="13">
        <f>YEAR(TODAY())-' car_sales_data 1'!$F95</f>
        <v>3</v>
      </c>
    </row>
    <row r="96" ht="15.75" customHeight="1">
      <c r="A96" s="16">
        <v>44949.0</v>
      </c>
      <c r="B96" s="13" t="s">
        <v>241</v>
      </c>
      <c r="C96" s="13" t="s">
        <v>242</v>
      </c>
      <c r="D96" s="13" t="s">
        <v>8</v>
      </c>
      <c r="E96" s="13" t="s">
        <v>51</v>
      </c>
      <c r="F96" s="13">
        <v>2020.0</v>
      </c>
      <c r="G96" s="13">
        <v>25964.0</v>
      </c>
      <c r="H96" s="13">
        <v>2550.15</v>
      </c>
      <c r="I96" s="13">
        <f>' car_sales_data 1'!$G96*0.2</f>
        <v>5192.8</v>
      </c>
      <c r="J96" s="13" t="str">
        <f>TEXT(' car_sales_data 1'!$A96,"mmmm")</f>
        <v>January</v>
      </c>
      <c r="K96" s="13" t="str">
        <f>IF(' car_sales_data 1'!$G96&gt;40000,"Premium",
 IF(' car_sales_data 1'!$G96&gt;=20000,"Mid Range","Budget"))</f>
        <v>Mid Range</v>
      </c>
      <c r="L96" s="13">
        <f>YEAR(TODAY())-' car_sales_data 1'!$F96</f>
        <v>5</v>
      </c>
    </row>
    <row r="97" ht="15.75" customHeight="1">
      <c r="A97" s="16">
        <v>44998.0</v>
      </c>
      <c r="B97" s="13" t="s">
        <v>243</v>
      </c>
      <c r="C97" s="13" t="s">
        <v>244</v>
      </c>
      <c r="D97" s="13" t="s">
        <v>12</v>
      </c>
      <c r="E97" s="13" t="s">
        <v>54</v>
      </c>
      <c r="F97" s="13">
        <v>2016.0</v>
      </c>
      <c r="G97" s="13">
        <v>10872.0</v>
      </c>
      <c r="H97" s="13">
        <v>1190.99</v>
      </c>
      <c r="I97" s="13">
        <f>' car_sales_data 1'!$G97*0.2</f>
        <v>2174.4</v>
      </c>
      <c r="J97" s="13" t="str">
        <f>TEXT(' car_sales_data 1'!$A97,"mmmm")</f>
        <v>March</v>
      </c>
      <c r="K97" s="13" t="str">
        <f>IF(' car_sales_data 1'!$G97&gt;40000,"Premium",
 IF(' car_sales_data 1'!$G97&gt;=20000,"Mid Range","Budget"))</f>
        <v>Budget</v>
      </c>
      <c r="L97" s="13">
        <f>YEAR(TODAY())-' car_sales_data 1'!$F97</f>
        <v>9</v>
      </c>
    </row>
    <row r="98" ht="15.75" customHeight="1">
      <c r="A98" s="16">
        <v>44926.0</v>
      </c>
      <c r="B98" s="13" t="s">
        <v>245</v>
      </c>
      <c r="C98" s="13" t="s">
        <v>246</v>
      </c>
      <c r="D98" s="13" t="s">
        <v>14</v>
      </c>
      <c r="E98" s="13" t="s">
        <v>62</v>
      </c>
      <c r="F98" s="13">
        <v>2018.0</v>
      </c>
      <c r="G98" s="13">
        <v>17650.0</v>
      </c>
      <c r="H98" s="13">
        <v>1866.32</v>
      </c>
      <c r="I98" s="13">
        <f>' car_sales_data 1'!$G98*0.2</f>
        <v>3530</v>
      </c>
      <c r="J98" s="13" t="str">
        <f>TEXT(' car_sales_data 1'!$A98,"mmmm")</f>
        <v>December</v>
      </c>
      <c r="K98" s="13" t="str">
        <f>IF(' car_sales_data 1'!$G98&gt;40000,"Premium",
 IF(' car_sales_data 1'!$G98&gt;=20000,"Mid Range","Budget"))</f>
        <v>Budget</v>
      </c>
      <c r="L98" s="13">
        <f>YEAR(TODAY())-' car_sales_data 1'!$F98</f>
        <v>7</v>
      </c>
    </row>
    <row r="99" ht="15.75" customHeight="1">
      <c r="A99" s="16">
        <v>44924.0</v>
      </c>
      <c r="B99" s="13" t="s">
        <v>247</v>
      </c>
      <c r="C99" s="13" t="s">
        <v>248</v>
      </c>
      <c r="D99" s="13" t="s">
        <v>8</v>
      </c>
      <c r="E99" s="13" t="s">
        <v>57</v>
      </c>
      <c r="F99" s="13">
        <v>2013.0</v>
      </c>
      <c r="G99" s="13">
        <v>25256.0</v>
      </c>
      <c r="H99" s="13">
        <v>1404.76</v>
      </c>
      <c r="I99" s="13">
        <f>' car_sales_data 1'!$G99*0.2</f>
        <v>5051.2</v>
      </c>
      <c r="J99" s="13" t="str">
        <f>TEXT(' car_sales_data 1'!$A99,"mmmm")</f>
        <v>December</v>
      </c>
      <c r="K99" s="13" t="str">
        <f>IF(' car_sales_data 1'!$G99&gt;40000,"Premium",
 IF(' car_sales_data 1'!$G99&gt;=20000,"Mid Range","Budget"))</f>
        <v>Mid Range</v>
      </c>
      <c r="L99" s="13">
        <f>YEAR(TODAY())-' car_sales_data 1'!$F99</f>
        <v>12</v>
      </c>
    </row>
    <row r="100" ht="15.75" customHeight="1">
      <c r="A100" s="16">
        <v>45032.0</v>
      </c>
      <c r="B100" s="13" t="s">
        <v>249</v>
      </c>
      <c r="C100" s="13" t="s">
        <v>250</v>
      </c>
      <c r="D100" s="13" t="s">
        <v>6</v>
      </c>
      <c r="E100" s="13" t="s">
        <v>51</v>
      </c>
      <c r="F100" s="13">
        <v>2014.0</v>
      </c>
      <c r="G100" s="13">
        <v>31462.0</v>
      </c>
      <c r="H100" s="13">
        <v>3270.51</v>
      </c>
      <c r="I100" s="13">
        <f>' car_sales_data 1'!$G100*0.2</f>
        <v>6292.4</v>
      </c>
      <c r="J100" s="13" t="str">
        <f>TEXT(' car_sales_data 1'!$A100,"mmmm")</f>
        <v>April</v>
      </c>
      <c r="K100" s="13" t="str">
        <f>IF(' car_sales_data 1'!$G100&gt;40000,"Premium",
 IF(' car_sales_data 1'!$G100&gt;=20000,"Mid Range","Budget"))</f>
        <v>Mid Range</v>
      </c>
      <c r="L100" s="13">
        <f>YEAR(TODAY())-' car_sales_data 1'!$F100</f>
        <v>11</v>
      </c>
    </row>
    <row r="101" ht="15.75" customHeight="1">
      <c r="A101" s="16">
        <v>44850.0</v>
      </c>
      <c r="B101" s="13" t="s">
        <v>251</v>
      </c>
      <c r="C101" s="13" t="s">
        <v>252</v>
      </c>
      <c r="D101" s="13" t="s">
        <v>8</v>
      </c>
      <c r="E101" s="13" t="s">
        <v>57</v>
      </c>
      <c r="F101" s="13">
        <v>2020.0</v>
      </c>
      <c r="G101" s="13">
        <v>12512.0</v>
      </c>
      <c r="H101" s="13">
        <v>1396.17</v>
      </c>
      <c r="I101" s="13">
        <f>' car_sales_data 1'!$G101*0.2</f>
        <v>2502.4</v>
      </c>
      <c r="J101" s="13" t="str">
        <f>TEXT(' car_sales_data 1'!$A101,"mmmm")</f>
        <v>October</v>
      </c>
      <c r="K101" s="13" t="str">
        <f>IF(' car_sales_data 1'!$G101&gt;40000,"Premium",
 IF(' car_sales_data 1'!$G101&gt;=20000,"Mid Range","Budget"))</f>
        <v>Budget</v>
      </c>
      <c r="L101" s="13">
        <f>YEAR(TODAY())-' car_sales_data 1'!$F101</f>
        <v>5</v>
      </c>
    </row>
    <row r="102" ht="15.75" customHeight="1">
      <c r="A102" s="16">
        <v>44852.0</v>
      </c>
      <c r="B102" s="13" t="s">
        <v>253</v>
      </c>
      <c r="C102" s="13" t="s">
        <v>254</v>
      </c>
      <c r="D102" s="13" t="s">
        <v>14</v>
      </c>
      <c r="E102" s="13" t="s">
        <v>51</v>
      </c>
      <c r="F102" s="13">
        <v>2012.0</v>
      </c>
      <c r="G102" s="13">
        <v>34884.0</v>
      </c>
      <c r="H102" s="13">
        <v>2318.92</v>
      </c>
      <c r="I102" s="13">
        <f>' car_sales_data 1'!$G102*0.2</f>
        <v>6976.8</v>
      </c>
      <c r="J102" s="13" t="str">
        <f>TEXT(' car_sales_data 1'!$A102,"mmmm")</f>
        <v>October</v>
      </c>
      <c r="K102" s="13" t="str">
        <f>IF(' car_sales_data 1'!$G102&gt;40000,"Premium",
 IF(' car_sales_data 1'!$G102&gt;=20000,"Mid Range","Budget"))</f>
        <v>Mid Range</v>
      </c>
      <c r="L102" s="13">
        <f>YEAR(TODAY())-' car_sales_data 1'!$F102</f>
        <v>13</v>
      </c>
    </row>
    <row r="103" ht="15.75" customHeight="1">
      <c r="A103" s="16">
        <v>44695.0</v>
      </c>
      <c r="B103" s="13" t="s">
        <v>255</v>
      </c>
      <c r="C103" s="13" t="s">
        <v>256</v>
      </c>
      <c r="D103" s="13" t="s">
        <v>14</v>
      </c>
      <c r="E103" s="13" t="s">
        <v>51</v>
      </c>
      <c r="F103" s="13">
        <v>2020.0</v>
      </c>
      <c r="G103" s="13">
        <v>18818.0</v>
      </c>
      <c r="H103" s="13">
        <v>1035.11</v>
      </c>
      <c r="I103" s="13">
        <f>' car_sales_data 1'!$G103*0.2</f>
        <v>3763.6</v>
      </c>
      <c r="J103" s="13" t="str">
        <f>TEXT(' car_sales_data 1'!$A103,"mmmm")</f>
        <v>May</v>
      </c>
      <c r="K103" s="13" t="str">
        <f>IF(' car_sales_data 1'!$G103&gt;40000,"Premium",
 IF(' car_sales_data 1'!$G103&gt;=20000,"Mid Range","Budget"))</f>
        <v>Budget</v>
      </c>
      <c r="L103" s="13">
        <f>YEAR(TODAY())-' car_sales_data 1'!$F103</f>
        <v>5</v>
      </c>
    </row>
    <row r="104" ht="15.75" customHeight="1">
      <c r="A104" s="16">
        <v>44840.0</v>
      </c>
      <c r="B104" s="13" t="s">
        <v>257</v>
      </c>
      <c r="C104" s="13" t="s">
        <v>258</v>
      </c>
      <c r="D104" s="13" t="s">
        <v>8</v>
      </c>
      <c r="E104" s="13" t="s">
        <v>54</v>
      </c>
      <c r="F104" s="13">
        <v>2022.0</v>
      </c>
      <c r="G104" s="13">
        <v>28645.0</v>
      </c>
      <c r="H104" s="13">
        <v>2935.59</v>
      </c>
      <c r="I104" s="13">
        <f>' car_sales_data 1'!$G104*0.2</f>
        <v>5729</v>
      </c>
      <c r="J104" s="13" t="str">
        <f>TEXT(' car_sales_data 1'!$A104,"mmmm")</f>
        <v>October</v>
      </c>
      <c r="K104" s="13" t="str">
        <f>IF(' car_sales_data 1'!$G104&gt;40000,"Premium",
 IF(' car_sales_data 1'!$G104&gt;=20000,"Mid Range","Budget"))</f>
        <v>Mid Range</v>
      </c>
      <c r="L104" s="13">
        <f>YEAR(TODAY())-' car_sales_data 1'!$F104</f>
        <v>3</v>
      </c>
    </row>
    <row r="105" ht="15.75" customHeight="1">
      <c r="A105" s="16">
        <v>44953.0</v>
      </c>
      <c r="B105" s="13" t="s">
        <v>11</v>
      </c>
      <c r="C105" s="13" t="s">
        <v>259</v>
      </c>
      <c r="D105" s="13" t="s">
        <v>12</v>
      </c>
      <c r="E105" s="13" t="s">
        <v>62</v>
      </c>
      <c r="F105" s="13">
        <v>2011.0</v>
      </c>
      <c r="G105" s="13">
        <v>35883.0</v>
      </c>
      <c r="H105" s="13">
        <v>5094.27</v>
      </c>
      <c r="I105" s="13">
        <f>' car_sales_data 1'!$G105*0.2</f>
        <v>7176.6</v>
      </c>
      <c r="J105" s="13" t="str">
        <f>TEXT(' car_sales_data 1'!$A105,"mmmm")</f>
        <v>January</v>
      </c>
      <c r="K105" s="13" t="str">
        <f>IF(' car_sales_data 1'!$G105&gt;40000,"Premium",
 IF(' car_sales_data 1'!$G105&gt;=20000,"Mid Range","Budget"))</f>
        <v>Mid Range</v>
      </c>
      <c r="L105" s="13">
        <f>YEAR(TODAY())-' car_sales_data 1'!$F105</f>
        <v>14</v>
      </c>
    </row>
    <row r="106" ht="15.75" customHeight="1">
      <c r="A106" s="16">
        <v>45021.0</v>
      </c>
      <c r="B106" s="13" t="s">
        <v>260</v>
      </c>
      <c r="C106" s="13" t="s">
        <v>261</v>
      </c>
      <c r="D106" s="13" t="s">
        <v>8</v>
      </c>
      <c r="E106" s="13" t="s">
        <v>62</v>
      </c>
      <c r="F106" s="13">
        <v>2014.0</v>
      </c>
      <c r="G106" s="13">
        <v>44008.0</v>
      </c>
      <c r="H106" s="13">
        <v>3760.31</v>
      </c>
      <c r="I106" s="13">
        <f>' car_sales_data 1'!$G106*0.2</f>
        <v>8801.6</v>
      </c>
      <c r="J106" s="13" t="str">
        <f>TEXT(' car_sales_data 1'!$A106,"mmmm")</f>
        <v>April</v>
      </c>
      <c r="K106" s="13" t="str">
        <f>IF(' car_sales_data 1'!$G106&gt;40000,"Premium",
 IF(' car_sales_data 1'!$G106&gt;=20000,"Mid Range","Budget"))</f>
        <v>Premium</v>
      </c>
      <c r="L106" s="13">
        <f>YEAR(TODAY())-' car_sales_data 1'!$F106</f>
        <v>11</v>
      </c>
    </row>
    <row r="107" ht="15.75" customHeight="1">
      <c r="A107" s="16">
        <v>44904.0</v>
      </c>
      <c r="B107" s="13" t="s">
        <v>262</v>
      </c>
      <c r="C107" s="13" t="s">
        <v>263</v>
      </c>
      <c r="D107" s="13" t="s">
        <v>8</v>
      </c>
      <c r="E107" s="13" t="s">
        <v>57</v>
      </c>
      <c r="F107" s="13">
        <v>2012.0</v>
      </c>
      <c r="G107" s="13">
        <v>30782.0</v>
      </c>
      <c r="H107" s="13">
        <v>1677.5</v>
      </c>
      <c r="I107" s="13">
        <f>' car_sales_data 1'!$G107*0.2</f>
        <v>6156.4</v>
      </c>
      <c r="J107" s="13" t="str">
        <f>TEXT(' car_sales_data 1'!$A107,"mmmm")</f>
        <v>December</v>
      </c>
      <c r="K107" s="13" t="str">
        <f>IF(' car_sales_data 1'!$G107&gt;40000,"Premium",
 IF(' car_sales_data 1'!$G107&gt;=20000,"Mid Range","Budget"))</f>
        <v>Mid Range</v>
      </c>
      <c r="L107" s="13">
        <f>YEAR(TODAY())-' car_sales_data 1'!$F107</f>
        <v>13</v>
      </c>
    </row>
    <row r="108" ht="15.75" customHeight="1">
      <c r="A108" s="16">
        <v>44844.0</v>
      </c>
      <c r="B108" s="13" t="s">
        <v>264</v>
      </c>
      <c r="C108" s="13" t="s">
        <v>265</v>
      </c>
      <c r="D108" s="13" t="s">
        <v>8</v>
      </c>
      <c r="E108" s="13" t="s">
        <v>62</v>
      </c>
      <c r="F108" s="13">
        <v>2014.0</v>
      </c>
      <c r="G108" s="13">
        <v>20145.0</v>
      </c>
      <c r="H108" s="13">
        <v>2047.99</v>
      </c>
      <c r="I108" s="13">
        <f>' car_sales_data 1'!$G108*0.2</f>
        <v>4029</v>
      </c>
      <c r="J108" s="13" t="str">
        <f>TEXT(' car_sales_data 1'!$A108,"mmmm")</f>
        <v>October</v>
      </c>
      <c r="K108" s="13" t="str">
        <f>IF(' car_sales_data 1'!$G108&gt;40000,"Premium",
 IF(' car_sales_data 1'!$G108&gt;=20000,"Mid Range","Budget"))</f>
        <v>Mid Range</v>
      </c>
      <c r="L108" s="13">
        <f>YEAR(TODAY())-' car_sales_data 1'!$F108</f>
        <v>11</v>
      </c>
    </row>
    <row r="109" ht="15.75" customHeight="1">
      <c r="A109" s="16">
        <v>44860.0</v>
      </c>
      <c r="B109" s="13" t="s">
        <v>266</v>
      </c>
      <c r="C109" s="13" t="s">
        <v>267</v>
      </c>
      <c r="D109" s="13" t="s">
        <v>12</v>
      </c>
      <c r="E109" s="13" t="s">
        <v>51</v>
      </c>
      <c r="F109" s="13">
        <v>2019.0</v>
      </c>
      <c r="G109" s="13">
        <v>11849.0</v>
      </c>
      <c r="H109" s="13">
        <v>1389.46</v>
      </c>
      <c r="I109" s="13">
        <f>' car_sales_data 1'!$G109*0.2</f>
        <v>2369.8</v>
      </c>
      <c r="J109" s="13" t="str">
        <f>TEXT(' car_sales_data 1'!$A109,"mmmm")</f>
        <v>October</v>
      </c>
      <c r="K109" s="13" t="str">
        <f>IF(' car_sales_data 1'!$G109&gt;40000,"Premium",
 IF(' car_sales_data 1'!$G109&gt;=20000,"Mid Range","Budget"))</f>
        <v>Budget</v>
      </c>
      <c r="L109" s="13">
        <f>YEAR(TODAY())-' car_sales_data 1'!$F109</f>
        <v>6</v>
      </c>
    </row>
    <row r="110" ht="15.75" customHeight="1">
      <c r="A110" s="16">
        <v>44919.0</v>
      </c>
      <c r="B110" s="13" t="s">
        <v>268</v>
      </c>
      <c r="C110" s="13" t="s">
        <v>269</v>
      </c>
      <c r="D110" s="13" t="s">
        <v>8</v>
      </c>
      <c r="E110" s="13" t="s">
        <v>54</v>
      </c>
      <c r="F110" s="13">
        <v>2011.0</v>
      </c>
      <c r="G110" s="13">
        <v>45422.0</v>
      </c>
      <c r="H110" s="13">
        <v>6497.67</v>
      </c>
      <c r="I110" s="13">
        <f>' car_sales_data 1'!$G110*0.2</f>
        <v>9084.4</v>
      </c>
      <c r="J110" s="13" t="str">
        <f>TEXT(' car_sales_data 1'!$A110,"mmmm")</f>
        <v>December</v>
      </c>
      <c r="K110" s="13" t="str">
        <f>IF(' car_sales_data 1'!$G110&gt;40000,"Premium",
 IF(' car_sales_data 1'!$G110&gt;=20000,"Mid Range","Budget"))</f>
        <v>Premium</v>
      </c>
      <c r="L110" s="13">
        <f>YEAR(TODAY())-' car_sales_data 1'!$F110</f>
        <v>14</v>
      </c>
    </row>
    <row r="111" ht="15.75" customHeight="1">
      <c r="A111" s="16">
        <v>45006.0</v>
      </c>
      <c r="B111" s="13" t="s">
        <v>270</v>
      </c>
      <c r="C111" s="13" t="s">
        <v>271</v>
      </c>
      <c r="D111" s="13" t="s">
        <v>10</v>
      </c>
      <c r="E111" s="13" t="s">
        <v>70</v>
      </c>
      <c r="F111" s="13">
        <v>2016.0</v>
      </c>
      <c r="G111" s="13">
        <v>17047.0</v>
      </c>
      <c r="H111" s="13">
        <v>2155.71</v>
      </c>
      <c r="I111" s="13">
        <f>' car_sales_data 1'!$G111*0.2</f>
        <v>3409.4</v>
      </c>
      <c r="J111" s="13" t="str">
        <f>TEXT(' car_sales_data 1'!$A111,"mmmm")</f>
        <v>March</v>
      </c>
      <c r="K111" s="13" t="str">
        <f>IF(' car_sales_data 1'!$G111&gt;40000,"Premium",
 IF(' car_sales_data 1'!$G111&gt;=20000,"Mid Range","Budget"))</f>
        <v>Budget</v>
      </c>
      <c r="L111" s="13">
        <f>YEAR(TODAY())-' car_sales_data 1'!$F111</f>
        <v>9</v>
      </c>
    </row>
    <row r="112" ht="15.75" customHeight="1">
      <c r="A112" s="16">
        <v>44885.0</v>
      </c>
      <c r="B112" s="13" t="s">
        <v>272</v>
      </c>
      <c r="C112" s="13" t="s">
        <v>273</v>
      </c>
      <c r="D112" s="13" t="s">
        <v>8</v>
      </c>
      <c r="E112" s="13" t="s">
        <v>70</v>
      </c>
      <c r="F112" s="13">
        <v>2021.0</v>
      </c>
      <c r="G112" s="13">
        <v>22547.0</v>
      </c>
      <c r="H112" s="13">
        <v>2866.74</v>
      </c>
      <c r="I112" s="13">
        <f>' car_sales_data 1'!$G112*0.2</f>
        <v>4509.4</v>
      </c>
      <c r="J112" s="13" t="str">
        <f>TEXT(' car_sales_data 1'!$A112,"mmmm")</f>
        <v>November</v>
      </c>
      <c r="K112" s="13" t="str">
        <f>IF(' car_sales_data 1'!$G112&gt;40000,"Premium",
 IF(' car_sales_data 1'!$G112&gt;=20000,"Mid Range","Budget"))</f>
        <v>Mid Range</v>
      </c>
      <c r="L112" s="13">
        <f>YEAR(TODAY())-' car_sales_data 1'!$F112</f>
        <v>4</v>
      </c>
    </row>
    <row r="113" ht="15.75" customHeight="1">
      <c r="A113" s="16">
        <v>44760.0</v>
      </c>
      <c r="B113" s="13" t="s">
        <v>274</v>
      </c>
      <c r="C113" s="13" t="s">
        <v>275</v>
      </c>
      <c r="D113" s="13" t="s">
        <v>8</v>
      </c>
      <c r="E113" s="13" t="s">
        <v>57</v>
      </c>
      <c r="F113" s="13">
        <v>2021.0</v>
      </c>
      <c r="G113" s="13">
        <v>45789.0</v>
      </c>
      <c r="H113" s="13">
        <v>5719.83</v>
      </c>
      <c r="I113" s="13">
        <f>' car_sales_data 1'!$G113*0.2</f>
        <v>9157.8</v>
      </c>
      <c r="J113" s="13" t="str">
        <f>TEXT(' car_sales_data 1'!$A113,"mmmm")</f>
        <v>July</v>
      </c>
      <c r="K113" s="13" t="str">
        <f>IF(' car_sales_data 1'!$G113&gt;40000,"Premium",
 IF(' car_sales_data 1'!$G113&gt;=20000,"Mid Range","Budget"))</f>
        <v>Premium</v>
      </c>
      <c r="L113" s="13">
        <f>YEAR(TODAY())-' car_sales_data 1'!$F113</f>
        <v>4</v>
      </c>
    </row>
    <row r="114" ht="15.75" customHeight="1">
      <c r="A114" s="16">
        <v>44999.0</v>
      </c>
      <c r="B114" s="13" t="s">
        <v>194</v>
      </c>
      <c r="C114" s="13" t="s">
        <v>276</v>
      </c>
      <c r="D114" s="13" t="s">
        <v>10</v>
      </c>
      <c r="E114" s="13" t="s">
        <v>54</v>
      </c>
      <c r="F114" s="13">
        <v>2012.0</v>
      </c>
      <c r="G114" s="13">
        <v>23467.0</v>
      </c>
      <c r="H114" s="13">
        <v>3413.8</v>
      </c>
      <c r="I114" s="13">
        <f>' car_sales_data 1'!$G114*0.2</f>
        <v>4693.4</v>
      </c>
      <c r="J114" s="13" t="str">
        <f>TEXT(' car_sales_data 1'!$A114,"mmmm")</f>
        <v>March</v>
      </c>
      <c r="K114" s="13" t="str">
        <f>IF(' car_sales_data 1'!$G114&gt;40000,"Premium",
 IF(' car_sales_data 1'!$G114&gt;=20000,"Mid Range","Budget"))</f>
        <v>Mid Range</v>
      </c>
      <c r="L114" s="13">
        <f>YEAR(TODAY())-' car_sales_data 1'!$F114</f>
        <v>13</v>
      </c>
    </row>
    <row r="115" ht="15.75" customHeight="1">
      <c r="A115" s="16">
        <v>44790.0</v>
      </c>
      <c r="B115" s="13" t="s">
        <v>277</v>
      </c>
      <c r="C115" s="13" t="s">
        <v>278</v>
      </c>
      <c r="D115" s="13" t="s">
        <v>14</v>
      </c>
      <c r="E115" s="13" t="s">
        <v>54</v>
      </c>
      <c r="F115" s="13">
        <v>2010.0</v>
      </c>
      <c r="G115" s="13">
        <v>18895.0</v>
      </c>
      <c r="H115" s="13">
        <v>1152.83</v>
      </c>
      <c r="I115" s="13">
        <f>' car_sales_data 1'!$G115*0.2</f>
        <v>3779</v>
      </c>
      <c r="J115" s="13" t="str">
        <f>TEXT(' car_sales_data 1'!$A115,"mmmm")</f>
        <v>August</v>
      </c>
      <c r="K115" s="13" t="str">
        <f>IF(' car_sales_data 1'!$G115&gt;40000,"Premium",
 IF(' car_sales_data 1'!$G115&gt;=20000,"Mid Range","Budget"))</f>
        <v>Budget</v>
      </c>
      <c r="L115" s="13">
        <f>YEAR(TODAY())-' car_sales_data 1'!$F115</f>
        <v>15</v>
      </c>
    </row>
    <row r="116" ht="15.75" customHeight="1">
      <c r="A116" s="16">
        <v>44978.0</v>
      </c>
      <c r="B116" s="13" t="s">
        <v>279</v>
      </c>
      <c r="C116" s="13" t="s">
        <v>280</v>
      </c>
      <c r="D116" s="13" t="s">
        <v>8</v>
      </c>
      <c r="E116" s="13" t="s">
        <v>54</v>
      </c>
      <c r="F116" s="13">
        <v>2016.0</v>
      </c>
      <c r="G116" s="13">
        <v>36774.0</v>
      </c>
      <c r="H116" s="13">
        <v>5411.67</v>
      </c>
      <c r="I116" s="13">
        <f>' car_sales_data 1'!$G116*0.2</f>
        <v>7354.8</v>
      </c>
      <c r="J116" s="13" t="str">
        <f>TEXT(' car_sales_data 1'!$A116,"mmmm")</f>
        <v>February</v>
      </c>
      <c r="K116" s="13" t="str">
        <f>IF(' car_sales_data 1'!$G116&gt;40000,"Premium",
 IF(' car_sales_data 1'!$G116&gt;=20000,"Mid Range","Budget"))</f>
        <v>Mid Range</v>
      </c>
      <c r="L116" s="13">
        <f>YEAR(TODAY())-' car_sales_data 1'!$F116</f>
        <v>9</v>
      </c>
    </row>
    <row r="117" ht="15.75" customHeight="1">
      <c r="A117" s="16">
        <v>44710.0</v>
      </c>
      <c r="B117" s="13" t="s">
        <v>281</v>
      </c>
      <c r="C117" s="13" t="s">
        <v>282</v>
      </c>
      <c r="D117" s="13" t="s">
        <v>12</v>
      </c>
      <c r="E117" s="13" t="s">
        <v>54</v>
      </c>
      <c r="F117" s="13">
        <v>2020.0</v>
      </c>
      <c r="G117" s="13">
        <v>22348.0</v>
      </c>
      <c r="H117" s="13">
        <v>1738.78</v>
      </c>
      <c r="I117" s="13">
        <f>' car_sales_data 1'!$G117*0.2</f>
        <v>4469.6</v>
      </c>
      <c r="J117" s="13" t="str">
        <f>TEXT(' car_sales_data 1'!$A117,"mmmm")</f>
        <v>May</v>
      </c>
      <c r="K117" s="13" t="str">
        <f>IF(' car_sales_data 1'!$G117&gt;40000,"Premium",
 IF(' car_sales_data 1'!$G117&gt;=20000,"Mid Range","Budget"))</f>
        <v>Mid Range</v>
      </c>
      <c r="L117" s="13">
        <f>YEAR(TODAY())-' car_sales_data 1'!$F117</f>
        <v>5</v>
      </c>
    </row>
    <row r="118" ht="15.75" customHeight="1">
      <c r="A118" s="16">
        <v>44747.0</v>
      </c>
      <c r="B118" s="13" t="s">
        <v>283</v>
      </c>
      <c r="C118" s="13" t="s">
        <v>284</v>
      </c>
      <c r="D118" s="13" t="s">
        <v>6</v>
      </c>
      <c r="E118" s="13" t="s">
        <v>57</v>
      </c>
      <c r="F118" s="13">
        <v>2016.0</v>
      </c>
      <c r="G118" s="13">
        <v>45924.0</v>
      </c>
      <c r="H118" s="13">
        <v>3507.85</v>
      </c>
      <c r="I118" s="13">
        <f>' car_sales_data 1'!$G118*0.2</f>
        <v>9184.8</v>
      </c>
      <c r="J118" s="13" t="str">
        <f>TEXT(' car_sales_data 1'!$A118,"mmmm")</f>
        <v>July</v>
      </c>
      <c r="K118" s="13" t="str">
        <f>IF(' car_sales_data 1'!$G118&gt;40000,"Premium",
 IF(' car_sales_data 1'!$G118&gt;=20000,"Mid Range","Budget"))</f>
        <v>Premium</v>
      </c>
      <c r="L118" s="13">
        <f>YEAR(TODAY())-' car_sales_data 1'!$F118</f>
        <v>9</v>
      </c>
    </row>
    <row r="119" ht="15.75" customHeight="1">
      <c r="A119" s="16">
        <v>44759.0</v>
      </c>
      <c r="B119" s="13" t="s">
        <v>285</v>
      </c>
      <c r="C119" s="13" t="s">
        <v>286</v>
      </c>
      <c r="D119" s="13" t="s">
        <v>12</v>
      </c>
      <c r="E119" s="13" t="s">
        <v>62</v>
      </c>
      <c r="F119" s="13">
        <v>2010.0</v>
      </c>
      <c r="G119" s="13">
        <v>13970.0</v>
      </c>
      <c r="H119" s="13">
        <v>1169.81</v>
      </c>
      <c r="I119" s="13">
        <f>' car_sales_data 1'!$G119*0.2</f>
        <v>2794</v>
      </c>
      <c r="J119" s="13" t="str">
        <f>TEXT(' car_sales_data 1'!$A119,"mmmm")</f>
        <v>July</v>
      </c>
      <c r="K119" s="13" t="str">
        <f>IF(' car_sales_data 1'!$G119&gt;40000,"Premium",
 IF(' car_sales_data 1'!$G119&gt;=20000,"Mid Range","Budget"))</f>
        <v>Budget</v>
      </c>
      <c r="L119" s="13">
        <f>YEAR(TODAY())-' car_sales_data 1'!$F119</f>
        <v>15</v>
      </c>
    </row>
    <row r="120" ht="15.75" customHeight="1">
      <c r="A120" s="16">
        <v>44909.0</v>
      </c>
      <c r="B120" s="13" t="s">
        <v>287</v>
      </c>
      <c r="C120" s="13" t="s">
        <v>288</v>
      </c>
      <c r="D120" s="13" t="s">
        <v>6</v>
      </c>
      <c r="E120" s="13" t="s">
        <v>62</v>
      </c>
      <c r="F120" s="13">
        <v>2013.0</v>
      </c>
      <c r="G120" s="13">
        <v>31606.0</v>
      </c>
      <c r="H120" s="13">
        <v>3718.44</v>
      </c>
      <c r="I120" s="13">
        <f>' car_sales_data 1'!$G120*0.2</f>
        <v>6321.2</v>
      </c>
      <c r="J120" s="13" t="str">
        <f>TEXT(' car_sales_data 1'!$A120,"mmmm")</f>
        <v>December</v>
      </c>
      <c r="K120" s="13" t="str">
        <f>IF(' car_sales_data 1'!$G120&gt;40000,"Premium",
 IF(' car_sales_data 1'!$G120&gt;=20000,"Mid Range","Budget"))</f>
        <v>Mid Range</v>
      </c>
      <c r="L120" s="13">
        <f>YEAR(TODAY())-' car_sales_data 1'!$F120</f>
        <v>12</v>
      </c>
    </row>
    <row r="121" ht="15.75" customHeight="1">
      <c r="A121" s="16">
        <v>44784.0</v>
      </c>
      <c r="B121" s="13" t="s">
        <v>289</v>
      </c>
      <c r="C121" s="13" t="s">
        <v>290</v>
      </c>
      <c r="D121" s="13" t="s">
        <v>8</v>
      </c>
      <c r="E121" s="13" t="s">
        <v>70</v>
      </c>
      <c r="F121" s="13">
        <v>2021.0</v>
      </c>
      <c r="G121" s="13">
        <v>39594.0</v>
      </c>
      <c r="H121" s="13">
        <v>3953.45</v>
      </c>
      <c r="I121" s="13">
        <f>' car_sales_data 1'!$G121*0.2</f>
        <v>7918.8</v>
      </c>
      <c r="J121" s="13" t="str">
        <f>TEXT(' car_sales_data 1'!$A121,"mmmm")</f>
        <v>August</v>
      </c>
      <c r="K121" s="13" t="str">
        <f>IF(' car_sales_data 1'!$G121&gt;40000,"Premium",
 IF(' car_sales_data 1'!$G121&gt;=20000,"Mid Range","Budget"))</f>
        <v>Mid Range</v>
      </c>
      <c r="L121" s="13">
        <f>YEAR(TODAY())-' car_sales_data 1'!$F121</f>
        <v>4</v>
      </c>
    </row>
    <row r="122" ht="15.75" customHeight="1">
      <c r="A122" s="16">
        <v>45047.0</v>
      </c>
      <c r="B122" s="13" t="s">
        <v>291</v>
      </c>
      <c r="C122" s="13" t="s">
        <v>292</v>
      </c>
      <c r="D122" s="13" t="s">
        <v>12</v>
      </c>
      <c r="E122" s="13" t="s">
        <v>54</v>
      </c>
      <c r="F122" s="13">
        <v>2022.0</v>
      </c>
      <c r="G122" s="13">
        <v>42275.0</v>
      </c>
      <c r="H122" s="13">
        <v>5313.16</v>
      </c>
      <c r="I122" s="13">
        <f>' car_sales_data 1'!$G122*0.2</f>
        <v>8455</v>
      </c>
      <c r="J122" s="13" t="str">
        <f>TEXT(' car_sales_data 1'!$A122,"mmmm")</f>
        <v>May</v>
      </c>
      <c r="K122" s="13" t="str">
        <f>IF(' car_sales_data 1'!$G122&gt;40000,"Premium",
 IF(' car_sales_data 1'!$G122&gt;=20000,"Mid Range","Budget"))</f>
        <v>Premium</v>
      </c>
      <c r="L122" s="13">
        <f>YEAR(TODAY())-' car_sales_data 1'!$F122</f>
        <v>3</v>
      </c>
    </row>
    <row r="123" ht="15.75" customHeight="1">
      <c r="A123" s="16">
        <v>44932.0</v>
      </c>
      <c r="B123" s="13" t="s">
        <v>293</v>
      </c>
      <c r="C123" s="13" t="s">
        <v>294</v>
      </c>
      <c r="D123" s="13" t="s">
        <v>14</v>
      </c>
      <c r="E123" s="13" t="s">
        <v>70</v>
      </c>
      <c r="F123" s="13">
        <v>2016.0</v>
      </c>
      <c r="G123" s="13">
        <v>23193.0</v>
      </c>
      <c r="H123" s="13">
        <v>2788.03</v>
      </c>
      <c r="I123" s="13">
        <f>' car_sales_data 1'!$G123*0.2</f>
        <v>4638.6</v>
      </c>
      <c r="J123" s="13" t="str">
        <f>TEXT(' car_sales_data 1'!$A123,"mmmm")</f>
        <v>January</v>
      </c>
      <c r="K123" s="13" t="str">
        <f>IF(' car_sales_data 1'!$G123&gt;40000,"Premium",
 IF(' car_sales_data 1'!$G123&gt;=20000,"Mid Range","Budget"))</f>
        <v>Mid Range</v>
      </c>
      <c r="L123" s="13">
        <f>YEAR(TODAY())-' car_sales_data 1'!$F123</f>
        <v>9</v>
      </c>
    </row>
    <row r="124" ht="15.75" customHeight="1">
      <c r="A124" s="16">
        <v>45043.0</v>
      </c>
      <c r="B124" s="13" t="s">
        <v>295</v>
      </c>
      <c r="C124" s="13" t="s">
        <v>296</v>
      </c>
      <c r="D124" s="13" t="s">
        <v>10</v>
      </c>
      <c r="E124" s="13" t="s">
        <v>51</v>
      </c>
      <c r="F124" s="13">
        <v>2017.0</v>
      </c>
      <c r="G124" s="13">
        <v>29381.0</v>
      </c>
      <c r="H124" s="13">
        <v>3579.72</v>
      </c>
      <c r="I124" s="13">
        <f>' car_sales_data 1'!$G124*0.2</f>
        <v>5876.2</v>
      </c>
      <c r="J124" s="13" t="str">
        <f>TEXT(' car_sales_data 1'!$A124,"mmmm")</f>
        <v>April</v>
      </c>
      <c r="K124" s="13" t="str">
        <f>IF(' car_sales_data 1'!$G124&gt;40000,"Premium",
 IF(' car_sales_data 1'!$G124&gt;=20000,"Mid Range","Budget"))</f>
        <v>Mid Range</v>
      </c>
      <c r="L124" s="13">
        <f>YEAR(TODAY())-' car_sales_data 1'!$F124</f>
        <v>8</v>
      </c>
    </row>
    <row r="125" ht="15.75" customHeight="1">
      <c r="A125" s="16">
        <v>44853.0</v>
      </c>
      <c r="B125" s="13" t="s">
        <v>297</v>
      </c>
      <c r="C125" s="13" t="s">
        <v>298</v>
      </c>
      <c r="D125" s="13" t="s">
        <v>6</v>
      </c>
      <c r="E125" s="13" t="s">
        <v>54</v>
      </c>
      <c r="F125" s="13">
        <v>2010.0</v>
      </c>
      <c r="G125" s="13">
        <v>25731.0</v>
      </c>
      <c r="H125" s="13">
        <v>2267.91</v>
      </c>
      <c r="I125" s="13">
        <f>' car_sales_data 1'!$G125*0.2</f>
        <v>5146.2</v>
      </c>
      <c r="J125" s="13" t="str">
        <f>TEXT(' car_sales_data 1'!$A125,"mmmm")</f>
        <v>October</v>
      </c>
      <c r="K125" s="13" t="str">
        <f>IF(' car_sales_data 1'!$G125&gt;40000,"Premium",
 IF(' car_sales_data 1'!$G125&gt;=20000,"Mid Range","Budget"))</f>
        <v>Mid Range</v>
      </c>
      <c r="L125" s="13">
        <f>YEAR(TODAY())-' car_sales_data 1'!$F125</f>
        <v>15</v>
      </c>
    </row>
    <row r="126" ht="15.75" customHeight="1">
      <c r="A126" s="16">
        <v>44739.0</v>
      </c>
      <c r="B126" s="13" t="s">
        <v>299</v>
      </c>
      <c r="C126" s="13" t="s">
        <v>300</v>
      </c>
      <c r="D126" s="13" t="s">
        <v>8</v>
      </c>
      <c r="E126" s="13" t="s">
        <v>54</v>
      </c>
      <c r="F126" s="13">
        <v>2015.0</v>
      </c>
      <c r="G126" s="13">
        <v>25131.0</v>
      </c>
      <c r="H126" s="13">
        <v>3417.89</v>
      </c>
      <c r="I126" s="13">
        <f>' car_sales_data 1'!$G126*0.2</f>
        <v>5026.2</v>
      </c>
      <c r="J126" s="13" t="str">
        <f>TEXT(' car_sales_data 1'!$A126,"mmmm")</f>
        <v>June</v>
      </c>
      <c r="K126" s="13" t="str">
        <f>IF(' car_sales_data 1'!$G126&gt;40000,"Premium",
 IF(' car_sales_data 1'!$G126&gt;=20000,"Mid Range","Budget"))</f>
        <v>Mid Range</v>
      </c>
      <c r="L126" s="13">
        <f>YEAR(TODAY())-' car_sales_data 1'!$F126</f>
        <v>10</v>
      </c>
    </row>
    <row r="127" ht="15.75" customHeight="1">
      <c r="A127" s="16">
        <v>44693.0</v>
      </c>
      <c r="B127" s="13" t="s">
        <v>301</v>
      </c>
      <c r="C127" s="13" t="s">
        <v>302</v>
      </c>
      <c r="D127" s="13" t="s">
        <v>12</v>
      </c>
      <c r="E127" s="13" t="s">
        <v>57</v>
      </c>
      <c r="F127" s="13">
        <v>2012.0</v>
      </c>
      <c r="G127" s="13">
        <v>39840.0</v>
      </c>
      <c r="H127" s="13">
        <v>4519.4</v>
      </c>
      <c r="I127" s="13">
        <f>' car_sales_data 1'!$G127*0.2</f>
        <v>7968</v>
      </c>
      <c r="J127" s="13" t="str">
        <f>TEXT(' car_sales_data 1'!$A127,"mmmm")</f>
        <v>May</v>
      </c>
      <c r="K127" s="13" t="str">
        <f>IF(' car_sales_data 1'!$G127&gt;40000,"Premium",
 IF(' car_sales_data 1'!$G127&gt;=20000,"Mid Range","Budget"))</f>
        <v>Mid Range</v>
      </c>
      <c r="L127" s="13">
        <f>YEAR(TODAY())-' car_sales_data 1'!$F127</f>
        <v>13</v>
      </c>
    </row>
    <row r="128" ht="15.75" customHeight="1">
      <c r="A128" s="16">
        <v>44781.0</v>
      </c>
      <c r="B128" s="13" t="s">
        <v>303</v>
      </c>
      <c r="C128" s="13" t="s">
        <v>304</v>
      </c>
      <c r="D128" s="13" t="s">
        <v>8</v>
      </c>
      <c r="E128" s="13" t="s">
        <v>57</v>
      </c>
      <c r="F128" s="13">
        <v>2016.0</v>
      </c>
      <c r="G128" s="13">
        <v>24820.0</v>
      </c>
      <c r="H128" s="13">
        <v>2582.69</v>
      </c>
      <c r="I128" s="13">
        <f>' car_sales_data 1'!$G128*0.2</f>
        <v>4964</v>
      </c>
      <c r="J128" s="13" t="str">
        <f>TEXT(' car_sales_data 1'!$A128,"mmmm")</f>
        <v>August</v>
      </c>
      <c r="K128" s="13" t="str">
        <f>IF(' car_sales_data 1'!$G128&gt;40000,"Premium",
 IF(' car_sales_data 1'!$G128&gt;=20000,"Mid Range","Budget"))</f>
        <v>Mid Range</v>
      </c>
      <c r="L128" s="13">
        <f>YEAR(TODAY())-' car_sales_data 1'!$F128</f>
        <v>9</v>
      </c>
    </row>
    <row r="129" ht="15.75" customHeight="1">
      <c r="A129" s="16">
        <v>44740.0</v>
      </c>
      <c r="B129" s="13" t="s">
        <v>305</v>
      </c>
      <c r="C129" s="13" t="s">
        <v>306</v>
      </c>
      <c r="D129" s="13" t="s">
        <v>14</v>
      </c>
      <c r="E129" s="13" t="s">
        <v>57</v>
      </c>
      <c r="F129" s="13">
        <v>2019.0</v>
      </c>
      <c r="G129" s="13">
        <v>47484.0</v>
      </c>
      <c r="H129" s="13">
        <v>5420.1</v>
      </c>
      <c r="I129" s="13">
        <f>' car_sales_data 1'!$G129*0.2</f>
        <v>9496.8</v>
      </c>
      <c r="J129" s="13" t="str">
        <f>TEXT(' car_sales_data 1'!$A129,"mmmm")</f>
        <v>June</v>
      </c>
      <c r="K129" s="13" t="str">
        <f>IF(' car_sales_data 1'!$G129&gt;40000,"Premium",
 IF(' car_sales_data 1'!$G129&gt;=20000,"Mid Range","Budget"))</f>
        <v>Premium</v>
      </c>
      <c r="L129" s="13">
        <f>YEAR(TODAY())-' car_sales_data 1'!$F129</f>
        <v>6</v>
      </c>
    </row>
    <row r="130" ht="15.75" customHeight="1">
      <c r="A130" s="16">
        <v>44758.0</v>
      </c>
      <c r="B130" s="13" t="s">
        <v>307</v>
      </c>
      <c r="C130" s="13" t="s">
        <v>308</v>
      </c>
      <c r="D130" s="13" t="s">
        <v>12</v>
      </c>
      <c r="E130" s="13" t="s">
        <v>54</v>
      </c>
      <c r="F130" s="13">
        <v>2022.0</v>
      </c>
      <c r="G130" s="13">
        <v>26704.0</v>
      </c>
      <c r="H130" s="13">
        <v>3522.83</v>
      </c>
      <c r="I130" s="13">
        <f>' car_sales_data 1'!$G130*0.2</f>
        <v>5340.8</v>
      </c>
      <c r="J130" s="13" t="str">
        <f>TEXT(' car_sales_data 1'!$A130,"mmmm")</f>
        <v>July</v>
      </c>
      <c r="K130" s="13" t="str">
        <f>IF(' car_sales_data 1'!$G130&gt;40000,"Premium",
 IF(' car_sales_data 1'!$G130&gt;=20000,"Mid Range","Budget"))</f>
        <v>Mid Range</v>
      </c>
      <c r="L130" s="13">
        <f>YEAR(TODAY())-' car_sales_data 1'!$F130</f>
        <v>3</v>
      </c>
    </row>
    <row r="131" ht="15.75" customHeight="1">
      <c r="A131" s="16">
        <v>44709.0</v>
      </c>
      <c r="B131" s="13" t="s">
        <v>309</v>
      </c>
      <c r="C131" s="13" t="s">
        <v>310</v>
      </c>
      <c r="D131" s="13" t="s">
        <v>6</v>
      </c>
      <c r="E131" s="13" t="s">
        <v>51</v>
      </c>
      <c r="F131" s="13">
        <v>2012.0</v>
      </c>
      <c r="G131" s="13">
        <v>19875.0</v>
      </c>
      <c r="H131" s="13">
        <v>2054.07</v>
      </c>
      <c r="I131" s="13">
        <f>' car_sales_data 1'!$G131*0.2</f>
        <v>3975</v>
      </c>
      <c r="J131" s="13" t="str">
        <f>TEXT(' car_sales_data 1'!$A131,"mmmm")</f>
        <v>May</v>
      </c>
      <c r="K131" s="13" t="str">
        <f>IF(' car_sales_data 1'!$G131&gt;40000,"Premium",
 IF(' car_sales_data 1'!$G131&gt;=20000,"Mid Range","Budget"))</f>
        <v>Budget</v>
      </c>
      <c r="L131" s="13">
        <f>YEAR(TODAY())-' car_sales_data 1'!$F131</f>
        <v>13</v>
      </c>
    </row>
    <row r="132" ht="15.75" customHeight="1">
      <c r="A132" s="16">
        <v>44906.0</v>
      </c>
      <c r="B132" s="13" t="s">
        <v>311</v>
      </c>
      <c r="C132" s="13" t="s">
        <v>312</v>
      </c>
      <c r="D132" s="13" t="s">
        <v>8</v>
      </c>
      <c r="E132" s="13" t="s">
        <v>51</v>
      </c>
      <c r="F132" s="13">
        <v>2019.0</v>
      </c>
      <c r="G132" s="13">
        <v>41513.0</v>
      </c>
      <c r="H132" s="13">
        <v>2109.44</v>
      </c>
      <c r="I132" s="13">
        <f>' car_sales_data 1'!$G132*0.2</f>
        <v>8302.6</v>
      </c>
      <c r="J132" s="13" t="str">
        <f>TEXT(' car_sales_data 1'!$A132,"mmmm")</f>
        <v>December</v>
      </c>
      <c r="K132" s="13" t="str">
        <f>IF(' car_sales_data 1'!$G132&gt;40000,"Premium",
 IF(' car_sales_data 1'!$G132&gt;=20000,"Mid Range","Budget"))</f>
        <v>Premium</v>
      </c>
      <c r="L132" s="13">
        <f>YEAR(TODAY())-' car_sales_data 1'!$F132</f>
        <v>6</v>
      </c>
    </row>
    <row r="133" ht="15.75" customHeight="1">
      <c r="A133" s="16">
        <v>45017.0</v>
      </c>
      <c r="B133" s="13" t="s">
        <v>313</v>
      </c>
      <c r="C133" s="13" t="s">
        <v>314</v>
      </c>
      <c r="D133" s="13" t="s">
        <v>8</v>
      </c>
      <c r="E133" s="13" t="s">
        <v>70</v>
      </c>
      <c r="F133" s="13">
        <v>2014.0</v>
      </c>
      <c r="G133" s="13">
        <v>33780.0</v>
      </c>
      <c r="H133" s="13">
        <v>3768.0</v>
      </c>
      <c r="I133" s="13">
        <f>' car_sales_data 1'!$G133*0.2</f>
        <v>6756</v>
      </c>
      <c r="J133" s="13" t="str">
        <f>TEXT(' car_sales_data 1'!$A133,"mmmm")</f>
        <v>April</v>
      </c>
      <c r="K133" s="13" t="str">
        <f>IF(' car_sales_data 1'!$G133&gt;40000,"Premium",
 IF(' car_sales_data 1'!$G133&gt;=20000,"Mid Range","Budget"))</f>
        <v>Mid Range</v>
      </c>
      <c r="L133" s="13">
        <f>YEAR(TODAY())-' car_sales_data 1'!$F133</f>
        <v>11</v>
      </c>
    </row>
    <row r="134" ht="15.75" customHeight="1">
      <c r="A134" s="16">
        <v>45023.0</v>
      </c>
      <c r="B134" s="13" t="s">
        <v>315</v>
      </c>
      <c r="C134" s="13" t="s">
        <v>316</v>
      </c>
      <c r="D134" s="13" t="s">
        <v>14</v>
      </c>
      <c r="E134" s="13" t="s">
        <v>51</v>
      </c>
      <c r="F134" s="13">
        <v>2014.0</v>
      </c>
      <c r="G134" s="13">
        <v>15008.0</v>
      </c>
      <c r="H134" s="13">
        <v>843.2</v>
      </c>
      <c r="I134" s="13">
        <f>' car_sales_data 1'!$G134*0.2</f>
        <v>3001.6</v>
      </c>
      <c r="J134" s="13" t="str">
        <f>TEXT(' car_sales_data 1'!$A134,"mmmm")</f>
        <v>April</v>
      </c>
      <c r="K134" s="13" t="str">
        <f>IF(' car_sales_data 1'!$G134&gt;40000,"Premium",
 IF(' car_sales_data 1'!$G134&gt;=20000,"Mid Range","Budget"))</f>
        <v>Budget</v>
      </c>
      <c r="L134" s="13">
        <f>YEAR(TODAY())-' car_sales_data 1'!$F134</f>
        <v>11</v>
      </c>
    </row>
    <row r="135" ht="15.75" customHeight="1">
      <c r="A135" s="16">
        <v>45031.0</v>
      </c>
      <c r="B135" s="13" t="s">
        <v>317</v>
      </c>
      <c r="C135" s="13" t="s">
        <v>318</v>
      </c>
      <c r="D135" s="13" t="s">
        <v>8</v>
      </c>
      <c r="E135" s="13" t="s">
        <v>70</v>
      </c>
      <c r="F135" s="13">
        <v>2021.0</v>
      </c>
      <c r="G135" s="13">
        <v>13143.0</v>
      </c>
      <c r="H135" s="13">
        <v>1852.28</v>
      </c>
      <c r="I135" s="13">
        <f>' car_sales_data 1'!$G135*0.2</f>
        <v>2628.6</v>
      </c>
      <c r="J135" s="13" t="str">
        <f>TEXT(' car_sales_data 1'!$A135,"mmmm")</f>
        <v>April</v>
      </c>
      <c r="K135" s="13" t="str">
        <f>IF(' car_sales_data 1'!$G135&gt;40000,"Premium",
 IF(' car_sales_data 1'!$G135&gt;=20000,"Mid Range","Budget"))</f>
        <v>Budget</v>
      </c>
      <c r="L135" s="13">
        <f>YEAR(TODAY())-' car_sales_data 1'!$F135</f>
        <v>4</v>
      </c>
    </row>
    <row r="136" ht="15.75" customHeight="1">
      <c r="A136" s="16">
        <v>45035.0</v>
      </c>
      <c r="B136" s="13" t="s">
        <v>319</v>
      </c>
      <c r="C136" s="13" t="s">
        <v>320</v>
      </c>
      <c r="D136" s="13" t="s">
        <v>14</v>
      </c>
      <c r="E136" s="13" t="s">
        <v>57</v>
      </c>
      <c r="F136" s="13">
        <v>2018.0</v>
      </c>
      <c r="G136" s="13">
        <v>26323.0</v>
      </c>
      <c r="H136" s="13">
        <v>2514.38</v>
      </c>
      <c r="I136" s="13">
        <f>' car_sales_data 1'!$G136*0.2</f>
        <v>5264.6</v>
      </c>
      <c r="J136" s="13" t="str">
        <f>TEXT(' car_sales_data 1'!$A136,"mmmm")</f>
        <v>April</v>
      </c>
      <c r="K136" s="13" t="str">
        <f>IF(' car_sales_data 1'!$G136&gt;40000,"Premium",
 IF(' car_sales_data 1'!$G136&gt;=20000,"Mid Range","Budget"))</f>
        <v>Mid Range</v>
      </c>
      <c r="L136" s="13">
        <f>YEAR(TODAY())-' car_sales_data 1'!$F136</f>
        <v>7</v>
      </c>
    </row>
    <row r="137" ht="15.75" customHeight="1">
      <c r="A137" s="16">
        <v>44831.0</v>
      </c>
      <c r="B137" s="13" t="s">
        <v>321</v>
      </c>
      <c r="C137" s="13" t="s">
        <v>322</v>
      </c>
      <c r="D137" s="13" t="s">
        <v>12</v>
      </c>
      <c r="E137" s="13" t="s">
        <v>57</v>
      </c>
      <c r="F137" s="13">
        <v>2015.0</v>
      </c>
      <c r="G137" s="13">
        <v>39057.0</v>
      </c>
      <c r="H137" s="13">
        <v>4265.24</v>
      </c>
      <c r="I137" s="13">
        <f>' car_sales_data 1'!$G137*0.2</f>
        <v>7811.4</v>
      </c>
      <c r="J137" s="13" t="str">
        <f>TEXT(' car_sales_data 1'!$A137,"mmmm")</f>
        <v>September</v>
      </c>
      <c r="K137" s="13" t="str">
        <f>IF(' car_sales_data 1'!$G137&gt;40000,"Premium",
 IF(' car_sales_data 1'!$G137&gt;=20000,"Mid Range","Budget"))</f>
        <v>Mid Range</v>
      </c>
      <c r="L137" s="13">
        <f>YEAR(TODAY())-' car_sales_data 1'!$F137</f>
        <v>10</v>
      </c>
    </row>
    <row r="138" ht="15.75" customHeight="1">
      <c r="A138" s="16">
        <v>44830.0</v>
      </c>
      <c r="B138" s="13" t="s">
        <v>323</v>
      </c>
      <c r="C138" s="13" t="s">
        <v>324</v>
      </c>
      <c r="D138" s="13" t="s">
        <v>8</v>
      </c>
      <c r="E138" s="13" t="s">
        <v>51</v>
      </c>
      <c r="F138" s="13">
        <v>2012.0</v>
      </c>
      <c r="G138" s="13">
        <v>11738.0</v>
      </c>
      <c r="H138" s="13">
        <v>1052.96</v>
      </c>
      <c r="I138" s="13">
        <f>' car_sales_data 1'!$G138*0.2</f>
        <v>2347.6</v>
      </c>
      <c r="J138" s="13" t="str">
        <f>TEXT(' car_sales_data 1'!$A138,"mmmm")</f>
        <v>September</v>
      </c>
      <c r="K138" s="13" t="str">
        <f>IF(' car_sales_data 1'!$G138&gt;40000,"Premium",
 IF(' car_sales_data 1'!$G138&gt;=20000,"Mid Range","Budget"))</f>
        <v>Budget</v>
      </c>
      <c r="L138" s="13">
        <f>YEAR(TODAY())-' car_sales_data 1'!$F138</f>
        <v>13</v>
      </c>
    </row>
    <row r="139" ht="15.75" customHeight="1">
      <c r="A139" s="16">
        <v>44950.0</v>
      </c>
      <c r="B139" s="13" t="s">
        <v>325</v>
      </c>
      <c r="C139" s="13" t="s">
        <v>326</v>
      </c>
      <c r="D139" s="13" t="s">
        <v>10</v>
      </c>
      <c r="E139" s="13" t="s">
        <v>62</v>
      </c>
      <c r="F139" s="13">
        <v>2020.0</v>
      </c>
      <c r="G139" s="13">
        <v>48705.0</v>
      </c>
      <c r="H139" s="13">
        <v>7090.71</v>
      </c>
      <c r="I139" s="13">
        <f>' car_sales_data 1'!$G139*0.2</f>
        <v>9741</v>
      </c>
      <c r="J139" s="13" t="str">
        <f>TEXT(' car_sales_data 1'!$A139,"mmmm")</f>
        <v>January</v>
      </c>
      <c r="K139" s="13" t="str">
        <f>IF(' car_sales_data 1'!$G139&gt;40000,"Premium",
 IF(' car_sales_data 1'!$G139&gt;=20000,"Mid Range","Budget"))</f>
        <v>Premium</v>
      </c>
      <c r="L139" s="13">
        <f>YEAR(TODAY())-' car_sales_data 1'!$F139</f>
        <v>5</v>
      </c>
    </row>
    <row r="140" ht="15.75" customHeight="1">
      <c r="A140" s="16">
        <v>44702.0</v>
      </c>
      <c r="B140" s="13" t="s">
        <v>327</v>
      </c>
      <c r="C140" s="13" t="s">
        <v>328</v>
      </c>
      <c r="D140" s="13" t="s">
        <v>6</v>
      </c>
      <c r="E140" s="13" t="s">
        <v>57</v>
      </c>
      <c r="F140" s="13">
        <v>2012.0</v>
      </c>
      <c r="G140" s="13">
        <v>20812.0</v>
      </c>
      <c r="H140" s="13">
        <v>2237.59</v>
      </c>
      <c r="I140" s="13">
        <f>' car_sales_data 1'!$G140*0.2</f>
        <v>4162.4</v>
      </c>
      <c r="J140" s="13" t="str">
        <f>TEXT(' car_sales_data 1'!$A140,"mmmm")</f>
        <v>May</v>
      </c>
      <c r="K140" s="13" t="str">
        <f>IF(' car_sales_data 1'!$G140&gt;40000,"Premium",
 IF(' car_sales_data 1'!$G140&gt;=20000,"Mid Range","Budget"))</f>
        <v>Mid Range</v>
      </c>
      <c r="L140" s="13">
        <f>YEAR(TODAY())-' car_sales_data 1'!$F140</f>
        <v>13</v>
      </c>
    </row>
    <row r="141" ht="15.75" customHeight="1">
      <c r="A141" s="16">
        <v>44693.0</v>
      </c>
      <c r="B141" s="13" t="s">
        <v>329</v>
      </c>
      <c r="C141" s="13" t="s">
        <v>330</v>
      </c>
      <c r="D141" s="13" t="s">
        <v>14</v>
      </c>
      <c r="E141" s="13" t="s">
        <v>62</v>
      </c>
      <c r="F141" s="13">
        <v>2016.0</v>
      </c>
      <c r="G141" s="13">
        <v>44286.0</v>
      </c>
      <c r="H141" s="13">
        <v>4116.9</v>
      </c>
      <c r="I141" s="13">
        <f>' car_sales_data 1'!$G141*0.2</f>
        <v>8857.2</v>
      </c>
      <c r="J141" s="13" t="str">
        <f>TEXT(' car_sales_data 1'!$A141,"mmmm")</f>
        <v>May</v>
      </c>
      <c r="K141" s="13" t="str">
        <f>IF(' car_sales_data 1'!$G141&gt;40000,"Premium",
 IF(' car_sales_data 1'!$G141&gt;=20000,"Mid Range","Budget"))</f>
        <v>Premium</v>
      </c>
      <c r="L141" s="13">
        <f>YEAR(TODAY())-' car_sales_data 1'!$F141</f>
        <v>9</v>
      </c>
    </row>
    <row r="142" ht="15.75" customHeight="1">
      <c r="A142" s="16">
        <v>44782.0</v>
      </c>
      <c r="B142" s="13" t="s">
        <v>331</v>
      </c>
      <c r="C142" s="13" t="s">
        <v>332</v>
      </c>
      <c r="D142" s="13" t="s">
        <v>14</v>
      </c>
      <c r="E142" s="13" t="s">
        <v>57</v>
      </c>
      <c r="F142" s="13">
        <v>2014.0</v>
      </c>
      <c r="G142" s="13">
        <v>22149.0</v>
      </c>
      <c r="H142" s="13">
        <v>1411.92</v>
      </c>
      <c r="I142" s="13">
        <f>' car_sales_data 1'!$G142*0.2</f>
        <v>4429.8</v>
      </c>
      <c r="J142" s="13" t="str">
        <f>TEXT(' car_sales_data 1'!$A142,"mmmm")</f>
        <v>August</v>
      </c>
      <c r="K142" s="13" t="str">
        <f>IF(' car_sales_data 1'!$G142&gt;40000,"Premium",
 IF(' car_sales_data 1'!$G142&gt;=20000,"Mid Range","Budget"))</f>
        <v>Mid Range</v>
      </c>
      <c r="L142" s="13">
        <f>YEAR(TODAY())-' car_sales_data 1'!$F142</f>
        <v>11</v>
      </c>
    </row>
    <row r="143" ht="15.75" customHeight="1">
      <c r="A143" s="16">
        <v>44787.0</v>
      </c>
      <c r="B143" s="13" t="s">
        <v>333</v>
      </c>
      <c r="C143" s="13" t="s">
        <v>334</v>
      </c>
      <c r="D143" s="13" t="s">
        <v>6</v>
      </c>
      <c r="E143" s="13" t="s">
        <v>57</v>
      </c>
      <c r="F143" s="13">
        <v>2013.0</v>
      </c>
      <c r="G143" s="13">
        <v>47797.0</v>
      </c>
      <c r="H143" s="13">
        <v>5665.05</v>
      </c>
      <c r="I143" s="13">
        <f>' car_sales_data 1'!$G143*0.2</f>
        <v>9559.4</v>
      </c>
      <c r="J143" s="13" t="str">
        <f>TEXT(' car_sales_data 1'!$A143,"mmmm")</f>
        <v>August</v>
      </c>
      <c r="K143" s="13" t="str">
        <f>IF(' car_sales_data 1'!$G143&gt;40000,"Premium",
 IF(' car_sales_data 1'!$G143&gt;=20000,"Mid Range","Budget"))</f>
        <v>Premium</v>
      </c>
      <c r="L143" s="13">
        <f>YEAR(TODAY())-' car_sales_data 1'!$F143</f>
        <v>12</v>
      </c>
    </row>
    <row r="144" ht="15.75" customHeight="1">
      <c r="A144" s="16">
        <v>44998.0</v>
      </c>
      <c r="B144" s="13" t="s">
        <v>335</v>
      </c>
      <c r="C144" s="13" t="s">
        <v>336</v>
      </c>
      <c r="D144" s="13" t="s">
        <v>8</v>
      </c>
      <c r="E144" s="13" t="s">
        <v>62</v>
      </c>
      <c r="F144" s="13">
        <v>2012.0</v>
      </c>
      <c r="G144" s="13">
        <v>32458.0</v>
      </c>
      <c r="H144" s="13">
        <v>3985.72</v>
      </c>
      <c r="I144" s="13">
        <f>' car_sales_data 1'!$G144*0.2</f>
        <v>6491.6</v>
      </c>
      <c r="J144" s="13" t="str">
        <f>TEXT(' car_sales_data 1'!$A144,"mmmm")</f>
        <v>March</v>
      </c>
      <c r="K144" s="13" t="str">
        <f>IF(' car_sales_data 1'!$G144&gt;40000,"Premium",
 IF(' car_sales_data 1'!$G144&gt;=20000,"Mid Range","Budget"))</f>
        <v>Mid Range</v>
      </c>
      <c r="L144" s="13">
        <f>YEAR(TODAY())-' car_sales_data 1'!$F144</f>
        <v>13</v>
      </c>
    </row>
    <row r="145" ht="15.75" customHeight="1">
      <c r="A145" s="16">
        <v>44938.0</v>
      </c>
      <c r="B145" s="13" t="s">
        <v>337</v>
      </c>
      <c r="C145" s="13" t="s">
        <v>338</v>
      </c>
      <c r="D145" s="13" t="s">
        <v>12</v>
      </c>
      <c r="E145" s="13" t="s">
        <v>51</v>
      </c>
      <c r="F145" s="13">
        <v>2020.0</v>
      </c>
      <c r="G145" s="13">
        <v>45815.0</v>
      </c>
      <c r="H145" s="13">
        <v>2611.05</v>
      </c>
      <c r="I145" s="13">
        <f>' car_sales_data 1'!$G145*0.2</f>
        <v>9163</v>
      </c>
      <c r="J145" s="13" t="str">
        <f>TEXT(' car_sales_data 1'!$A145,"mmmm")</f>
        <v>January</v>
      </c>
      <c r="K145" s="13" t="str">
        <f>IF(' car_sales_data 1'!$G145&gt;40000,"Premium",
 IF(' car_sales_data 1'!$G145&gt;=20000,"Mid Range","Budget"))</f>
        <v>Premium</v>
      </c>
      <c r="L145" s="13">
        <f>YEAR(TODAY())-' car_sales_data 1'!$F145</f>
        <v>5</v>
      </c>
    </row>
    <row r="146" ht="15.75" customHeight="1">
      <c r="A146" s="16">
        <v>44841.0</v>
      </c>
      <c r="B146" s="13" t="s">
        <v>339</v>
      </c>
      <c r="C146" s="13" t="s">
        <v>340</v>
      </c>
      <c r="D146" s="13" t="s">
        <v>6</v>
      </c>
      <c r="E146" s="13" t="s">
        <v>70</v>
      </c>
      <c r="F146" s="13">
        <v>2020.0</v>
      </c>
      <c r="G146" s="13">
        <v>18832.0</v>
      </c>
      <c r="H146" s="13">
        <v>2803.16</v>
      </c>
      <c r="I146" s="13">
        <f>' car_sales_data 1'!$G146*0.2</f>
        <v>3766.4</v>
      </c>
      <c r="J146" s="13" t="str">
        <f>TEXT(' car_sales_data 1'!$A146,"mmmm")</f>
        <v>October</v>
      </c>
      <c r="K146" s="13" t="str">
        <f>IF(' car_sales_data 1'!$G146&gt;40000,"Premium",
 IF(' car_sales_data 1'!$G146&gt;=20000,"Mid Range","Budget"))</f>
        <v>Budget</v>
      </c>
      <c r="L146" s="13">
        <f>YEAR(TODAY())-' car_sales_data 1'!$F146</f>
        <v>5</v>
      </c>
    </row>
    <row r="147" ht="15.75" customHeight="1">
      <c r="A147" s="16">
        <v>44795.0</v>
      </c>
      <c r="B147" s="13" t="s">
        <v>341</v>
      </c>
      <c r="C147" s="13" t="s">
        <v>342</v>
      </c>
      <c r="D147" s="13" t="s">
        <v>8</v>
      </c>
      <c r="E147" s="13" t="s">
        <v>54</v>
      </c>
      <c r="F147" s="13">
        <v>2017.0</v>
      </c>
      <c r="G147" s="13">
        <v>34044.0</v>
      </c>
      <c r="H147" s="13">
        <v>2628.31</v>
      </c>
      <c r="I147" s="13">
        <f>' car_sales_data 1'!$G147*0.2</f>
        <v>6808.8</v>
      </c>
      <c r="J147" s="13" t="str">
        <f>TEXT(' car_sales_data 1'!$A147,"mmmm")</f>
        <v>August</v>
      </c>
      <c r="K147" s="13" t="str">
        <f>IF(' car_sales_data 1'!$G147&gt;40000,"Premium",
 IF(' car_sales_data 1'!$G147&gt;=20000,"Mid Range","Budget"))</f>
        <v>Mid Range</v>
      </c>
      <c r="L147" s="13">
        <f>YEAR(TODAY())-' car_sales_data 1'!$F147</f>
        <v>8</v>
      </c>
    </row>
    <row r="148" ht="15.75" customHeight="1">
      <c r="A148" s="16">
        <v>44753.0</v>
      </c>
      <c r="B148" s="13" t="s">
        <v>343</v>
      </c>
      <c r="C148" s="13" t="s">
        <v>344</v>
      </c>
      <c r="D148" s="13" t="s">
        <v>8</v>
      </c>
      <c r="E148" s="13" t="s">
        <v>70</v>
      </c>
      <c r="F148" s="13">
        <v>2013.0</v>
      </c>
      <c r="G148" s="13">
        <v>14767.0</v>
      </c>
      <c r="H148" s="13">
        <v>1540.01</v>
      </c>
      <c r="I148" s="13">
        <f>' car_sales_data 1'!$G148*0.2</f>
        <v>2953.4</v>
      </c>
      <c r="J148" s="13" t="str">
        <f>TEXT(' car_sales_data 1'!$A148,"mmmm")</f>
        <v>July</v>
      </c>
      <c r="K148" s="13" t="str">
        <f>IF(' car_sales_data 1'!$G148&gt;40000,"Premium",
 IF(' car_sales_data 1'!$G148&gt;=20000,"Mid Range","Budget"))</f>
        <v>Budget</v>
      </c>
      <c r="L148" s="13">
        <f>YEAR(TODAY())-' car_sales_data 1'!$F148</f>
        <v>12</v>
      </c>
    </row>
    <row r="149" ht="15.75" customHeight="1">
      <c r="A149" s="16">
        <v>44773.0</v>
      </c>
      <c r="B149" s="13" t="s">
        <v>345</v>
      </c>
      <c r="C149" s="13" t="s">
        <v>346</v>
      </c>
      <c r="D149" s="13" t="s">
        <v>10</v>
      </c>
      <c r="E149" s="13" t="s">
        <v>54</v>
      </c>
      <c r="F149" s="13">
        <v>2012.0</v>
      </c>
      <c r="G149" s="13">
        <v>49209.0</v>
      </c>
      <c r="H149" s="13">
        <v>5023.2</v>
      </c>
      <c r="I149" s="13">
        <f>' car_sales_data 1'!$G149*0.2</f>
        <v>9841.8</v>
      </c>
      <c r="J149" s="13" t="str">
        <f>TEXT(' car_sales_data 1'!$A149,"mmmm")</f>
        <v>July</v>
      </c>
      <c r="K149" s="13" t="str">
        <f>IF(' car_sales_data 1'!$G149&gt;40000,"Premium",
 IF(' car_sales_data 1'!$G149&gt;=20000,"Mid Range","Budget"))</f>
        <v>Premium</v>
      </c>
      <c r="L149" s="13">
        <f>YEAR(TODAY())-' car_sales_data 1'!$F149</f>
        <v>13</v>
      </c>
    </row>
    <row r="150" ht="15.75" customHeight="1">
      <c r="A150" s="16">
        <v>44926.0</v>
      </c>
      <c r="B150" s="13" t="s">
        <v>347</v>
      </c>
      <c r="C150" s="13" t="s">
        <v>348</v>
      </c>
      <c r="D150" s="13" t="s">
        <v>10</v>
      </c>
      <c r="E150" s="13" t="s">
        <v>62</v>
      </c>
      <c r="F150" s="13">
        <v>2021.0</v>
      </c>
      <c r="G150" s="13">
        <v>12075.0</v>
      </c>
      <c r="H150" s="13">
        <v>1768.64</v>
      </c>
      <c r="I150" s="13">
        <f>' car_sales_data 1'!$G150*0.2</f>
        <v>2415</v>
      </c>
      <c r="J150" s="13" t="str">
        <f>TEXT(' car_sales_data 1'!$A150,"mmmm")</f>
        <v>December</v>
      </c>
      <c r="K150" s="13" t="str">
        <f>IF(' car_sales_data 1'!$G150&gt;40000,"Premium",
 IF(' car_sales_data 1'!$G150&gt;=20000,"Mid Range","Budget"))</f>
        <v>Budget</v>
      </c>
      <c r="L150" s="13">
        <f>YEAR(TODAY())-' car_sales_data 1'!$F150</f>
        <v>4</v>
      </c>
    </row>
    <row r="151" ht="15.75" customHeight="1">
      <c r="A151" s="16">
        <v>44760.0</v>
      </c>
      <c r="B151" s="13" t="s">
        <v>349</v>
      </c>
      <c r="C151" s="13" t="s">
        <v>350</v>
      </c>
      <c r="D151" s="13" t="s">
        <v>12</v>
      </c>
      <c r="E151" s="13" t="s">
        <v>51</v>
      </c>
      <c r="F151" s="13">
        <v>2017.0</v>
      </c>
      <c r="G151" s="13">
        <v>32176.0</v>
      </c>
      <c r="H151" s="13">
        <v>2678.14</v>
      </c>
      <c r="I151" s="13">
        <f>' car_sales_data 1'!$G151*0.2</f>
        <v>6435.2</v>
      </c>
      <c r="J151" s="13" t="str">
        <f>TEXT(' car_sales_data 1'!$A151,"mmmm")</f>
        <v>July</v>
      </c>
      <c r="K151" s="13" t="str">
        <f>IF(' car_sales_data 1'!$G151&gt;40000,"Premium",
 IF(' car_sales_data 1'!$G151&gt;=20000,"Mid Range","Budget"))</f>
        <v>Mid Range</v>
      </c>
      <c r="L151" s="13">
        <f>YEAR(TODAY())-' car_sales_data 1'!$F151</f>
        <v>8</v>
      </c>
    </row>
    <row r="152" ht="15.75" customHeight="1">
      <c r="A152" s="16">
        <v>44825.0</v>
      </c>
      <c r="B152" s="13" t="s">
        <v>351</v>
      </c>
      <c r="C152" s="13" t="s">
        <v>352</v>
      </c>
      <c r="D152" s="13" t="s">
        <v>10</v>
      </c>
      <c r="E152" s="13" t="s">
        <v>54</v>
      </c>
      <c r="F152" s="13">
        <v>2011.0</v>
      </c>
      <c r="G152" s="13">
        <v>21038.0</v>
      </c>
      <c r="H152" s="13">
        <v>1826.38</v>
      </c>
      <c r="I152" s="13">
        <f>' car_sales_data 1'!$G152*0.2</f>
        <v>4207.6</v>
      </c>
      <c r="J152" s="13" t="str">
        <f>TEXT(' car_sales_data 1'!$A152,"mmmm")</f>
        <v>September</v>
      </c>
      <c r="K152" s="13" t="str">
        <f>IF(' car_sales_data 1'!$G152&gt;40000,"Premium",
 IF(' car_sales_data 1'!$G152&gt;=20000,"Mid Range","Budget"))</f>
        <v>Mid Range</v>
      </c>
      <c r="L152" s="13">
        <f>YEAR(TODAY())-' car_sales_data 1'!$F152</f>
        <v>14</v>
      </c>
    </row>
    <row r="153" ht="15.75" customHeight="1">
      <c r="A153" s="16">
        <v>44720.0</v>
      </c>
      <c r="B153" s="13" t="s">
        <v>353</v>
      </c>
      <c r="C153" s="13" t="s">
        <v>354</v>
      </c>
      <c r="D153" s="13" t="s">
        <v>6</v>
      </c>
      <c r="E153" s="13" t="s">
        <v>54</v>
      </c>
      <c r="F153" s="13">
        <v>2016.0</v>
      </c>
      <c r="G153" s="13">
        <v>22274.0</v>
      </c>
      <c r="H153" s="13">
        <v>2498.76</v>
      </c>
      <c r="I153" s="13">
        <f>' car_sales_data 1'!$G153*0.2</f>
        <v>4454.8</v>
      </c>
      <c r="J153" s="13" t="str">
        <f>TEXT(' car_sales_data 1'!$A153,"mmmm")</f>
        <v>June</v>
      </c>
      <c r="K153" s="13" t="str">
        <f>IF(' car_sales_data 1'!$G153&gt;40000,"Premium",
 IF(' car_sales_data 1'!$G153&gt;=20000,"Mid Range","Budget"))</f>
        <v>Mid Range</v>
      </c>
      <c r="L153" s="13">
        <f>YEAR(TODAY())-' car_sales_data 1'!$F153</f>
        <v>9</v>
      </c>
    </row>
    <row r="154" ht="15.75" customHeight="1">
      <c r="A154" s="16">
        <v>44759.0</v>
      </c>
      <c r="B154" s="13" t="s">
        <v>355</v>
      </c>
      <c r="C154" s="13" t="s">
        <v>356</v>
      </c>
      <c r="D154" s="13" t="s">
        <v>6</v>
      </c>
      <c r="E154" s="13" t="s">
        <v>62</v>
      </c>
      <c r="F154" s="13">
        <v>2020.0</v>
      </c>
      <c r="G154" s="13">
        <v>36523.0</v>
      </c>
      <c r="H154" s="13">
        <v>5371.62</v>
      </c>
      <c r="I154" s="13">
        <f>' car_sales_data 1'!$G154*0.2</f>
        <v>7304.6</v>
      </c>
      <c r="J154" s="13" t="str">
        <f>TEXT(' car_sales_data 1'!$A154,"mmmm")</f>
        <v>July</v>
      </c>
      <c r="K154" s="13" t="str">
        <f>IF(' car_sales_data 1'!$G154&gt;40000,"Premium",
 IF(' car_sales_data 1'!$G154&gt;=20000,"Mid Range","Budget"))</f>
        <v>Mid Range</v>
      </c>
      <c r="L154" s="13">
        <f>YEAR(TODAY())-' car_sales_data 1'!$F154</f>
        <v>5</v>
      </c>
    </row>
    <row r="155" ht="15.75" customHeight="1">
      <c r="A155" s="16">
        <v>44683.0</v>
      </c>
      <c r="B155" s="13" t="s">
        <v>357</v>
      </c>
      <c r="C155" s="13" t="s">
        <v>358</v>
      </c>
      <c r="D155" s="13" t="s">
        <v>8</v>
      </c>
      <c r="E155" s="13" t="s">
        <v>51</v>
      </c>
      <c r="F155" s="13">
        <v>2018.0</v>
      </c>
      <c r="G155" s="13">
        <v>48314.0</v>
      </c>
      <c r="H155" s="13">
        <v>7092.96</v>
      </c>
      <c r="I155" s="13">
        <f>' car_sales_data 1'!$G155*0.2</f>
        <v>9662.8</v>
      </c>
      <c r="J155" s="13" t="str">
        <f>TEXT(' car_sales_data 1'!$A155,"mmmm")</f>
        <v>May</v>
      </c>
      <c r="K155" s="13" t="str">
        <f>IF(' car_sales_data 1'!$G155&gt;40000,"Premium",
 IF(' car_sales_data 1'!$G155&gt;=20000,"Mid Range","Budget"))</f>
        <v>Premium</v>
      </c>
      <c r="L155" s="13">
        <f>YEAR(TODAY())-' car_sales_data 1'!$F155</f>
        <v>7</v>
      </c>
    </row>
    <row r="156" ht="15.75" customHeight="1">
      <c r="A156" s="16">
        <v>44846.0</v>
      </c>
      <c r="B156" s="13" t="s">
        <v>359</v>
      </c>
      <c r="C156" s="13" t="s">
        <v>360</v>
      </c>
      <c r="D156" s="13" t="s">
        <v>10</v>
      </c>
      <c r="E156" s="13" t="s">
        <v>51</v>
      </c>
      <c r="F156" s="13">
        <v>2012.0</v>
      </c>
      <c r="G156" s="13">
        <v>29868.0</v>
      </c>
      <c r="H156" s="13">
        <v>4271.59</v>
      </c>
      <c r="I156" s="13">
        <f>' car_sales_data 1'!$G156*0.2</f>
        <v>5973.6</v>
      </c>
      <c r="J156" s="13" t="str">
        <f>TEXT(' car_sales_data 1'!$A156,"mmmm")</f>
        <v>October</v>
      </c>
      <c r="K156" s="13" t="str">
        <f>IF(' car_sales_data 1'!$G156&gt;40000,"Premium",
 IF(' car_sales_data 1'!$G156&gt;=20000,"Mid Range","Budget"))</f>
        <v>Mid Range</v>
      </c>
      <c r="L156" s="13">
        <f>YEAR(TODAY())-' car_sales_data 1'!$F156</f>
        <v>13</v>
      </c>
    </row>
    <row r="157" ht="15.75" customHeight="1">
      <c r="A157" s="16">
        <v>44698.0</v>
      </c>
      <c r="B157" s="13" t="s">
        <v>361</v>
      </c>
      <c r="C157" s="13" t="s">
        <v>362</v>
      </c>
      <c r="D157" s="13" t="s">
        <v>14</v>
      </c>
      <c r="E157" s="13" t="s">
        <v>57</v>
      </c>
      <c r="F157" s="13">
        <v>2020.0</v>
      </c>
      <c r="G157" s="13">
        <v>48964.0</v>
      </c>
      <c r="H157" s="13">
        <v>3640.83</v>
      </c>
      <c r="I157" s="13">
        <f>' car_sales_data 1'!$G157*0.2</f>
        <v>9792.8</v>
      </c>
      <c r="J157" s="13" t="str">
        <f>TEXT(' car_sales_data 1'!$A157,"mmmm")</f>
        <v>May</v>
      </c>
      <c r="K157" s="13" t="str">
        <f>IF(' car_sales_data 1'!$G157&gt;40000,"Premium",
 IF(' car_sales_data 1'!$G157&gt;=20000,"Mid Range","Budget"))</f>
        <v>Premium</v>
      </c>
      <c r="L157" s="13">
        <f>YEAR(TODAY())-' car_sales_data 1'!$F157</f>
        <v>5</v>
      </c>
    </row>
    <row r="158" ht="15.75" customHeight="1">
      <c r="A158" s="16">
        <v>44719.0</v>
      </c>
      <c r="B158" s="13" t="s">
        <v>363</v>
      </c>
      <c r="C158" s="13" t="s">
        <v>364</v>
      </c>
      <c r="D158" s="13" t="s">
        <v>12</v>
      </c>
      <c r="E158" s="13" t="s">
        <v>62</v>
      </c>
      <c r="F158" s="13">
        <v>2012.0</v>
      </c>
      <c r="G158" s="13">
        <v>40470.0</v>
      </c>
      <c r="H158" s="13">
        <v>5263.25</v>
      </c>
      <c r="I158" s="13">
        <f>' car_sales_data 1'!$G158*0.2</f>
        <v>8094</v>
      </c>
      <c r="J158" s="13" t="str">
        <f>TEXT(' car_sales_data 1'!$A158,"mmmm")</f>
        <v>June</v>
      </c>
      <c r="K158" s="13" t="str">
        <f>IF(' car_sales_data 1'!$G158&gt;40000,"Premium",
 IF(' car_sales_data 1'!$G158&gt;=20000,"Mid Range","Budget"))</f>
        <v>Premium</v>
      </c>
      <c r="L158" s="13">
        <f>YEAR(TODAY())-' car_sales_data 1'!$F158</f>
        <v>13</v>
      </c>
    </row>
    <row r="159" ht="15.75" customHeight="1">
      <c r="A159" s="16">
        <v>44786.0</v>
      </c>
      <c r="B159" s="13" t="s">
        <v>365</v>
      </c>
      <c r="C159" s="13" t="s">
        <v>366</v>
      </c>
      <c r="D159" s="13" t="s">
        <v>10</v>
      </c>
      <c r="E159" s="13" t="s">
        <v>54</v>
      </c>
      <c r="F159" s="13">
        <v>2019.0</v>
      </c>
      <c r="G159" s="13">
        <v>47642.0</v>
      </c>
      <c r="H159" s="13">
        <v>5607.42</v>
      </c>
      <c r="I159" s="13">
        <f>' car_sales_data 1'!$G159*0.2</f>
        <v>9528.4</v>
      </c>
      <c r="J159" s="13" t="str">
        <f>TEXT(' car_sales_data 1'!$A159,"mmmm")</f>
        <v>August</v>
      </c>
      <c r="K159" s="13" t="str">
        <f>IF(' car_sales_data 1'!$G159&gt;40000,"Premium",
 IF(' car_sales_data 1'!$G159&gt;=20000,"Mid Range","Budget"))</f>
        <v>Premium</v>
      </c>
      <c r="L159" s="13">
        <f>YEAR(TODAY())-' car_sales_data 1'!$F159</f>
        <v>6</v>
      </c>
    </row>
    <row r="160" ht="15.75" customHeight="1">
      <c r="A160" s="16">
        <v>45044.0</v>
      </c>
      <c r="B160" s="13" t="s">
        <v>367</v>
      </c>
      <c r="C160" s="13" t="s">
        <v>368</v>
      </c>
      <c r="D160" s="13" t="s">
        <v>10</v>
      </c>
      <c r="E160" s="13" t="s">
        <v>54</v>
      </c>
      <c r="F160" s="13">
        <v>2022.0</v>
      </c>
      <c r="G160" s="13">
        <v>17640.0</v>
      </c>
      <c r="H160" s="13">
        <v>2307.88</v>
      </c>
      <c r="I160" s="13">
        <f>' car_sales_data 1'!$G160*0.2</f>
        <v>3528</v>
      </c>
      <c r="J160" s="13" t="str">
        <f>TEXT(' car_sales_data 1'!$A160,"mmmm")</f>
        <v>April</v>
      </c>
      <c r="K160" s="13" t="str">
        <f>IF(' car_sales_data 1'!$G160&gt;40000,"Premium",
 IF(' car_sales_data 1'!$G160&gt;=20000,"Mid Range","Budget"))</f>
        <v>Budget</v>
      </c>
      <c r="L160" s="13">
        <f>YEAR(TODAY())-' car_sales_data 1'!$F160</f>
        <v>3</v>
      </c>
    </row>
    <row r="161" ht="15.75" customHeight="1">
      <c r="A161" s="16">
        <v>44767.0</v>
      </c>
      <c r="B161" s="13" t="s">
        <v>369</v>
      </c>
      <c r="C161" s="13" t="s">
        <v>370</v>
      </c>
      <c r="D161" s="13" t="s">
        <v>6</v>
      </c>
      <c r="E161" s="13" t="s">
        <v>62</v>
      </c>
      <c r="F161" s="13">
        <v>2018.0</v>
      </c>
      <c r="G161" s="13">
        <v>34309.0</v>
      </c>
      <c r="H161" s="13">
        <v>3786.29</v>
      </c>
      <c r="I161" s="13">
        <f>' car_sales_data 1'!$G161*0.2</f>
        <v>6861.8</v>
      </c>
      <c r="J161" s="13" t="str">
        <f>TEXT(' car_sales_data 1'!$A161,"mmmm")</f>
        <v>July</v>
      </c>
      <c r="K161" s="13" t="str">
        <f>IF(' car_sales_data 1'!$G161&gt;40000,"Premium",
 IF(' car_sales_data 1'!$G161&gt;=20000,"Mid Range","Budget"))</f>
        <v>Mid Range</v>
      </c>
      <c r="L161" s="13">
        <f>YEAR(TODAY())-' car_sales_data 1'!$F161</f>
        <v>7</v>
      </c>
    </row>
    <row r="162" ht="15.75" customHeight="1">
      <c r="A162" s="16">
        <v>44794.0</v>
      </c>
      <c r="B162" s="13" t="s">
        <v>371</v>
      </c>
      <c r="C162" s="13" t="s">
        <v>372</v>
      </c>
      <c r="D162" s="13" t="s">
        <v>8</v>
      </c>
      <c r="E162" s="13" t="s">
        <v>62</v>
      </c>
      <c r="F162" s="13">
        <v>2021.0</v>
      </c>
      <c r="G162" s="13">
        <v>34050.0</v>
      </c>
      <c r="H162" s="13">
        <v>4149.98</v>
      </c>
      <c r="I162" s="13">
        <f>' car_sales_data 1'!$G162*0.2</f>
        <v>6810</v>
      </c>
      <c r="J162" s="13" t="str">
        <f>TEXT(' car_sales_data 1'!$A162,"mmmm")</f>
        <v>August</v>
      </c>
      <c r="K162" s="13" t="str">
        <f>IF(' car_sales_data 1'!$G162&gt;40000,"Premium",
 IF(' car_sales_data 1'!$G162&gt;=20000,"Mid Range","Budget"))</f>
        <v>Mid Range</v>
      </c>
      <c r="L162" s="13">
        <f>YEAR(TODAY())-' car_sales_data 1'!$F162</f>
        <v>4</v>
      </c>
    </row>
    <row r="163" ht="15.75" customHeight="1">
      <c r="A163" s="16">
        <v>45016.0</v>
      </c>
      <c r="B163" s="13" t="s">
        <v>373</v>
      </c>
      <c r="C163" s="13" t="s">
        <v>374</v>
      </c>
      <c r="D163" s="13" t="s">
        <v>8</v>
      </c>
      <c r="E163" s="13" t="s">
        <v>57</v>
      </c>
      <c r="F163" s="13">
        <v>2013.0</v>
      </c>
      <c r="G163" s="13">
        <v>19851.0</v>
      </c>
      <c r="H163" s="13">
        <v>1534.72</v>
      </c>
      <c r="I163" s="13">
        <f>' car_sales_data 1'!$G163*0.2</f>
        <v>3970.2</v>
      </c>
      <c r="J163" s="13" t="str">
        <f>TEXT(' car_sales_data 1'!$A163,"mmmm")</f>
        <v>March</v>
      </c>
      <c r="K163" s="13" t="str">
        <f>IF(' car_sales_data 1'!$G163&gt;40000,"Premium",
 IF(' car_sales_data 1'!$G163&gt;=20000,"Mid Range","Budget"))</f>
        <v>Budget</v>
      </c>
      <c r="L163" s="13">
        <f>YEAR(TODAY())-' car_sales_data 1'!$F163</f>
        <v>12</v>
      </c>
    </row>
    <row r="164" ht="15.75" customHeight="1">
      <c r="A164" s="16">
        <v>44848.0</v>
      </c>
      <c r="B164" s="13" t="s">
        <v>375</v>
      </c>
      <c r="C164" s="13" t="s">
        <v>376</v>
      </c>
      <c r="D164" s="13" t="s">
        <v>10</v>
      </c>
      <c r="E164" s="13" t="s">
        <v>70</v>
      </c>
      <c r="F164" s="13">
        <v>2014.0</v>
      </c>
      <c r="G164" s="13">
        <v>33518.0</v>
      </c>
      <c r="H164" s="13">
        <v>3512.56</v>
      </c>
      <c r="I164" s="13">
        <f>' car_sales_data 1'!$G164*0.2</f>
        <v>6703.6</v>
      </c>
      <c r="J164" s="13" t="str">
        <f>TEXT(' car_sales_data 1'!$A164,"mmmm")</f>
        <v>October</v>
      </c>
      <c r="K164" s="13" t="str">
        <f>IF(' car_sales_data 1'!$G164&gt;40000,"Premium",
 IF(' car_sales_data 1'!$G164&gt;=20000,"Mid Range","Budget"))</f>
        <v>Mid Range</v>
      </c>
      <c r="L164" s="13">
        <f>YEAR(TODAY())-' car_sales_data 1'!$F164</f>
        <v>11</v>
      </c>
    </row>
    <row r="165" ht="15.75" customHeight="1">
      <c r="A165" s="16">
        <v>44718.0</v>
      </c>
      <c r="B165" s="13" t="s">
        <v>377</v>
      </c>
      <c r="C165" s="13" t="s">
        <v>378</v>
      </c>
      <c r="D165" s="13" t="s">
        <v>8</v>
      </c>
      <c r="E165" s="13" t="s">
        <v>57</v>
      </c>
      <c r="F165" s="13">
        <v>2022.0</v>
      </c>
      <c r="G165" s="13">
        <v>15157.0</v>
      </c>
      <c r="H165" s="13">
        <v>1848.06</v>
      </c>
      <c r="I165" s="13">
        <f>' car_sales_data 1'!$G165*0.2</f>
        <v>3031.4</v>
      </c>
      <c r="J165" s="13" t="str">
        <f>TEXT(' car_sales_data 1'!$A165,"mmmm")</f>
        <v>June</v>
      </c>
      <c r="K165" s="13" t="str">
        <f>IF(' car_sales_data 1'!$G165&gt;40000,"Premium",
 IF(' car_sales_data 1'!$G165&gt;=20000,"Mid Range","Budget"))</f>
        <v>Budget</v>
      </c>
      <c r="L165" s="13">
        <f>YEAR(TODAY())-' car_sales_data 1'!$F165</f>
        <v>3</v>
      </c>
    </row>
    <row r="166" ht="15.75" customHeight="1">
      <c r="A166" s="16">
        <v>44737.0</v>
      </c>
      <c r="B166" s="13" t="s">
        <v>379</v>
      </c>
      <c r="C166" s="13" t="s">
        <v>380</v>
      </c>
      <c r="D166" s="13" t="s">
        <v>8</v>
      </c>
      <c r="E166" s="13" t="s">
        <v>54</v>
      </c>
      <c r="F166" s="13">
        <v>2014.0</v>
      </c>
      <c r="G166" s="13">
        <v>17214.0</v>
      </c>
      <c r="H166" s="13">
        <v>1804.63</v>
      </c>
      <c r="I166" s="13">
        <f>' car_sales_data 1'!$G166*0.2</f>
        <v>3442.8</v>
      </c>
      <c r="J166" s="13" t="str">
        <f>TEXT(' car_sales_data 1'!$A166,"mmmm")</f>
        <v>June</v>
      </c>
      <c r="K166" s="13" t="str">
        <f>IF(' car_sales_data 1'!$G166&gt;40000,"Premium",
 IF(' car_sales_data 1'!$G166&gt;=20000,"Mid Range","Budget"))</f>
        <v>Budget</v>
      </c>
      <c r="L166" s="13">
        <f>YEAR(TODAY())-' car_sales_data 1'!$F166</f>
        <v>11</v>
      </c>
    </row>
    <row r="167" ht="15.75" customHeight="1">
      <c r="A167" s="16">
        <v>44693.0</v>
      </c>
      <c r="B167" s="13" t="s">
        <v>381</v>
      </c>
      <c r="C167" s="13" t="s">
        <v>382</v>
      </c>
      <c r="D167" s="13" t="s">
        <v>14</v>
      </c>
      <c r="E167" s="13" t="s">
        <v>51</v>
      </c>
      <c r="F167" s="13">
        <v>2019.0</v>
      </c>
      <c r="G167" s="13">
        <v>20231.0</v>
      </c>
      <c r="H167" s="13">
        <v>1058.11</v>
      </c>
      <c r="I167" s="13">
        <f>' car_sales_data 1'!$G167*0.2</f>
        <v>4046.2</v>
      </c>
      <c r="J167" s="13" t="str">
        <f>TEXT(' car_sales_data 1'!$A167,"mmmm")</f>
        <v>May</v>
      </c>
      <c r="K167" s="13" t="str">
        <f>IF(' car_sales_data 1'!$G167&gt;40000,"Premium",
 IF(' car_sales_data 1'!$G167&gt;=20000,"Mid Range","Budget"))</f>
        <v>Mid Range</v>
      </c>
      <c r="L167" s="13">
        <f>YEAR(TODAY())-' car_sales_data 1'!$F167</f>
        <v>6</v>
      </c>
    </row>
    <row r="168" ht="15.75" customHeight="1">
      <c r="A168" s="16">
        <v>44735.0</v>
      </c>
      <c r="B168" s="13" t="s">
        <v>383</v>
      </c>
      <c r="C168" s="13" t="s">
        <v>384</v>
      </c>
      <c r="D168" s="13" t="s">
        <v>8</v>
      </c>
      <c r="E168" s="13" t="s">
        <v>54</v>
      </c>
      <c r="F168" s="13">
        <v>2015.0</v>
      </c>
      <c r="G168" s="13">
        <v>22516.0</v>
      </c>
      <c r="H168" s="13">
        <v>1678.13</v>
      </c>
      <c r="I168" s="13">
        <f>' car_sales_data 1'!$G168*0.2</f>
        <v>4503.2</v>
      </c>
      <c r="J168" s="13" t="str">
        <f>TEXT(' car_sales_data 1'!$A168,"mmmm")</f>
        <v>June</v>
      </c>
      <c r="K168" s="13" t="str">
        <f>IF(' car_sales_data 1'!$G168&gt;40000,"Premium",
 IF(' car_sales_data 1'!$G168&gt;=20000,"Mid Range","Budget"))</f>
        <v>Mid Range</v>
      </c>
      <c r="L168" s="13">
        <f>YEAR(TODAY())-' car_sales_data 1'!$F168</f>
        <v>10</v>
      </c>
    </row>
    <row r="169" ht="15.75" customHeight="1">
      <c r="A169" s="16">
        <v>44740.0</v>
      </c>
      <c r="B169" s="13" t="s">
        <v>385</v>
      </c>
      <c r="C169" s="13" t="s">
        <v>386</v>
      </c>
      <c r="D169" s="13" t="s">
        <v>12</v>
      </c>
      <c r="E169" s="13" t="s">
        <v>70</v>
      </c>
      <c r="F169" s="13">
        <v>2021.0</v>
      </c>
      <c r="G169" s="13">
        <v>48317.0</v>
      </c>
      <c r="H169" s="13">
        <v>6645.74</v>
      </c>
      <c r="I169" s="13">
        <f>' car_sales_data 1'!$G169*0.2</f>
        <v>9663.4</v>
      </c>
      <c r="J169" s="13" t="str">
        <f>TEXT(' car_sales_data 1'!$A169,"mmmm")</f>
        <v>June</v>
      </c>
      <c r="K169" s="13" t="str">
        <f>IF(' car_sales_data 1'!$G169&gt;40000,"Premium",
 IF(' car_sales_data 1'!$G169&gt;=20000,"Mid Range","Budget"))</f>
        <v>Premium</v>
      </c>
      <c r="L169" s="13">
        <f>YEAR(TODAY())-' car_sales_data 1'!$F169</f>
        <v>4</v>
      </c>
    </row>
    <row r="170" ht="15.75" customHeight="1">
      <c r="A170" s="16">
        <v>44711.0</v>
      </c>
      <c r="B170" s="13" t="s">
        <v>387</v>
      </c>
      <c r="C170" s="13" t="s">
        <v>388</v>
      </c>
      <c r="D170" s="13" t="s">
        <v>6</v>
      </c>
      <c r="E170" s="13" t="s">
        <v>70</v>
      </c>
      <c r="F170" s="13">
        <v>2011.0</v>
      </c>
      <c r="G170" s="13">
        <v>27734.0</v>
      </c>
      <c r="H170" s="13">
        <v>3969.85</v>
      </c>
      <c r="I170" s="13">
        <f>' car_sales_data 1'!$G170*0.2</f>
        <v>5546.8</v>
      </c>
      <c r="J170" s="13" t="str">
        <f>TEXT(' car_sales_data 1'!$A170,"mmmm")</f>
        <v>May</v>
      </c>
      <c r="K170" s="13" t="str">
        <f>IF(' car_sales_data 1'!$G170&gt;40000,"Premium",
 IF(' car_sales_data 1'!$G170&gt;=20000,"Mid Range","Budget"))</f>
        <v>Mid Range</v>
      </c>
      <c r="L170" s="13">
        <f>YEAR(TODAY())-' car_sales_data 1'!$F170</f>
        <v>14</v>
      </c>
    </row>
    <row r="171" ht="15.75" customHeight="1">
      <c r="A171" s="16">
        <v>44819.0</v>
      </c>
      <c r="B171" s="13" t="s">
        <v>389</v>
      </c>
      <c r="C171" s="13" t="s">
        <v>390</v>
      </c>
      <c r="D171" s="13" t="s">
        <v>8</v>
      </c>
      <c r="E171" s="13" t="s">
        <v>70</v>
      </c>
      <c r="F171" s="13">
        <v>2010.0</v>
      </c>
      <c r="G171" s="13">
        <v>32473.0</v>
      </c>
      <c r="H171" s="13">
        <v>2033.02</v>
      </c>
      <c r="I171" s="13">
        <f>' car_sales_data 1'!$G171*0.2</f>
        <v>6494.6</v>
      </c>
      <c r="J171" s="13" t="str">
        <f>TEXT(' car_sales_data 1'!$A171,"mmmm")</f>
        <v>September</v>
      </c>
      <c r="K171" s="13" t="str">
        <f>IF(' car_sales_data 1'!$G171&gt;40000,"Premium",
 IF(' car_sales_data 1'!$G171&gt;=20000,"Mid Range","Budget"))</f>
        <v>Mid Range</v>
      </c>
      <c r="L171" s="13">
        <f>YEAR(TODAY())-' car_sales_data 1'!$F171</f>
        <v>15</v>
      </c>
    </row>
    <row r="172" ht="15.75" customHeight="1">
      <c r="A172" s="16">
        <v>44790.0</v>
      </c>
      <c r="B172" s="13" t="s">
        <v>391</v>
      </c>
      <c r="C172" s="13" t="s">
        <v>392</v>
      </c>
      <c r="D172" s="13" t="s">
        <v>14</v>
      </c>
      <c r="E172" s="13" t="s">
        <v>54</v>
      </c>
      <c r="F172" s="13">
        <v>2013.0</v>
      </c>
      <c r="G172" s="13">
        <v>25708.0</v>
      </c>
      <c r="H172" s="13">
        <v>2722.64</v>
      </c>
      <c r="I172" s="13">
        <f>' car_sales_data 1'!$G172*0.2</f>
        <v>5141.6</v>
      </c>
      <c r="J172" s="13" t="str">
        <f>TEXT(' car_sales_data 1'!$A172,"mmmm")</f>
        <v>August</v>
      </c>
      <c r="K172" s="13" t="str">
        <f>IF(' car_sales_data 1'!$G172&gt;40000,"Premium",
 IF(' car_sales_data 1'!$G172&gt;=20000,"Mid Range","Budget"))</f>
        <v>Mid Range</v>
      </c>
      <c r="L172" s="13">
        <f>YEAR(TODAY())-' car_sales_data 1'!$F172</f>
        <v>12</v>
      </c>
    </row>
    <row r="173" ht="15.75" customHeight="1">
      <c r="A173" s="16">
        <v>44749.0</v>
      </c>
      <c r="B173" s="13" t="s">
        <v>393</v>
      </c>
      <c r="C173" s="13" t="s">
        <v>394</v>
      </c>
      <c r="D173" s="13" t="s">
        <v>8</v>
      </c>
      <c r="E173" s="13" t="s">
        <v>62</v>
      </c>
      <c r="F173" s="13">
        <v>2016.0</v>
      </c>
      <c r="G173" s="13">
        <v>39844.0</v>
      </c>
      <c r="H173" s="13">
        <v>2655.17</v>
      </c>
      <c r="I173" s="13">
        <f>' car_sales_data 1'!$G173*0.2</f>
        <v>7968.8</v>
      </c>
      <c r="J173" s="13" t="str">
        <f>TEXT(' car_sales_data 1'!$A173,"mmmm")</f>
        <v>July</v>
      </c>
      <c r="K173" s="13" t="str">
        <f>IF(' car_sales_data 1'!$G173&gt;40000,"Premium",
 IF(' car_sales_data 1'!$G173&gt;=20000,"Mid Range","Budget"))</f>
        <v>Mid Range</v>
      </c>
      <c r="L173" s="13">
        <f>YEAR(TODAY())-' car_sales_data 1'!$F173</f>
        <v>9</v>
      </c>
    </row>
    <row r="174" ht="15.75" customHeight="1">
      <c r="A174" s="16">
        <v>44684.0</v>
      </c>
      <c r="B174" s="13" t="s">
        <v>395</v>
      </c>
      <c r="C174" s="13" t="s">
        <v>396</v>
      </c>
      <c r="D174" s="13" t="s">
        <v>8</v>
      </c>
      <c r="E174" s="13" t="s">
        <v>70</v>
      </c>
      <c r="F174" s="13">
        <v>2020.0</v>
      </c>
      <c r="G174" s="13">
        <v>34365.0</v>
      </c>
      <c r="H174" s="13">
        <v>2615.43</v>
      </c>
      <c r="I174" s="13">
        <f>' car_sales_data 1'!$G174*0.2</f>
        <v>6873</v>
      </c>
      <c r="J174" s="13" t="str">
        <f>TEXT(' car_sales_data 1'!$A174,"mmmm")</f>
        <v>May</v>
      </c>
      <c r="K174" s="13" t="str">
        <f>IF(' car_sales_data 1'!$G174&gt;40000,"Premium",
 IF(' car_sales_data 1'!$G174&gt;=20000,"Mid Range","Budget"))</f>
        <v>Mid Range</v>
      </c>
      <c r="L174" s="13">
        <f>YEAR(TODAY())-' car_sales_data 1'!$F174</f>
        <v>5</v>
      </c>
    </row>
    <row r="175" ht="15.75" customHeight="1">
      <c r="A175" s="16">
        <v>44830.0</v>
      </c>
      <c r="B175" s="13" t="s">
        <v>397</v>
      </c>
      <c r="C175" s="13" t="s">
        <v>398</v>
      </c>
      <c r="D175" s="13" t="s">
        <v>12</v>
      </c>
      <c r="E175" s="13" t="s">
        <v>54</v>
      </c>
      <c r="F175" s="13">
        <v>2010.0</v>
      </c>
      <c r="G175" s="13">
        <v>41626.0</v>
      </c>
      <c r="H175" s="13">
        <v>4940.66</v>
      </c>
      <c r="I175" s="13">
        <f>' car_sales_data 1'!$G175*0.2</f>
        <v>8325.2</v>
      </c>
      <c r="J175" s="13" t="str">
        <f>TEXT(' car_sales_data 1'!$A175,"mmmm")</f>
        <v>September</v>
      </c>
      <c r="K175" s="13" t="str">
        <f>IF(' car_sales_data 1'!$G175&gt;40000,"Premium",
 IF(' car_sales_data 1'!$G175&gt;=20000,"Mid Range","Budget"))</f>
        <v>Premium</v>
      </c>
      <c r="L175" s="13">
        <f>YEAR(TODAY())-' car_sales_data 1'!$F175</f>
        <v>15</v>
      </c>
    </row>
    <row r="176" ht="15.75" customHeight="1">
      <c r="A176" s="16">
        <v>44806.0</v>
      </c>
      <c r="B176" s="13" t="s">
        <v>399</v>
      </c>
      <c r="C176" s="13" t="s">
        <v>400</v>
      </c>
      <c r="D176" s="13" t="s">
        <v>6</v>
      </c>
      <c r="E176" s="13" t="s">
        <v>51</v>
      </c>
      <c r="F176" s="13">
        <v>2012.0</v>
      </c>
      <c r="G176" s="13">
        <v>37275.0</v>
      </c>
      <c r="H176" s="13">
        <v>2358.9</v>
      </c>
      <c r="I176" s="13">
        <f>' car_sales_data 1'!$G176*0.2</f>
        <v>7455</v>
      </c>
      <c r="J176" s="13" t="str">
        <f>TEXT(' car_sales_data 1'!$A176,"mmmm")</f>
        <v>September</v>
      </c>
      <c r="K176" s="13" t="str">
        <f>IF(' car_sales_data 1'!$G176&gt;40000,"Premium",
 IF(' car_sales_data 1'!$G176&gt;=20000,"Mid Range","Budget"))</f>
        <v>Mid Range</v>
      </c>
      <c r="L176" s="13">
        <f>YEAR(TODAY())-' car_sales_data 1'!$F176</f>
        <v>13</v>
      </c>
    </row>
    <row r="177" ht="15.75" customHeight="1">
      <c r="A177" s="16">
        <v>44913.0</v>
      </c>
      <c r="B177" s="13" t="s">
        <v>401</v>
      </c>
      <c r="C177" s="13" t="s">
        <v>402</v>
      </c>
      <c r="D177" s="13" t="s">
        <v>8</v>
      </c>
      <c r="E177" s="13" t="s">
        <v>51</v>
      </c>
      <c r="F177" s="13">
        <v>2018.0</v>
      </c>
      <c r="G177" s="13">
        <v>15427.0</v>
      </c>
      <c r="H177" s="13">
        <v>1246.25</v>
      </c>
      <c r="I177" s="13">
        <f>' car_sales_data 1'!$G177*0.2</f>
        <v>3085.4</v>
      </c>
      <c r="J177" s="13" t="str">
        <f>TEXT(' car_sales_data 1'!$A177,"mmmm")</f>
        <v>December</v>
      </c>
      <c r="K177" s="13" t="str">
        <f>IF(' car_sales_data 1'!$G177&gt;40000,"Premium",
 IF(' car_sales_data 1'!$G177&gt;=20000,"Mid Range","Budget"))</f>
        <v>Budget</v>
      </c>
      <c r="L177" s="13">
        <f>YEAR(TODAY())-' car_sales_data 1'!$F177</f>
        <v>7</v>
      </c>
    </row>
    <row r="178" ht="15.75" customHeight="1">
      <c r="A178" s="16">
        <v>44709.0</v>
      </c>
      <c r="B178" s="13" t="s">
        <v>403</v>
      </c>
      <c r="C178" s="13" t="s">
        <v>404</v>
      </c>
      <c r="D178" s="13" t="s">
        <v>10</v>
      </c>
      <c r="E178" s="13" t="s">
        <v>62</v>
      </c>
      <c r="F178" s="13">
        <v>2018.0</v>
      </c>
      <c r="G178" s="13">
        <v>22897.0</v>
      </c>
      <c r="H178" s="13">
        <v>1804.84</v>
      </c>
      <c r="I178" s="13">
        <f>' car_sales_data 1'!$G178*0.2</f>
        <v>4579.4</v>
      </c>
      <c r="J178" s="13" t="str">
        <f>TEXT(' car_sales_data 1'!$A178,"mmmm")</f>
        <v>May</v>
      </c>
      <c r="K178" s="13" t="str">
        <f>IF(' car_sales_data 1'!$G178&gt;40000,"Premium",
 IF(' car_sales_data 1'!$G178&gt;=20000,"Mid Range","Budget"))</f>
        <v>Mid Range</v>
      </c>
      <c r="L178" s="13">
        <f>YEAR(TODAY())-' car_sales_data 1'!$F178</f>
        <v>7</v>
      </c>
    </row>
    <row r="179" ht="15.75" customHeight="1">
      <c r="A179" s="16">
        <v>45012.0</v>
      </c>
      <c r="B179" s="13" t="s">
        <v>405</v>
      </c>
      <c r="C179" s="13" t="s">
        <v>406</v>
      </c>
      <c r="D179" s="13" t="s">
        <v>8</v>
      </c>
      <c r="E179" s="13" t="s">
        <v>51</v>
      </c>
      <c r="F179" s="13">
        <v>2021.0</v>
      </c>
      <c r="G179" s="13">
        <v>33210.0</v>
      </c>
      <c r="H179" s="13">
        <v>2721.92</v>
      </c>
      <c r="I179" s="13">
        <f>' car_sales_data 1'!$G179*0.2</f>
        <v>6642</v>
      </c>
      <c r="J179" s="13" t="str">
        <f>TEXT(' car_sales_data 1'!$A179,"mmmm")</f>
        <v>March</v>
      </c>
      <c r="K179" s="13" t="str">
        <f>IF(' car_sales_data 1'!$G179&gt;40000,"Premium",
 IF(' car_sales_data 1'!$G179&gt;=20000,"Mid Range","Budget"))</f>
        <v>Mid Range</v>
      </c>
      <c r="L179" s="13">
        <f>YEAR(TODAY())-' car_sales_data 1'!$F179</f>
        <v>4</v>
      </c>
    </row>
    <row r="180" ht="15.75" customHeight="1">
      <c r="A180" s="16">
        <v>44919.0</v>
      </c>
      <c r="B180" s="13" t="s">
        <v>407</v>
      </c>
      <c r="C180" s="13" t="s">
        <v>408</v>
      </c>
      <c r="D180" s="13" t="s">
        <v>10</v>
      </c>
      <c r="E180" s="13" t="s">
        <v>54</v>
      </c>
      <c r="F180" s="13">
        <v>2015.0</v>
      </c>
      <c r="G180" s="13">
        <v>38133.0</v>
      </c>
      <c r="H180" s="13">
        <v>3782.71</v>
      </c>
      <c r="I180" s="13">
        <f>' car_sales_data 1'!$G180*0.2</f>
        <v>7626.6</v>
      </c>
      <c r="J180" s="13" t="str">
        <f>TEXT(' car_sales_data 1'!$A180,"mmmm")</f>
        <v>December</v>
      </c>
      <c r="K180" s="13" t="str">
        <f>IF(' car_sales_data 1'!$G180&gt;40000,"Premium",
 IF(' car_sales_data 1'!$G180&gt;=20000,"Mid Range","Budget"))</f>
        <v>Mid Range</v>
      </c>
      <c r="L180" s="13">
        <f>YEAR(TODAY())-' car_sales_data 1'!$F180</f>
        <v>10</v>
      </c>
    </row>
    <row r="181" ht="15.75" customHeight="1">
      <c r="A181" s="16">
        <v>44816.0</v>
      </c>
      <c r="B181" s="13" t="s">
        <v>409</v>
      </c>
      <c r="C181" s="13" t="s">
        <v>410</v>
      </c>
      <c r="D181" s="13" t="s">
        <v>10</v>
      </c>
      <c r="E181" s="13" t="s">
        <v>54</v>
      </c>
      <c r="F181" s="13">
        <v>2014.0</v>
      </c>
      <c r="G181" s="13">
        <v>49261.0</v>
      </c>
      <c r="H181" s="13">
        <v>5184.17</v>
      </c>
      <c r="I181" s="13">
        <f>' car_sales_data 1'!$G181*0.2</f>
        <v>9852.2</v>
      </c>
      <c r="J181" s="13" t="str">
        <f>TEXT(' car_sales_data 1'!$A181,"mmmm")</f>
        <v>September</v>
      </c>
      <c r="K181" s="13" t="str">
        <f>IF(' car_sales_data 1'!$G181&gt;40000,"Premium",
 IF(' car_sales_data 1'!$G181&gt;=20000,"Mid Range","Budget"))</f>
        <v>Premium</v>
      </c>
      <c r="L181" s="13">
        <f>YEAR(TODAY())-' car_sales_data 1'!$F181</f>
        <v>11</v>
      </c>
    </row>
    <row r="182" ht="15.75" customHeight="1">
      <c r="A182" s="16">
        <v>44809.0</v>
      </c>
      <c r="B182" s="13" t="s">
        <v>411</v>
      </c>
      <c r="C182" s="13" t="s">
        <v>412</v>
      </c>
      <c r="D182" s="13" t="s">
        <v>8</v>
      </c>
      <c r="E182" s="13" t="s">
        <v>51</v>
      </c>
      <c r="F182" s="13">
        <v>2016.0</v>
      </c>
      <c r="G182" s="13">
        <v>13572.0</v>
      </c>
      <c r="H182" s="13">
        <v>937.32</v>
      </c>
      <c r="I182" s="13">
        <f>' car_sales_data 1'!$G182*0.2</f>
        <v>2714.4</v>
      </c>
      <c r="J182" s="13" t="str">
        <f>TEXT(' car_sales_data 1'!$A182,"mmmm")</f>
        <v>September</v>
      </c>
      <c r="K182" s="13" t="str">
        <f>IF(' car_sales_data 1'!$G182&gt;40000,"Premium",
 IF(' car_sales_data 1'!$G182&gt;=20000,"Mid Range","Budget"))</f>
        <v>Budget</v>
      </c>
      <c r="L182" s="13">
        <f>YEAR(TODAY())-' car_sales_data 1'!$F182</f>
        <v>9</v>
      </c>
    </row>
    <row r="183" ht="15.75" customHeight="1">
      <c r="A183" s="16">
        <v>44948.0</v>
      </c>
      <c r="B183" s="13" t="s">
        <v>413</v>
      </c>
      <c r="C183" s="13" t="s">
        <v>414</v>
      </c>
      <c r="D183" s="13" t="s">
        <v>8</v>
      </c>
      <c r="E183" s="13" t="s">
        <v>57</v>
      </c>
      <c r="F183" s="13">
        <v>2019.0</v>
      </c>
      <c r="G183" s="13">
        <v>20795.0</v>
      </c>
      <c r="H183" s="13">
        <v>2516.96</v>
      </c>
      <c r="I183" s="13">
        <f>' car_sales_data 1'!$G183*0.2</f>
        <v>4159</v>
      </c>
      <c r="J183" s="13" t="str">
        <f>TEXT(' car_sales_data 1'!$A183,"mmmm")</f>
        <v>January</v>
      </c>
      <c r="K183" s="13" t="str">
        <f>IF(' car_sales_data 1'!$G183&gt;40000,"Premium",
 IF(' car_sales_data 1'!$G183&gt;=20000,"Mid Range","Budget"))</f>
        <v>Mid Range</v>
      </c>
      <c r="L183" s="13">
        <f>YEAR(TODAY())-' car_sales_data 1'!$F183</f>
        <v>6</v>
      </c>
    </row>
    <row r="184" ht="15.75" customHeight="1">
      <c r="A184" s="16">
        <v>44832.0</v>
      </c>
      <c r="B184" s="13" t="s">
        <v>415</v>
      </c>
      <c r="C184" s="13" t="s">
        <v>416</v>
      </c>
      <c r="D184" s="13" t="s">
        <v>8</v>
      </c>
      <c r="E184" s="13" t="s">
        <v>70</v>
      </c>
      <c r="F184" s="13">
        <v>2018.0</v>
      </c>
      <c r="G184" s="13">
        <v>32490.0</v>
      </c>
      <c r="H184" s="13">
        <v>2281.38</v>
      </c>
      <c r="I184" s="13">
        <f>' car_sales_data 1'!$G184*0.2</f>
        <v>6498</v>
      </c>
      <c r="J184" s="13" t="str">
        <f>TEXT(' car_sales_data 1'!$A184,"mmmm")</f>
        <v>September</v>
      </c>
      <c r="K184" s="13" t="str">
        <f>IF(' car_sales_data 1'!$G184&gt;40000,"Premium",
 IF(' car_sales_data 1'!$G184&gt;=20000,"Mid Range","Budget"))</f>
        <v>Mid Range</v>
      </c>
      <c r="L184" s="13">
        <f>YEAR(TODAY())-' car_sales_data 1'!$F184</f>
        <v>7</v>
      </c>
    </row>
    <row r="185" ht="15.75" customHeight="1">
      <c r="A185" s="16">
        <v>44976.0</v>
      </c>
      <c r="B185" s="13" t="s">
        <v>417</v>
      </c>
      <c r="C185" s="13" t="s">
        <v>418</v>
      </c>
      <c r="D185" s="13" t="s">
        <v>14</v>
      </c>
      <c r="E185" s="13" t="s">
        <v>54</v>
      </c>
      <c r="F185" s="13">
        <v>2016.0</v>
      </c>
      <c r="G185" s="13">
        <v>16150.0</v>
      </c>
      <c r="H185" s="13">
        <v>1745.12</v>
      </c>
      <c r="I185" s="13">
        <f>' car_sales_data 1'!$G185*0.2</f>
        <v>3230</v>
      </c>
      <c r="J185" s="13" t="str">
        <f>TEXT(' car_sales_data 1'!$A185,"mmmm")</f>
        <v>February</v>
      </c>
      <c r="K185" s="13" t="str">
        <f>IF(' car_sales_data 1'!$G185&gt;40000,"Premium",
 IF(' car_sales_data 1'!$G185&gt;=20000,"Mid Range","Budget"))</f>
        <v>Budget</v>
      </c>
      <c r="L185" s="13">
        <f>YEAR(TODAY())-' car_sales_data 1'!$F185</f>
        <v>9</v>
      </c>
    </row>
    <row r="186" ht="15.75" customHeight="1">
      <c r="A186" s="16">
        <v>44856.0</v>
      </c>
      <c r="B186" s="13" t="s">
        <v>419</v>
      </c>
      <c r="C186" s="13" t="s">
        <v>420</v>
      </c>
      <c r="D186" s="13" t="s">
        <v>8</v>
      </c>
      <c r="E186" s="13" t="s">
        <v>62</v>
      </c>
      <c r="F186" s="13">
        <v>2011.0</v>
      </c>
      <c r="G186" s="13">
        <v>27218.0</v>
      </c>
      <c r="H186" s="13">
        <v>1458.62</v>
      </c>
      <c r="I186" s="13">
        <f>' car_sales_data 1'!$G186*0.2</f>
        <v>5443.6</v>
      </c>
      <c r="J186" s="13" t="str">
        <f>TEXT(' car_sales_data 1'!$A186,"mmmm")</f>
        <v>October</v>
      </c>
      <c r="K186" s="13" t="str">
        <f>IF(' car_sales_data 1'!$G186&gt;40000,"Premium",
 IF(' car_sales_data 1'!$G186&gt;=20000,"Mid Range","Budget"))</f>
        <v>Mid Range</v>
      </c>
      <c r="L186" s="13">
        <f>YEAR(TODAY())-' car_sales_data 1'!$F186</f>
        <v>14</v>
      </c>
    </row>
    <row r="187" ht="15.75" customHeight="1">
      <c r="A187" s="16">
        <v>44779.0</v>
      </c>
      <c r="B187" s="13" t="s">
        <v>421</v>
      </c>
      <c r="C187" s="13" t="s">
        <v>422</v>
      </c>
      <c r="D187" s="13" t="s">
        <v>10</v>
      </c>
      <c r="E187" s="13" t="s">
        <v>54</v>
      </c>
      <c r="F187" s="13">
        <v>2021.0</v>
      </c>
      <c r="G187" s="13">
        <v>28765.0</v>
      </c>
      <c r="H187" s="13">
        <v>1846.8</v>
      </c>
      <c r="I187" s="13">
        <f>' car_sales_data 1'!$G187*0.2</f>
        <v>5753</v>
      </c>
      <c r="J187" s="13" t="str">
        <f>TEXT(' car_sales_data 1'!$A187,"mmmm")</f>
        <v>August</v>
      </c>
      <c r="K187" s="13" t="str">
        <f>IF(' car_sales_data 1'!$G187&gt;40000,"Premium",
 IF(' car_sales_data 1'!$G187&gt;=20000,"Mid Range","Budget"))</f>
        <v>Mid Range</v>
      </c>
      <c r="L187" s="13">
        <f>YEAR(TODAY())-' car_sales_data 1'!$F187</f>
        <v>4</v>
      </c>
    </row>
    <row r="188" ht="15.75" customHeight="1">
      <c r="A188" s="16">
        <v>44961.0</v>
      </c>
      <c r="B188" s="13" t="s">
        <v>423</v>
      </c>
      <c r="C188" s="13" t="s">
        <v>424</v>
      </c>
      <c r="D188" s="13" t="s">
        <v>6</v>
      </c>
      <c r="E188" s="13" t="s">
        <v>54</v>
      </c>
      <c r="F188" s="13">
        <v>2020.0</v>
      </c>
      <c r="G188" s="13">
        <v>48884.0</v>
      </c>
      <c r="H188" s="13">
        <v>3084.34</v>
      </c>
      <c r="I188" s="13">
        <f>' car_sales_data 1'!$G188*0.2</f>
        <v>9776.8</v>
      </c>
      <c r="J188" s="13" t="str">
        <f>TEXT(' car_sales_data 1'!$A188,"mmmm")</f>
        <v>February</v>
      </c>
      <c r="K188" s="13" t="str">
        <f>IF(' car_sales_data 1'!$G188&gt;40000,"Premium",
 IF(' car_sales_data 1'!$G188&gt;=20000,"Mid Range","Budget"))</f>
        <v>Premium</v>
      </c>
      <c r="L188" s="13">
        <f>YEAR(TODAY())-' car_sales_data 1'!$F188</f>
        <v>5</v>
      </c>
    </row>
    <row r="189" ht="15.75" customHeight="1">
      <c r="A189" s="16">
        <v>44950.0</v>
      </c>
      <c r="B189" s="13" t="s">
        <v>425</v>
      </c>
      <c r="C189" s="13" t="s">
        <v>426</v>
      </c>
      <c r="D189" s="13" t="s">
        <v>12</v>
      </c>
      <c r="E189" s="13" t="s">
        <v>70</v>
      </c>
      <c r="F189" s="13">
        <v>2020.0</v>
      </c>
      <c r="G189" s="13">
        <v>42405.0</v>
      </c>
      <c r="H189" s="13">
        <v>4126.73</v>
      </c>
      <c r="I189" s="13">
        <f>' car_sales_data 1'!$G189*0.2</f>
        <v>8481</v>
      </c>
      <c r="J189" s="13" t="str">
        <f>TEXT(' car_sales_data 1'!$A189,"mmmm")</f>
        <v>January</v>
      </c>
      <c r="K189" s="13" t="str">
        <f>IF(' car_sales_data 1'!$G189&gt;40000,"Premium",
 IF(' car_sales_data 1'!$G189&gt;=20000,"Mid Range","Budget"))</f>
        <v>Premium</v>
      </c>
      <c r="L189" s="13">
        <f>YEAR(TODAY())-' car_sales_data 1'!$F189</f>
        <v>5</v>
      </c>
    </row>
    <row r="190" ht="15.75" customHeight="1">
      <c r="A190" s="16">
        <v>45041.0</v>
      </c>
      <c r="B190" s="13" t="s">
        <v>427</v>
      </c>
      <c r="C190" s="13" t="s">
        <v>428</v>
      </c>
      <c r="D190" s="13" t="s">
        <v>14</v>
      </c>
      <c r="E190" s="13" t="s">
        <v>62</v>
      </c>
      <c r="F190" s="13">
        <v>2017.0</v>
      </c>
      <c r="G190" s="13">
        <v>39713.0</v>
      </c>
      <c r="H190" s="13">
        <v>3017.62</v>
      </c>
      <c r="I190" s="13">
        <f>' car_sales_data 1'!$G190*0.2</f>
        <v>7942.6</v>
      </c>
      <c r="J190" s="13" t="str">
        <f>TEXT(' car_sales_data 1'!$A190,"mmmm")</f>
        <v>April</v>
      </c>
      <c r="K190" s="13" t="str">
        <f>IF(' car_sales_data 1'!$G190&gt;40000,"Premium",
 IF(' car_sales_data 1'!$G190&gt;=20000,"Mid Range","Budget"))</f>
        <v>Mid Range</v>
      </c>
      <c r="L190" s="13">
        <f>YEAR(TODAY())-' car_sales_data 1'!$F190</f>
        <v>8</v>
      </c>
    </row>
    <row r="191" ht="15.75" customHeight="1">
      <c r="A191" s="16">
        <v>44693.0</v>
      </c>
      <c r="B191" s="13" t="s">
        <v>429</v>
      </c>
      <c r="C191" s="13" t="s">
        <v>430</v>
      </c>
      <c r="D191" s="13" t="s">
        <v>8</v>
      </c>
      <c r="E191" s="13" t="s">
        <v>51</v>
      </c>
      <c r="F191" s="13">
        <v>2016.0</v>
      </c>
      <c r="G191" s="13">
        <v>29570.0</v>
      </c>
      <c r="H191" s="13">
        <v>4335.38</v>
      </c>
      <c r="I191" s="13">
        <f>' car_sales_data 1'!$G191*0.2</f>
        <v>5914</v>
      </c>
      <c r="J191" s="13" t="str">
        <f>TEXT(' car_sales_data 1'!$A191,"mmmm")</f>
        <v>May</v>
      </c>
      <c r="K191" s="13" t="str">
        <f>IF(' car_sales_data 1'!$G191&gt;40000,"Premium",
 IF(' car_sales_data 1'!$G191&gt;=20000,"Mid Range","Budget"))</f>
        <v>Mid Range</v>
      </c>
      <c r="L191" s="13">
        <f>YEAR(TODAY())-' car_sales_data 1'!$F191</f>
        <v>9</v>
      </c>
    </row>
    <row r="192" ht="15.75" customHeight="1">
      <c r="A192" s="16">
        <v>44961.0</v>
      </c>
      <c r="B192" s="13" t="s">
        <v>431</v>
      </c>
      <c r="C192" s="13" t="s">
        <v>432</v>
      </c>
      <c r="D192" s="13" t="s">
        <v>6</v>
      </c>
      <c r="E192" s="13" t="s">
        <v>62</v>
      </c>
      <c r="F192" s="13">
        <v>2011.0</v>
      </c>
      <c r="G192" s="13">
        <v>39825.0</v>
      </c>
      <c r="H192" s="13">
        <v>3892.27</v>
      </c>
      <c r="I192" s="13">
        <f>' car_sales_data 1'!$G192*0.2</f>
        <v>7965</v>
      </c>
      <c r="J192" s="13" t="str">
        <f>TEXT(' car_sales_data 1'!$A192,"mmmm")</f>
        <v>February</v>
      </c>
      <c r="K192" s="13" t="str">
        <f>IF(' car_sales_data 1'!$G192&gt;40000,"Premium",
 IF(' car_sales_data 1'!$G192&gt;=20000,"Mid Range","Budget"))</f>
        <v>Mid Range</v>
      </c>
      <c r="L192" s="13">
        <f>YEAR(TODAY())-' car_sales_data 1'!$F192</f>
        <v>14</v>
      </c>
    </row>
    <row r="193" ht="15.75" customHeight="1">
      <c r="A193" s="16">
        <v>44781.0</v>
      </c>
      <c r="B193" s="13" t="s">
        <v>433</v>
      </c>
      <c r="C193" s="13" t="s">
        <v>434</v>
      </c>
      <c r="D193" s="13" t="s">
        <v>6</v>
      </c>
      <c r="E193" s="13" t="s">
        <v>62</v>
      </c>
      <c r="F193" s="13">
        <v>2016.0</v>
      </c>
      <c r="G193" s="13">
        <v>27785.0</v>
      </c>
      <c r="H193" s="13">
        <v>3889.05</v>
      </c>
      <c r="I193" s="13">
        <f>' car_sales_data 1'!$G193*0.2</f>
        <v>5557</v>
      </c>
      <c r="J193" s="13" t="str">
        <f>TEXT(' car_sales_data 1'!$A193,"mmmm")</f>
        <v>August</v>
      </c>
      <c r="K193" s="13" t="str">
        <f>IF(' car_sales_data 1'!$G193&gt;40000,"Premium",
 IF(' car_sales_data 1'!$G193&gt;=20000,"Mid Range","Budget"))</f>
        <v>Mid Range</v>
      </c>
      <c r="L193" s="13">
        <f>YEAR(TODAY())-' car_sales_data 1'!$F193</f>
        <v>9</v>
      </c>
    </row>
    <row r="194" ht="15.75" customHeight="1">
      <c r="A194" s="16">
        <v>44864.0</v>
      </c>
      <c r="B194" s="13" t="s">
        <v>435</v>
      </c>
      <c r="C194" s="13" t="s">
        <v>436</v>
      </c>
      <c r="D194" s="13" t="s">
        <v>10</v>
      </c>
      <c r="E194" s="13" t="s">
        <v>62</v>
      </c>
      <c r="F194" s="13">
        <v>2022.0</v>
      </c>
      <c r="G194" s="13">
        <v>39291.0</v>
      </c>
      <c r="H194" s="13">
        <v>3448.44</v>
      </c>
      <c r="I194" s="13">
        <f>' car_sales_data 1'!$G194*0.2</f>
        <v>7858.2</v>
      </c>
      <c r="J194" s="13" t="str">
        <f>TEXT(' car_sales_data 1'!$A194,"mmmm")</f>
        <v>October</v>
      </c>
      <c r="K194" s="13" t="str">
        <f>IF(' car_sales_data 1'!$G194&gt;40000,"Premium",
 IF(' car_sales_data 1'!$G194&gt;=20000,"Mid Range","Budget"))</f>
        <v>Mid Range</v>
      </c>
      <c r="L194" s="13">
        <f>YEAR(TODAY())-' car_sales_data 1'!$F194</f>
        <v>3</v>
      </c>
    </row>
    <row r="195" ht="15.75" customHeight="1">
      <c r="A195" s="16">
        <v>44900.0</v>
      </c>
      <c r="B195" s="13" t="s">
        <v>437</v>
      </c>
      <c r="C195" s="13" t="s">
        <v>438</v>
      </c>
      <c r="D195" s="13" t="s">
        <v>12</v>
      </c>
      <c r="E195" s="13" t="s">
        <v>57</v>
      </c>
      <c r="F195" s="13">
        <v>2020.0</v>
      </c>
      <c r="G195" s="13">
        <v>45878.0</v>
      </c>
      <c r="H195" s="13">
        <v>5398.88</v>
      </c>
      <c r="I195" s="13">
        <f>' car_sales_data 1'!$G195*0.2</f>
        <v>9175.6</v>
      </c>
      <c r="J195" s="13" t="str">
        <f>TEXT(' car_sales_data 1'!$A195,"mmmm")</f>
        <v>December</v>
      </c>
      <c r="K195" s="13" t="str">
        <f>IF(' car_sales_data 1'!$G195&gt;40000,"Premium",
 IF(' car_sales_data 1'!$G195&gt;=20000,"Mid Range","Budget"))</f>
        <v>Premium</v>
      </c>
      <c r="L195" s="13">
        <f>YEAR(TODAY())-' car_sales_data 1'!$F195</f>
        <v>5</v>
      </c>
    </row>
    <row r="196" ht="15.75" customHeight="1">
      <c r="A196" s="16">
        <v>44729.0</v>
      </c>
      <c r="B196" s="13" t="s">
        <v>439</v>
      </c>
      <c r="C196" s="13" t="s">
        <v>440</v>
      </c>
      <c r="D196" s="13" t="s">
        <v>14</v>
      </c>
      <c r="E196" s="13" t="s">
        <v>54</v>
      </c>
      <c r="F196" s="13">
        <v>2015.0</v>
      </c>
      <c r="G196" s="13">
        <v>26838.0</v>
      </c>
      <c r="H196" s="13">
        <v>1572.2</v>
      </c>
      <c r="I196" s="13">
        <f>' car_sales_data 1'!$G196*0.2</f>
        <v>5367.6</v>
      </c>
      <c r="J196" s="13" t="str">
        <f>TEXT(' car_sales_data 1'!$A196,"mmmm")</f>
        <v>June</v>
      </c>
      <c r="K196" s="13" t="str">
        <f>IF(' car_sales_data 1'!$G196&gt;40000,"Premium",
 IF(' car_sales_data 1'!$G196&gt;=20000,"Mid Range","Budget"))</f>
        <v>Mid Range</v>
      </c>
      <c r="L196" s="13">
        <f>YEAR(TODAY())-' car_sales_data 1'!$F196</f>
        <v>10</v>
      </c>
    </row>
    <row r="197" ht="15.75" customHeight="1">
      <c r="A197" s="16">
        <v>44833.0</v>
      </c>
      <c r="B197" s="13" t="s">
        <v>441</v>
      </c>
      <c r="C197" s="13" t="s">
        <v>442</v>
      </c>
      <c r="D197" s="13" t="s">
        <v>6</v>
      </c>
      <c r="E197" s="13" t="s">
        <v>51</v>
      </c>
      <c r="F197" s="13">
        <v>2011.0</v>
      </c>
      <c r="G197" s="13">
        <v>46924.0</v>
      </c>
      <c r="H197" s="13">
        <v>5211.69</v>
      </c>
      <c r="I197" s="13">
        <f>' car_sales_data 1'!$G197*0.2</f>
        <v>9384.8</v>
      </c>
      <c r="J197" s="13" t="str">
        <f>TEXT(' car_sales_data 1'!$A197,"mmmm")</f>
        <v>September</v>
      </c>
      <c r="K197" s="13" t="str">
        <f>IF(' car_sales_data 1'!$G197&gt;40000,"Premium",
 IF(' car_sales_data 1'!$G197&gt;=20000,"Mid Range","Budget"))</f>
        <v>Premium</v>
      </c>
      <c r="L197" s="13">
        <f>YEAR(TODAY())-' car_sales_data 1'!$F197</f>
        <v>14</v>
      </c>
    </row>
    <row r="198" ht="15.75" customHeight="1">
      <c r="A198" s="16">
        <v>45006.0</v>
      </c>
      <c r="B198" s="13" t="s">
        <v>443</v>
      </c>
      <c r="C198" s="13" t="s">
        <v>444</v>
      </c>
      <c r="D198" s="13" t="s">
        <v>8</v>
      </c>
      <c r="E198" s="13" t="s">
        <v>70</v>
      </c>
      <c r="F198" s="13">
        <v>2020.0</v>
      </c>
      <c r="G198" s="13">
        <v>47651.0</v>
      </c>
      <c r="H198" s="13">
        <v>2588.74</v>
      </c>
      <c r="I198" s="13">
        <f>' car_sales_data 1'!$G198*0.2</f>
        <v>9530.2</v>
      </c>
      <c r="J198" s="13" t="str">
        <f>TEXT(' car_sales_data 1'!$A198,"mmmm")</f>
        <v>March</v>
      </c>
      <c r="K198" s="13" t="str">
        <f>IF(' car_sales_data 1'!$G198&gt;40000,"Premium",
 IF(' car_sales_data 1'!$G198&gt;=20000,"Mid Range","Budget"))</f>
        <v>Premium</v>
      </c>
      <c r="L198" s="13">
        <f>YEAR(TODAY())-' car_sales_data 1'!$F198</f>
        <v>5</v>
      </c>
    </row>
    <row r="199" ht="15.75" customHeight="1">
      <c r="A199" s="16">
        <v>44826.0</v>
      </c>
      <c r="B199" s="13" t="s">
        <v>445</v>
      </c>
      <c r="C199" s="13" t="s">
        <v>446</v>
      </c>
      <c r="D199" s="13" t="s">
        <v>12</v>
      </c>
      <c r="E199" s="13" t="s">
        <v>70</v>
      </c>
      <c r="F199" s="13">
        <v>2013.0</v>
      </c>
      <c r="G199" s="13">
        <v>14458.0</v>
      </c>
      <c r="H199" s="13">
        <v>1667.15</v>
      </c>
      <c r="I199" s="13">
        <f>' car_sales_data 1'!$G199*0.2</f>
        <v>2891.6</v>
      </c>
      <c r="J199" s="13" t="str">
        <f>TEXT(' car_sales_data 1'!$A199,"mmmm")</f>
        <v>September</v>
      </c>
      <c r="K199" s="13" t="str">
        <f>IF(' car_sales_data 1'!$G199&gt;40000,"Premium",
 IF(' car_sales_data 1'!$G199&gt;=20000,"Mid Range","Budget"))</f>
        <v>Budget</v>
      </c>
      <c r="L199" s="13">
        <f>YEAR(TODAY())-' car_sales_data 1'!$F199</f>
        <v>12</v>
      </c>
    </row>
    <row r="200" ht="15.75" customHeight="1">
      <c r="A200" s="16">
        <v>44922.0</v>
      </c>
      <c r="B200" s="13" t="s">
        <v>447</v>
      </c>
      <c r="C200" s="13" t="s">
        <v>448</v>
      </c>
      <c r="D200" s="13" t="s">
        <v>6</v>
      </c>
      <c r="E200" s="13" t="s">
        <v>70</v>
      </c>
      <c r="F200" s="13">
        <v>2017.0</v>
      </c>
      <c r="G200" s="13">
        <v>30993.0</v>
      </c>
      <c r="H200" s="13">
        <v>4582.69</v>
      </c>
      <c r="I200" s="13">
        <f>' car_sales_data 1'!$G200*0.2</f>
        <v>6198.6</v>
      </c>
      <c r="J200" s="13" t="str">
        <f>TEXT(' car_sales_data 1'!$A200,"mmmm")</f>
        <v>December</v>
      </c>
      <c r="K200" s="13" t="str">
        <f>IF(' car_sales_data 1'!$G200&gt;40000,"Premium",
 IF(' car_sales_data 1'!$G200&gt;=20000,"Mid Range","Budget"))</f>
        <v>Mid Range</v>
      </c>
      <c r="L200" s="13">
        <f>YEAR(TODAY())-' car_sales_data 1'!$F200</f>
        <v>8</v>
      </c>
    </row>
    <row r="201" ht="15.75" customHeight="1">
      <c r="A201" s="16">
        <v>44823.0</v>
      </c>
      <c r="B201" s="13" t="s">
        <v>449</v>
      </c>
      <c r="C201" s="13" t="s">
        <v>450</v>
      </c>
      <c r="D201" s="13" t="s">
        <v>6</v>
      </c>
      <c r="E201" s="13" t="s">
        <v>54</v>
      </c>
      <c r="F201" s="13">
        <v>2014.0</v>
      </c>
      <c r="G201" s="13">
        <v>15844.0</v>
      </c>
      <c r="H201" s="13">
        <v>1046.26</v>
      </c>
      <c r="I201" s="13">
        <f>' car_sales_data 1'!$G201*0.2</f>
        <v>3168.8</v>
      </c>
      <c r="J201" s="13" t="str">
        <f>TEXT(' car_sales_data 1'!$A201,"mmmm")</f>
        <v>September</v>
      </c>
      <c r="K201" s="13" t="str">
        <f>IF(' car_sales_data 1'!$G201&gt;40000,"Premium",
 IF(' car_sales_data 1'!$G201&gt;=20000,"Mid Range","Budget"))</f>
        <v>Budget</v>
      </c>
      <c r="L201" s="13">
        <f>YEAR(TODAY())-' car_sales_data 1'!$F201</f>
        <v>11</v>
      </c>
    </row>
    <row r="202" ht="15.75" customHeight="1">
      <c r="A202" s="16">
        <v>44759.0</v>
      </c>
      <c r="B202" s="13" t="s">
        <v>451</v>
      </c>
      <c r="C202" s="13" t="s">
        <v>452</v>
      </c>
      <c r="D202" s="13" t="s">
        <v>14</v>
      </c>
      <c r="E202" s="13" t="s">
        <v>62</v>
      </c>
      <c r="F202" s="13">
        <v>2014.0</v>
      </c>
      <c r="G202" s="13">
        <v>36828.0</v>
      </c>
      <c r="H202" s="13">
        <v>4839.15</v>
      </c>
      <c r="I202" s="13">
        <f>' car_sales_data 1'!$G202*0.2</f>
        <v>7365.6</v>
      </c>
      <c r="J202" s="13" t="str">
        <f>TEXT(' car_sales_data 1'!$A202,"mmmm")</f>
        <v>July</v>
      </c>
      <c r="K202" s="13" t="str">
        <f>IF(' car_sales_data 1'!$G202&gt;40000,"Premium",
 IF(' car_sales_data 1'!$G202&gt;=20000,"Mid Range","Budget"))</f>
        <v>Mid Range</v>
      </c>
      <c r="L202" s="13">
        <f>YEAR(TODAY())-' car_sales_data 1'!$F202</f>
        <v>11</v>
      </c>
    </row>
    <row r="203" ht="15.75" customHeight="1">
      <c r="A203" s="16">
        <v>44779.0</v>
      </c>
      <c r="B203" s="13" t="s">
        <v>453</v>
      </c>
      <c r="C203" s="13" t="s">
        <v>454</v>
      </c>
      <c r="D203" s="13" t="s">
        <v>14</v>
      </c>
      <c r="E203" s="13" t="s">
        <v>51</v>
      </c>
      <c r="F203" s="13">
        <v>2022.0</v>
      </c>
      <c r="G203" s="13">
        <v>30713.0</v>
      </c>
      <c r="H203" s="13">
        <v>3477.49</v>
      </c>
      <c r="I203" s="13">
        <f>' car_sales_data 1'!$G203*0.2</f>
        <v>6142.6</v>
      </c>
      <c r="J203" s="13" t="str">
        <f>TEXT(' car_sales_data 1'!$A203,"mmmm")</f>
        <v>August</v>
      </c>
      <c r="K203" s="13" t="str">
        <f>IF(' car_sales_data 1'!$G203&gt;40000,"Premium",
 IF(' car_sales_data 1'!$G203&gt;=20000,"Mid Range","Budget"))</f>
        <v>Mid Range</v>
      </c>
      <c r="L203" s="13">
        <f>YEAR(TODAY())-' car_sales_data 1'!$F203</f>
        <v>3</v>
      </c>
    </row>
    <row r="204" ht="15.75" customHeight="1">
      <c r="A204" s="16">
        <v>44813.0</v>
      </c>
      <c r="B204" s="13" t="s">
        <v>455</v>
      </c>
      <c r="C204" s="13" t="s">
        <v>456</v>
      </c>
      <c r="D204" s="13" t="s">
        <v>6</v>
      </c>
      <c r="E204" s="13" t="s">
        <v>54</v>
      </c>
      <c r="F204" s="13">
        <v>2015.0</v>
      </c>
      <c r="G204" s="13">
        <v>44518.0</v>
      </c>
      <c r="H204" s="13">
        <v>5811.0</v>
      </c>
      <c r="I204" s="13">
        <f>' car_sales_data 1'!$G204*0.2</f>
        <v>8903.6</v>
      </c>
      <c r="J204" s="13" t="str">
        <f>TEXT(' car_sales_data 1'!$A204,"mmmm")</f>
        <v>September</v>
      </c>
      <c r="K204" s="13" t="str">
        <f>IF(' car_sales_data 1'!$G204&gt;40000,"Premium",
 IF(' car_sales_data 1'!$G204&gt;=20000,"Mid Range","Budget"))</f>
        <v>Premium</v>
      </c>
      <c r="L204" s="13">
        <f>YEAR(TODAY())-' car_sales_data 1'!$F204</f>
        <v>10</v>
      </c>
    </row>
    <row r="205" ht="15.75" customHeight="1">
      <c r="A205" s="16">
        <v>45011.0</v>
      </c>
      <c r="B205" s="13" t="s">
        <v>457</v>
      </c>
      <c r="C205" s="13" t="s">
        <v>458</v>
      </c>
      <c r="D205" s="13" t="s">
        <v>14</v>
      </c>
      <c r="E205" s="13" t="s">
        <v>70</v>
      </c>
      <c r="F205" s="13">
        <v>2011.0</v>
      </c>
      <c r="G205" s="13">
        <v>43592.0</v>
      </c>
      <c r="H205" s="13">
        <v>4328.14</v>
      </c>
      <c r="I205" s="13">
        <f>' car_sales_data 1'!$G205*0.2</f>
        <v>8718.4</v>
      </c>
      <c r="J205" s="13" t="str">
        <f>TEXT(' car_sales_data 1'!$A205,"mmmm")</f>
        <v>March</v>
      </c>
      <c r="K205" s="13" t="str">
        <f>IF(' car_sales_data 1'!$G205&gt;40000,"Premium",
 IF(' car_sales_data 1'!$G205&gt;=20000,"Mid Range","Budget"))</f>
        <v>Premium</v>
      </c>
      <c r="L205" s="13">
        <f>YEAR(TODAY())-' car_sales_data 1'!$F205</f>
        <v>14</v>
      </c>
    </row>
    <row r="206" ht="15.75" customHeight="1">
      <c r="A206" s="16">
        <v>44944.0</v>
      </c>
      <c r="B206" s="13" t="s">
        <v>459</v>
      </c>
      <c r="C206" s="13" t="s">
        <v>19</v>
      </c>
      <c r="D206" s="13" t="s">
        <v>10</v>
      </c>
      <c r="E206" s="13" t="s">
        <v>51</v>
      </c>
      <c r="F206" s="13">
        <v>2010.0</v>
      </c>
      <c r="G206" s="13">
        <v>19474.0</v>
      </c>
      <c r="H206" s="13">
        <v>2233.59</v>
      </c>
      <c r="I206" s="13">
        <f>' car_sales_data 1'!$G206*0.2</f>
        <v>3894.8</v>
      </c>
      <c r="J206" s="13" t="str">
        <f>TEXT(' car_sales_data 1'!$A206,"mmmm")</f>
        <v>January</v>
      </c>
      <c r="K206" s="13" t="str">
        <f>IF(' car_sales_data 1'!$G206&gt;40000,"Premium",
 IF(' car_sales_data 1'!$G206&gt;=20000,"Mid Range","Budget"))</f>
        <v>Budget</v>
      </c>
      <c r="L206" s="13">
        <f>YEAR(TODAY())-' car_sales_data 1'!$F206</f>
        <v>15</v>
      </c>
    </row>
    <row r="207" ht="15.75" customHeight="1">
      <c r="A207" s="16">
        <v>44744.0</v>
      </c>
      <c r="B207" s="13" t="s">
        <v>460</v>
      </c>
      <c r="C207" s="13" t="s">
        <v>461</v>
      </c>
      <c r="D207" s="13" t="s">
        <v>8</v>
      </c>
      <c r="E207" s="13" t="s">
        <v>54</v>
      </c>
      <c r="F207" s="13">
        <v>2013.0</v>
      </c>
      <c r="G207" s="13">
        <v>41322.0</v>
      </c>
      <c r="H207" s="13">
        <v>2643.7</v>
      </c>
      <c r="I207" s="13">
        <f>' car_sales_data 1'!$G207*0.2</f>
        <v>8264.4</v>
      </c>
      <c r="J207" s="13" t="str">
        <f>TEXT(' car_sales_data 1'!$A207,"mmmm")</f>
        <v>July</v>
      </c>
      <c r="K207" s="13" t="str">
        <f>IF(' car_sales_data 1'!$G207&gt;40000,"Premium",
 IF(' car_sales_data 1'!$G207&gt;=20000,"Mid Range","Budget"))</f>
        <v>Premium</v>
      </c>
      <c r="L207" s="13">
        <f>YEAR(TODAY())-' car_sales_data 1'!$F207</f>
        <v>12</v>
      </c>
    </row>
    <row r="208" ht="15.75" customHeight="1">
      <c r="A208" s="16">
        <v>44881.0</v>
      </c>
      <c r="B208" s="13" t="s">
        <v>462</v>
      </c>
      <c r="C208" s="13" t="s">
        <v>463</v>
      </c>
      <c r="D208" s="13" t="s">
        <v>14</v>
      </c>
      <c r="E208" s="13" t="s">
        <v>57</v>
      </c>
      <c r="F208" s="13">
        <v>2014.0</v>
      </c>
      <c r="G208" s="13">
        <v>23582.0</v>
      </c>
      <c r="H208" s="13">
        <v>3468.81</v>
      </c>
      <c r="I208" s="13">
        <f>' car_sales_data 1'!$G208*0.2</f>
        <v>4716.4</v>
      </c>
      <c r="J208" s="13" t="str">
        <f>TEXT(' car_sales_data 1'!$A208,"mmmm")</f>
        <v>November</v>
      </c>
      <c r="K208" s="13" t="str">
        <f>IF(' car_sales_data 1'!$G208&gt;40000,"Premium",
 IF(' car_sales_data 1'!$G208&gt;=20000,"Mid Range","Budget"))</f>
        <v>Mid Range</v>
      </c>
      <c r="L208" s="13">
        <f>YEAR(TODAY())-' car_sales_data 1'!$F208</f>
        <v>11</v>
      </c>
    </row>
    <row r="209" ht="15.75" customHeight="1">
      <c r="A209" s="16">
        <v>44932.0</v>
      </c>
      <c r="B209" s="13" t="s">
        <v>464</v>
      </c>
      <c r="C209" s="13" t="s">
        <v>465</v>
      </c>
      <c r="D209" s="13" t="s">
        <v>8</v>
      </c>
      <c r="E209" s="13" t="s">
        <v>62</v>
      </c>
      <c r="F209" s="13">
        <v>2020.0</v>
      </c>
      <c r="G209" s="13">
        <v>22648.0</v>
      </c>
      <c r="H209" s="13">
        <v>1449.37</v>
      </c>
      <c r="I209" s="13">
        <f>' car_sales_data 1'!$G209*0.2</f>
        <v>4529.6</v>
      </c>
      <c r="J209" s="13" t="str">
        <f>TEXT(' car_sales_data 1'!$A209,"mmmm")</f>
        <v>January</v>
      </c>
      <c r="K209" s="13" t="str">
        <f>IF(' car_sales_data 1'!$G209&gt;40000,"Premium",
 IF(' car_sales_data 1'!$G209&gt;=20000,"Mid Range","Budget"))</f>
        <v>Mid Range</v>
      </c>
      <c r="L209" s="13">
        <f>YEAR(TODAY())-' car_sales_data 1'!$F209</f>
        <v>5</v>
      </c>
    </row>
    <row r="210" ht="15.75" customHeight="1">
      <c r="A210" s="16">
        <v>44692.0</v>
      </c>
      <c r="B210" s="13" t="s">
        <v>466</v>
      </c>
      <c r="C210" s="13" t="s">
        <v>467</v>
      </c>
      <c r="D210" s="13" t="s">
        <v>10</v>
      </c>
      <c r="E210" s="13" t="s">
        <v>51</v>
      </c>
      <c r="F210" s="13">
        <v>2010.0</v>
      </c>
      <c r="G210" s="13">
        <v>37699.0</v>
      </c>
      <c r="H210" s="13">
        <v>4020.16</v>
      </c>
      <c r="I210" s="13">
        <f>' car_sales_data 1'!$G210*0.2</f>
        <v>7539.8</v>
      </c>
      <c r="J210" s="13" t="str">
        <f>TEXT(' car_sales_data 1'!$A210,"mmmm")</f>
        <v>May</v>
      </c>
      <c r="K210" s="13" t="str">
        <f>IF(' car_sales_data 1'!$G210&gt;40000,"Premium",
 IF(' car_sales_data 1'!$G210&gt;=20000,"Mid Range","Budget"))</f>
        <v>Mid Range</v>
      </c>
      <c r="L210" s="13">
        <f>YEAR(TODAY())-' car_sales_data 1'!$F210</f>
        <v>15</v>
      </c>
    </row>
    <row r="211" ht="15.75" customHeight="1">
      <c r="A211" s="16">
        <v>44960.0</v>
      </c>
      <c r="B211" s="13" t="s">
        <v>468</v>
      </c>
      <c r="C211" s="13" t="s">
        <v>469</v>
      </c>
      <c r="D211" s="13" t="s">
        <v>12</v>
      </c>
      <c r="E211" s="13" t="s">
        <v>51</v>
      </c>
      <c r="F211" s="13">
        <v>2014.0</v>
      </c>
      <c r="G211" s="13">
        <v>33157.0</v>
      </c>
      <c r="H211" s="13">
        <v>4420.87</v>
      </c>
      <c r="I211" s="13">
        <f>' car_sales_data 1'!$G211*0.2</f>
        <v>6631.4</v>
      </c>
      <c r="J211" s="13" t="str">
        <f>TEXT(' car_sales_data 1'!$A211,"mmmm")</f>
        <v>February</v>
      </c>
      <c r="K211" s="13" t="str">
        <f>IF(' car_sales_data 1'!$G211&gt;40000,"Premium",
 IF(' car_sales_data 1'!$G211&gt;=20000,"Mid Range","Budget"))</f>
        <v>Mid Range</v>
      </c>
      <c r="L211" s="13">
        <f>YEAR(TODAY())-' car_sales_data 1'!$F211</f>
        <v>11</v>
      </c>
    </row>
    <row r="212" ht="15.75" customHeight="1">
      <c r="A212" s="16">
        <v>44711.0</v>
      </c>
      <c r="B212" s="13" t="s">
        <v>470</v>
      </c>
      <c r="C212" s="13" t="s">
        <v>471</v>
      </c>
      <c r="D212" s="13" t="s">
        <v>12</v>
      </c>
      <c r="E212" s="13" t="s">
        <v>70</v>
      </c>
      <c r="F212" s="13">
        <v>2021.0</v>
      </c>
      <c r="G212" s="13">
        <v>28204.0</v>
      </c>
      <c r="H212" s="13">
        <v>2961.95</v>
      </c>
      <c r="I212" s="13">
        <f>' car_sales_data 1'!$G212*0.2</f>
        <v>5640.8</v>
      </c>
      <c r="J212" s="13" t="str">
        <f>TEXT(' car_sales_data 1'!$A212,"mmmm")</f>
        <v>May</v>
      </c>
      <c r="K212" s="13" t="str">
        <f>IF(' car_sales_data 1'!$G212&gt;40000,"Premium",
 IF(' car_sales_data 1'!$G212&gt;=20000,"Mid Range","Budget"))</f>
        <v>Mid Range</v>
      </c>
      <c r="L212" s="13">
        <f>YEAR(TODAY())-' car_sales_data 1'!$F212</f>
        <v>4</v>
      </c>
    </row>
    <row r="213" ht="15.75" customHeight="1">
      <c r="A213" s="16">
        <v>44730.0</v>
      </c>
      <c r="B213" s="13" t="s">
        <v>472</v>
      </c>
      <c r="C213" s="13" t="s">
        <v>473</v>
      </c>
      <c r="D213" s="13" t="s">
        <v>12</v>
      </c>
      <c r="E213" s="13" t="s">
        <v>51</v>
      </c>
      <c r="F213" s="13">
        <v>2022.0</v>
      </c>
      <c r="G213" s="13">
        <v>42530.0</v>
      </c>
      <c r="H213" s="13">
        <v>3526.06</v>
      </c>
      <c r="I213" s="13">
        <f>' car_sales_data 1'!$G213*0.2</f>
        <v>8506</v>
      </c>
      <c r="J213" s="13" t="str">
        <f>TEXT(' car_sales_data 1'!$A213,"mmmm")</f>
        <v>June</v>
      </c>
      <c r="K213" s="13" t="str">
        <f>IF(' car_sales_data 1'!$G213&gt;40000,"Premium",
 IF(' car_sales_data 1'!$G213&gt;=20000,"Mid Range","Budget"))</f>
        <v>Premium</v>
      </c>
      <c r="L213" s="13">
        <f>YEAR(TODAY())-' car_sales_data 1'!$F213</f>
        <v>3</v>
      </c>
    </row>
    <row r="214" ht="15.75" customHeight="1">
      <c r="A214" s="16">
        <v>44761.0</v>
      </c>
      <c r="B214" s="13" t="s">
        <v>474</v>
      </c>
      <c r="C214" s="13" t="s">
        <v>475</v>
      </c>
      <c r="D214" s="13" t="s">
        <v>12</v>
      </c>
      <c r="E214" s="13" t="s">
        <v>54</v>
      </c>
      <c r="F214" s="13">
        <v>2021.0</v>
      </c>
      <c r="G214" s="13">
        <v>23810.0</v>
      </c>
      <c r="H214" s="13">
        <v>2786.15</v>
      </c>
      <c r="I214" s="13">
        <f>' car_sales_data 1'!$G214*0.2</f>
        <v>4762</v>
      </c>
      <c r="J214" s="13" t="str">
        <f>TEXT(' car_sales_data 1'!$A214,"mmmm")</f>
        <v>July</v>
      </c>
      <c r="K214" s="13" t="str">
        <f>IF(' car_sales_data 1'!$G214&gt;40000,"Premium",
 IF(' car_sales_data 1'!$G214&gt;=20000,"Mid Range","Budget"))</f>
        <v>Mid Range</v>
      </c>
      <c r="L214" s="13">
        <f>YEAR(TODAY())-' car_sales_data 1'!$F214</f>
        <v>4</v>
      </c>
    </row>
    <row r="215" ht="15.75" customHeight="1">
      <c r="A215" s="16">
        <v>44743.0</v>
      </c>
      <c r="B215" s="13" t="s">
        <v>476</v>
      </c>
      <c r="C215" s="13" t="s">
        <v>477</v>
      </c>
      <c r="D215" s="13" t="s">
        <v>10</v>
      </c>
      <c r="E215" s="13" t="s">
        <v>57</v>
      </c>
      <c r="F215" s="13">
        <v>2016.0</v>
      </c>
      <c r="G215" s="13">
        <v>42672.0</v>
      </c>
      <c r="H215" s="13">
        <v>5254.54</v>
      </c>
      <c r="I215" s="13">
        <f>' car_sales_data 1'!$G215*0.2</f>
        <v>8534.4</v>
      </c>
      <c r="J215" s="13" t="str">
        <f>TEXT(' car_sales_data 1'!$A215,"mmmm")</f>
        <v>July</v>
      </c>
      <c r="K215" s="13" t="str">
        <f>IF(' car_sales_data 1'!$G215&gt;40000,"Premium",
 IF(' car_sales_data 1'!$G215&gt;=20000,"Mid Range","Budget"))</f>
        <v>Premium</v>
      </c>
      <c r="L215" s="13">
        <f>YEAR(TODAY())-' car_sales_data 1'!$F215</f>
        <v>9</v>
      </c>
    </row>
    <row r="216" ht="15.75" customHeight="1">
      <c r="A216" s="16">
        <v>44931.0</v>
      </c>
      <c r="B216" s="13" t="s">
        <v>478</v>
      </c>
      <c r="C216" s="13" t="s">
        <v>479</v>
      </c>
      <c r="D216" s="13" t="s">
        <v>10</v>
      </c>
      <c r="E216" s="13" t="s">
        <v>57</v>
      </c>
      <c r="F216" s="13">
        <v>2021.0</v>
      </c>
      <c r="G216" s="13">
        <v>18067.0</v>
      </c>
      <c r="H216" s="13">
        <v>2420.52</v>
      </c>
      <c r="I216" s="13">
        <f>' car_sales_data 1'!$G216*0.2</f>
        <v>3613.4</v>
      </c>
      <c r="J216" s="13" t="str">
        <f>TEXT(' car_sales_data 1'!$A216,"mmmm")</f>
        <v>January</v>
      </c>
      <c r="K216" s="13" t="str">
        <f>IF(' car_sales_data 1'!$G216&gt;40000,"Premium",
 IF(' car_sales_data 1'!$G216&gt;=20000,"Mid Range","Budget"))</f>
        <v>Budget</v>
      </c>
      <c r="L216" s="13">
        <f>YEAR(TODAY())-' car_sales_data 1'!$F216</f>
        <v>4</v>
      </c>
    </row>
    <row r="217" ht="15.75" customHeight="1">
      <c r="A217" s="16">
        <v>44720.0</v>
      </c>
      <c r="B217" s="13" t="s">
        <v>480</v>
      </c>
      <c r="C217" s="13" t="s">
        <v>481</v>
      </c>
      <c r="D217" s="13" t="s">
        <v>6</v>
      </c>
      <c r="E217" s="13" t="s">
        <v>70</v>
      </c>
      <c r="F217" s="13">
        <v>2013.0</v>
      </c>
      <c r="G217" s="13">
        <v>29710.0</v>
      </c>
      <c r="H217" s="13">
        <v>2564.91</v>
      </c>
      <c r="I217" s="13">
        <f>' car_sales_data 1'!$G217*0.2</f>
        <v>5942</v>
      </c>
      <c r="J217" s="13" t="str">
        <f>TEXT(' car_sales_data 1'!$A217,"mmmm")</f>
        <v>June</v>
      </c>
      <c r="K217" s="13" t="str">
        <f>IF(' car_sales_data 1'!$G217&gt;40000,"Premium",
 IF(' car_sales_data 1'!$G217&gt;=20000,"Mid Range","Budget"))</f>
        <v>Mid Range</v>
      </c>
      <c r="L217" s="13">
        <f>YEAR(TODAY())-' car_sales_data 1'!$F217</f>
        <v>12</v>
      </c>
    </row>
    <row r="218" ht="15.75" customHeight="1">
      <c r="A218" s="16">
        <v>44827.0</v>
      </c>
      <c r="B218" s="13" t="s">
        <v>482</v>
      </c>
      <c r="C218" s="13" t="s">
        <v>483</v>
      </c>
      <c r="D218" s="13" t="s">
        <v>10</v>
      </c>
      <c r="E218" s="13" t="s">
        <v>51</v>
      </c>
      <c r="F218" s="13">
        <v>2013.0</v>
      </c>
      <c r="G218" s="13">
        <v>30154.0</v>
      </c>
      <c r="H218" s="13">
        <v>2758.92</v>
      </c>
      <c r="I218" s="13">
        <f>' car_sales_data 1'!$G218*0.2</f>
        <v>6030.8</v>
      </c>
      <c r="J218" s="13" t="str">
        <f>TEXT(' car_sales_data 1'!$A218,"mmmm")</f>
        <v>September</v>
      </c>
      <c r="K218" s="13" t="str">
        <f>IF(' car_sales_data 1'!$G218&gt;40000,"Premium",
 IF(' car_sales_data 1'!$G218&gt;=20000,"Mid Range","Budget"))</f>
        <v>Mid Range</v>
      </c>
      <c r="L218" s="13">
        <f>YEAR(TODAY())-' car_sales_data 1'!$F218</f>
        <v>12</v>
      </c>
    </row>
    <row r="219" ht="15.75" customHeight="1">
      <c r="A219" s="16">
        <v>44878.0</v>
      </c>
      <c r="B219" s="13" t="s">
        <v>484</v>
      </c>
      <c r="C219" s="13" t="s">
        <v>485</v>
      </c>
      <c r="D219" s="13" t="s">
        <v>14</v>
      </c>
      <c r="E219" s="13" t="s">
        <v>70</v>
      </c>
      <c r="F219" s="13">
        <v>2013.0</v>
      </c>
      <c r="G219" s="13">
        <v>34377.0</v>
      </c>
      <c r="H219" s="13">
        <v>2713.04</v>
      </c>
      <c r="I219" s="13">
        <f>' car_sales_data 1'!$G219*0.2</f>
        <v>6875.4</v>
      </c>
      <c r="J219" s="13" t="str">
        <f>TEXT(' car_sales_data 1'!$A219,"mmmm")</f>
        <v>November</v>
      </c>
      <c r="K219" s="13" t="str">
        <f>IF(' car_sales_data 1'!$G219&gt;40000,"Premium",
 IF(' car_sales_data 1'!$G219&gt;=20000,"Mid Range","Budget"))</f>
        <v>Mid Range</v>
      </c>
      <c r="L219" s="13">
        <f>YEAR(TODAY())-' car_sales_data 1'!$F219</f>
        <v>12</v>
      </c>
    </row>
    <row r="220" ht="15.75" customHeight="1">
      <c r="A220" s="16">
        <v>44731.0</v>
      </c>
      <c r="B220" s="13" t="s">
        <v>486</v>
      </c>
      <c r="C220" s="13" t="s">
        <v>487</v>
      </c>
      <c r="D220" s="13" t="s">
        <v>10</v>
      </c>
      <c r="E220" s="13" t="s">
        <v>51</v>
      </c>
      <c r="F220" s="13">
        <v>2018.0</v>
      </c>
      <c r="G220" s="13">
        <v>13827.0</v>
      </c>
      <c r="H220" s="13">
        <v>866.7</v>
      </c>
      <c r="I220" s="13">
        <f>' car_sales_data 1'!$G220*0.2</f>
        <v>2765.4</v>
      </c>
      <c r="J220" s="13" t="str">
        <f>TEXT(' car_sales_data 1'!$A220,"mmmm")</f>
        <v>June</v>
      </c>
      <c r="K220" s="13" t="str">
        <f>IF(' car_sales_data 1'!$G220&gt;40000,"Premium",
 IF(' car_sales_data 1'!$G220&gt;=20000,"Mid Range","Budget"))</f>
        <v>Budget</v>
      </c>
      <c r="L220" s="13">
        <f>YEAR(TODAY())-' car_sales_data 1'!$F220</f>
        <v>7</v>
      </c>
    </row>
    <row r="221" ht="15.75" customHeight="1">
      <c r="A221" s="16">
        <v>44897.0</v>
      </c>
      <c r="B221" s="13" t="s">
        <v>488</v>
      </c>
      <c r="C221" s="13" t="s">
        <v>489</v>
      </c>
      <c r="D221" s="13" t="s">
        <v>12</v>
      </c>
      <c r="E221" s="13" t="s">
        <v>57</v>
      </c>
      <c r="F221" s="13">
        <v>2018.0</v>
      </c>
      <c r="G221" s="13">
        <v>21151.0</v>
      </c>
      <c r="H221" s="13">
        <v>1519.34</v>
      </c>
      <c r="I221" s="13">
        <f>' car_sales_data 1'!$G221*0.2</f>
        <v>4230.2</v>
      </c>
      <c r="J221" s="13" t="str">
        <f>TEXT(' car_sales_data 1'!$A221,"mmmm")</f>
        <v>December</v>
      </c>
      <c r="K221" s="13" t="str">
        <f>IF(' car_sales_data 1'!$G221&gt;40000,"Premium",
 IF(' car_sales_data 1'!$G221&gt;=20000,"Mid Range","Budget"))</f>
        <v>Mid Range</v>
      </c>
      <c r="L221" s="13">
        <f>YEAR(TODAY())-' car_sales_data 1'!$F221</f>
        <v>7</v>
      </c>
    </row>
    <row r="222" ht="15.75" customHeight="1">
      <c r="A222" s="16">
        <v>44707.0</v>
      </c>
      <c r="B222" s="13" t="s">
        <v>490</v>
      </c>
      <c r="C222" s="13" t="s">
        <v>491</v>
      </c>
      <c r="D222" s="13" t="s">
        <v>12</v>
      </c>
      <c r="E222" s="13" t="s">
        <v>62</v>
      </c>
      <c r="F222" s="13">
        <v>2012.0</v>
      </c>
      <c r="G222" s="13">
        <v>12403.0</v>
      </c>
      <c r="H222" s="13">
        <v>1037.86</v>
      </c>
      <c r="I222" s="13">
        <f>' car_sales_data 1'!$G222*0.2</f>
        <v>2480.6</v>
      </c>
      <c r="J222" s="13" t="str">
        <f>TEXT(' car_sales_data 1'!$A222,"mmmm")</f>
        <v>May</v>
      </c>
      <c r="K222" s="13" t="str">
        <f>IF(' car_sales_data 1'!$G222&gt;40000,"Premium",
 IF(' car_sales_data 1'!$G222&gt;=20000,"Mid Range","Budget"))</f>
        <v>Budget</v>
      </c>
      <c r="L222" s="13">
        <f>YEAR(TODAY())-' car_sales_data 1'!$F222</f>
        <v>13</v>
      </c>
    </row>
    <row r="223" ht="15.75" customHeight="1">
      <c r="A223" s="16">
        <v>45035.0</v>
      </c>
      <c r="B223" s="13" t="s">
        <v>492</v>
      </c>
      <c r="C223" s="13" t="s">
        <v>493</v>
      </c>
      <c r="D223" s="13" t="s">
        <v>8</v>
      </c>
      <c r="E223" s="13" t="s">
        <v>70</v>
      </c>
      <c r="F223" s="13">
        <v>2020.0</v>
      </c>
      <c r="G223" s="13">
        <v>39479.0</v>
      </c>
      <c r="H223" s="13">
        <v>4080.64</v>
      </c>
      <c r="I223" s="13">
        <f>' car_sales_data 1'!$G223*0.2</f>
        <v>7895.8</v>
      </c>
      <c r="J223" s="13" t="str">
        <f>TEXT(' car_sales_data 1'!$A223,"mmmm")</f>
        <v>April</v>
      </c>
      <c r="K223" s="13" t="str">
        <f>IF(' car_sales_data 1'!$G223&gt;40000,"Premium",
 IF(' car_sales_data 1'!$G223&gt;=20000,"Mid Range","Budget"))</f>
        <v>Mid Range</v>
      </c>
      <c r="L223" s="13">
        <f>YEAR(TODAY())-' car_sales_data 1'!$F223</f>
        <v>5</v>
      </c>
    </row>
    <row r="224" ht="15.75" customHeight="1">
      <c r="A224" s="16">
        <v>44937.0</v>
      </c>
      <c r="B224" s="13" t="s">
        <v>494</v>
      </c>
      <c r="C224" s="13" t="s">
        <v>495</v>
      </c>
      <c r="D224" s="13" t="s">
        <v>6</v>
      </c>
      <c r="E224" s="13" t="s">
        <v>70</v>
      </c>
      <c r="F224" s="13">
        <v>2020.0</v>
      </c>
      <c r="G224" s="13">
        <v>42351.0</v>
      </c>
      <c r="H224" s="13">
        <v>2527.12</v>
      </c>
      <c r="I224" s="13">
        <f>' car_sales_data 1'!$G224*0.2</f>
        <v>8470.2</v>
      </c>
      <c r="J224" s="13" t="str">
        <f>TEXT(' car_sales_data 1'!$A224,"mmmm")</f>
        <v>January</v>
      </c>
      <c r="K224" s="13" t="str">
        <f>IF(' car_sales_data 1'!$G224&gt;40000,"Premium",
 IF(' car_sales_data 1'!$G224&gt;=20000,"Mid Range","Budget"))</f>
        <v>Premium</v>
      </c>
      <c r="L224" s="13">
        <f>YEAR(TODAY())-' car_sales_data 1'!$F224</f>
        <v>5</v>
      </c>
    </row>
    <row r="225" ht="15.75" customHeight="1">
      <c r="A225" s="16">
        <v>44821.0</v>
      </c>
      <c r="B225" s="13" t="s">
        <v>496</v>
      </c>
      <c r="C225" s="13" t="s">
        <v>497</v>
      </c>
      <c r="D225" s="13" t="s">
        <v>14</v>
      </c>
      <c r="E225" s="13" t="s">
        <v>62</v>
      </c>
      <c r="F225" s="13">
        <v>2011.0</v>
      </c>
      <c r="G225" s="13">
        <v>13112.0</v>
      </c>
      <c r="H225" s="13">
        <v>1209.77</v>
      </c>
      <c r="I225" s="13">
        <f>' car_sales_data 1'!$G225*0.2</f>
        <v>2622.4</v>
      </c>
      <c r="J225" s="13" t="str">
        <f>TEXT(' car_sales_data 1'!$A225,"mmmm")</f>
        <v>September</v>
      </c>
      <c r="K225" s="13" t="str">
        <f>IF(' car_sales_data 1'!$G225&gt;40000,"Premium",
 IF(' car_sales_data 1'!$G225&gt;=20000,"Mid Range","Budget"))</f>
        <v>Budget</v>
      </c>
      <c r="L225" s="13">
        <f>YEAR(TODAY())-' car_sales_data 1'!$F225</f>
        <v>14</v>
      </c>
    </row>
    <row r="226" ht="15.75" customHeight="1">
      <c r="A226" s="16">
        <v>44780.0</v>
      </c>
      <c r="B226" s="13" t="s">
        <v>498</v>
      </c>
      <c r="C226" s="13" t="s">
        <v>499</v>
      </c>
      <c r="D226" s="13" t="s">
        <v>10</v>
      </c>
      <c r="E226" s="13" t="s">
        <v>70</v>
      </c>
      <c r="F226" s="13">
        <v>2017.0</v>
      </c>
      <c r="G226" s="13">
        <v>11248.0</v>
      </c>
      <c r="H226" s="13">
        <v>1659.93</v>
      </c>
      <c r="I226" s="13">
        <f>' car_sales_data 1'!$G226*0.2</f>
        <v>2249.6</v>
      </c>
      <c r="J226" s="13" t="str">
        <f>TEXT(' car_sales_data 1'!$A226,"mmmm")</f>
        <v>August</v>
      </c>
      <c r="K226" s="13" t="str">
        <f>IF(' car_sales_data 1'!$G226&gt;40000,"Premium",
 IF(' car_sales_data 1'!$G226&gt;=20000,"Mid Range","Budget"))</f>
        <v>Budget</v>
      </c>
      <c r="L226" s="13">
        <f>YEAR(TODAY())-' car_sales_data 1'!$F226</f>
        <v>8</v>
      </c>
    </row>
    <row r="227" ht="15.75" customHeight="1">
      <c r="A227" s="16">
        <v>44925.0</v>
      </c>
      <c r="B227" s="13" t="s">
        <v>500</v>
      </c>
      <c r="C227" s="13" t="s">
        <v>501</v>
      </c>
      <c r="D227" s="13" t="s">
        <v>6</v>
      </c>
      <c r="E227" s="13" t="s">
        <v>51</v>
      </c>
      <c r="F227" s="13">
        <v>2016.0</v>
      </c>
      <c r="G227" s="13">
        <v>35191.0</v>
      </c>
      <c r="H227" s="13">
        <v>3410.02</v>
      </c>
      <c r="I227" s="13">
        <f>' car_sales_data 1'!$G227*0.2</f>
        <v>7038.2</v>
      </c>
      <c r="J227" s="13" t="str">
        <f>TEXT(' car_sales_data 1'!$A227,"mmmm")</f>
        <v>December</v>
      </c>
      <c r="K227" s="13" t="str">
        <f>IF(' car_sales_data 1'!$G227&gt;40000,"Premium",
 IF(' car_sales_data 1'!$G227&gt;=20000,"Mid Range","Budget"))</f>
        <v>Mid Range</v>
      </c>
      <c r="L227" s="13">
        <f>YEAR(TODAY())-' car_sales_data 1'!$F227</f>
        <v>9</v>
      </c>
    </row>
    <row r="228" ht="15.75" customHeight="1">
      <c r="A228" s="16">
        <v>44775.0</v>
      </c>
      <c r="B228" s="13" t="s">
        <v>502</v>
      </c>
      <c r="C228" s="13" t="s">
        <v>503</v>
      </c>
      <c r="D228" s="13" t="s">
        <v>6</v>
      </c>
      <c r="E228" s="13" t="s">
        <v>51</v>
      </c>
      <c r="F228" s="13">
        <v>2018.0</v>
      </c>
      <c r="G228" s="13">
        <v>43594.0</v>
      </c>
      <c r="H228" s="13">
        <v>2488.55</v>
      </c>
      <c r="I228" s="13">
        <f>' car_sales_data 1'!$G228*0.2</f>
        <v>8718.8</v>
      </c>
      <c r="J228" s="13" t="str">
        <f>TEXT(' car_sales_data 1'!$A228,"mmmm")</f>
        <v>August</v>
      </c>
      <c r="K228" s="13" t="str">
        <f>IF(' car_sales_data 1'!$G228&gt;40000,"Premium",
 IF(' car_sales_data 1'!$G228&gt;=20000,"Mid Range","Budget"))</f>
        <v>Premium</v>
      </c>
      <c r="L228" s="13">
        <f>YEAR(TODAY())-' car_sales_data 1'!$F228</f>
        <v>7</v>
      </c>
    </row>
    <row r="229" ht="15.75" customHeight="1">
      <c r="A229" s="16">
        <v>44983.0</v>
      </c>
      <c r="B229" s="13" t="s">
        <v>504</v>
      </c>
      <c r="C229" s="13" t="s">
        <v>505</v>
      </c>
      <c r="D229" s="13" t="s">
        <v>8</v>
      </c>
      <c r="E229" s="13" t="s">
        <v>51</v>
      </c>
      <c r="F229" s="13">
        <v>2015.0</v>
      </c>
      <c r="G229" s="13">
        <v>36964.0</v>
      </c>
      <c r="H229" s="13">
        <v>5448.31</v>
      </c>
      <c r="I229" s="13">
        <f>' car_sales_data 1'!$G229*0.2</f>
        <v>7392.8</v>
      </c>
      <c r="J229" s="13" t="str">
        <f>TEXT(' car_sales_data 1'!$A229,"mmmm")</f>
        <v>February</v>
      </c>
      <c r="K229" s="13" t="str">
        <f>IF(' car_sales_data 1'!$G229&gt;40000,"Premium",
 IF(' car_sales_data 1'!$G229&gt;=20000,"Mid Range","Budget"))</f>
        <v>Mid Range</v>
      </c>
      <c r="L229" s="13">
        <f>YEAR(TODAY())-' car_sales_data 1'!$F229</f>
        <v>10</v>
      </c>
    </row>
    <row r="230" ht="15.75" customHeight="1">
      <c r="A230" s="16">
        <v>44877.0</v>
      </c>
      <c r="B230" s="13" t="s">
        <v>506</v>
      </c>
      <c r="C230" s="13" t="s">
        <v>507</v>
      </c>
      <c r="D230" s="13" t="s">
        <v>12</v>
      </c>
      <c r="E230" s="13" t="s">
        <v>51</v>
      </c>
      <c r="F230" s="13">
        <v>2018.0</v>
      </c>
      <c r="G230" s="13">
        <v>41141.0</v>
      </c>
      <c r="H230" s="13">
        <v>5402.42</v>
      </c>
      <c r="I230" s="13">
        <f>' car_sales_data 1'!$G230*0.2</f>
        <v>8228.2</v>
      </c>
      <c r="J230" s="13" t="str">
        <f>TEXT(' car_sales_data 1'!$A230,"mmmm")</f>
        <v>November</v>
      </c>
      <c r="K230" s="13" t="str">
        <f>IF(' car_sales_data 1'!$G230&gt;40000,"Premium",
 IF(' car_sales_data 1'!$G230&gt;=20000,"Mid Range","Budget"))</f>
        <v>Premium</v>
      </c>
      <c r="L230" s="13">
        <f>YEAR(TODAY())-' car_sales_data 1'!$F230</f>
        <v>7</v>
      </c>
    </row>
    <row r="231" ht="15.75" customHeight="1">
      <c r="A231" s="16">
        <v>45035.0</v>
      </c>
      <c r="B231" s="13" t="s">
        <v>508</v>
      </c>
      <c r="C231" s="13" t="s">
        <v>509</v>
      </c>
      <c r="D231" s="13" t="s">
        <v>12</v>
      </c>
      <c r="E231" s="13" t="s">
        <v>57</v>
      </c>
      <c r="F231" s="13">
        <v>2015.0</v>
      </c>
      <c r="G231" s="13">
        <v>16875.0</v>
      </c>
      <c r="H231" s="13">
        <v>2276.91</v>
      </c>
      <c r="I231" s="13">
        <f>' car_sales_data 1'!$G231*0.2</f>
        <v>3375</v>
      </c>
      <c r="J231" s="13" t="str">
        <f>TEXT(' car_sales_data 1'!$A231,"mmmm")</f>
        <v>April</v>
      </c>
      <c r="K231" s="13" t="str">
        <f>IF(' car_sales_data 1'!$G231&gt;40000,"Premium",
 IF(' car_sales_data 1'!$G231&gt;=20000,"Mid Range","Budget"))</f>
        <v>Budget</v>
      </c>
      <c r="L231" s="13">
        <f>YEAR(TODAY())-' car_sales_data 1'!$F231</f>
        <v>10</v>
      </c>
    </row>
    <row r="232" ht="15.75" customHeight="1">
      <c r="A232" s="16">
        <v>44732.0</v>
      </c>
      <c r="B232" s="13" t="s">
        <v>510</v>
      </c>
      <c r="C232" s="13" t="s">
        <v>511</v>
      </c>
      <c r="D232" s="13" t="s">
        <v>8</v>
      </c>
      <c r="E232" s="13" t="s">
        <v>57</v>
      </c>
      <c r="F232" s="13">
        <v>2016.0</v>
      </c>
      <c r="G232" s="13">
        <v>34503.0</v>
      </c>
      <c r="H232" s="13">
        <v>3768.75</v>
      </c>
      <c r="I232" s="13">
        <f>' car_sales_data 1'!$G232*0.2</f>
        <v>6900.6</v>
      </c>
      <c r="J232" s="13" t="str">
        <f>TEXT(' car_sales_data 1'!$A232,"mmmm")</f>
        <v>June</v>
      </c>
      <c r="K232" s="13" t="str">
        <f>IF(' car_sales_data 1'!$G232&gt;40000,"Premium",
 IF(' car_sales_data 1'!$G232&gt;=20000,"Mid Range","Budget"))</f>
        <v>Mid Range</v>
      </c>
      <c r="L232" s="13">
        <f>YEAR(TODAY())-' car_sales_data 1'!$F232</f>
        <v>9</v>
      </c>
    </row>
    <row r="233" ht="15.75" customHeight="1">
      <c r="A233" s="16">
        <v>44777.0</v>
      </c>
      <c r="B233" s="13" t="s">
        <v>512</v>
      </c>
      <c r="C233" s="13" t="s">
        <v>513</v>
      </c>
      <c r="D233" s="13" t="s">
        <v>8</v>
      </c>
      <c r="E233" s="13" t="s">
        <v>57</v>
      </c>
      <c r="F233" s="13">
        <v>2013.0</v>
      </c>
      <c r="G233" s="13">
        <v>49225.0</v>
      </c>
      <c r="H233" s="13">
        <v>5768.19</v>
      </c>
      <c r="I233" s="13">
        <f>' car_sales_data 1'!$G233*0.2</f>
        <v>9845</v>
      </c>
      <c r="J233" s="13" t="str">
        <f>TEXT(' car_sales_data 1'!$A233,"mmmm")</f>
        <v>August</v>
      </c>
      <c r="K233" s="13" t="str">
        <f>IF(' car_sales_data 1'!$G233&gt;40000,"Premium",
 IF(' car_sales_data 1'!$G233&gt;=20000,"Mid Range","Budget"))</f>
        <v>Premium</v>
      </c>
      <c r="L233" s="13">
        <f>YEAR(TODAY())-' car_sales_data 1'!$F233</f>
        <v>12</v>
      </c>
    </row>
    <row r="234" ht="15.75" customHeight="1">
      <c r="A234" s="16">
        <v>45035.0</v>
      </c>
      <c r="B234" s="13" t="s">
        <v>514</v>
      </c>
      <c r="C234" s="13" t="s">
        <v>515</v>
      </c>
      <c r="D234" s="13" t="s">
        <v>14</v>
      </c>
      <c r="E234" s="13" t="s">
        <v>57</v>
      </c>
      <c r="F234" s="13">
        <v>2015.0</v>
      </c>
      <c r="G234" s="13">
        <v>43635.0</v>
      </c>
      <c r="H234" s="13">
        <v>6318.66</v>
      </c>
      <c r="I234" s="13">
        <f>' car_sales_data 1'!$G234*0.2</f>
        <v>8727</v>
      </c>
      <c r="J234" s="13" t="str">
        <f>TEXT(' car_sales_data 1'!$A234,"mmmm")</f>
        <v>April</v>
      </c>
      <c r="K234" s="13" t="str">
        <f>IF(' car_sales_data 1'!$G234&gt;40000,"Premium",
 IF(' car_sales_data 1'!$G234&gt;=20000,"Mid Range","Budget"))</f>
        <v>Premium</v>
      </c>
      <c r="L234" s="13">
        <f>YEAR(TODAY())-' car_sales_data 1'!$F234</f>
        <v>10</v>
      </c>
    </row>
    <row r="235" ht="15.75" customHeight="1">
      <c r="A235" s="16">
        <v>44798.0</v>
      </c>
      <c r="B235" s="13" t="s">
        <v>516</v>
      </c>
      <c r="C235" s="13" t="s">
        <v>517</v>
      </c>
      <c r="D235" s="13" t="s">
        <v>6</v>
      </c>
      <c r="E235" s="13" t="s">
        <v>54</v>
      </c>
      <c r="F235" s="13">
        <v>2015.0</v>
      </c>
      <c r="G235" s="13">
        <v>15892.0</v>
      </c>
      <c r="H235" s="13">
        <v>1692.26</v>
      </c>
      <c r="I235" s="13">
        <f>' car_sales_data 1'!$G235*0.2</f>
        <v>3178.4</v>
      </c>
      <c r="J235" s="13" t="str">
        <f>TEXT(' car_sales_data 1'!$A235,"mmmm")</f>
        <v>August</v>
      </c>
      <c r="K235" s="13" t="str">
        <f>IF(' car_sales_data 1'!$G235&gt;40000,"Premium",
 IF(' car_sales_data 1'!$G235&gt;=20000,"Mid Range","Budget"))</f>
        <v>Budget</v>
      </c>
      <c r="L235" s="13">
        <f>YEAR(TODAY())-' car_sales_data 1'!$F235</f>
        <v>10</v>
      </c>
    </row>
    <row r="236" ht="15.75" customHeight="1">
      <c r="A236" s="16">
        <v>44801.0</v>
      </c>
      <c r="B236" s="13" t="s">
        <v>518</v>
      </c>
      <c r="C236" s="13" t="s">
        <v>519</v>
      </c>
      <c r="D236" s="13" t="s">
        <v>10</v>
      </c>
      <c r="E236" s="13" t="s">
        <v>62</v>
      </c>
      <c r="F236" s="13">
        <v>2022.0</v>
      </c>
      <c r="G236" s="13">
        <v>37655.0</v>
      </c>
      <c r="H236" s="13">
        <v>2967.26</v>
      </c>
      <c r="I236" s="13">
        <f>' car_sales_data 1'!$G236*0.2</f>
        <v>7531</v>
      </c>
      <c r="J236" s="13" t="str">
        <f>TEXT(' car_sales_data 1'!$A236,"mmmm")</f>
        <v>August</v>
      </c>
      <c r="K236" s="13" t="str">
        <f>IF(' car_sales_data 1'!$G236&gt;40000,"Premium",
 IF(' car_sales_data 1'!$G236&gt;=20000,"Mid Range","Budget"))</f>
        <v>Mid Range</v>
      </c>
      <c r="L236" s="13">
        <f>YEAR(TODAY())-' car_sales_data 1'!$F236</f>
        <v>3</v>
      </c>
    </row>
    <row r="237" ht="15.75" customHeight="1">
      <c r="A237" s="16">
        <v>44702.0</v>
      </c>
      <c r="B237" s="13" t="s">
        <v>520</v>
      </c>
      <c r="C237" s="13" t="s">
        <v>521</v>
      </c>
      <c r="D237" s="13" t="s">
        <v>14</v>
      </c>
      <c r="E237" s="13" t="s">
        <v>70</v>
      </c>
      <c r="F237" s="13">
        <v>2021.0</v>
      </c>
      <c r="G237" s="13">
        <v>26159.0</v>
      </c>
      <c r="H237" s="13">
        <v>3828.77</v>
      </c>
      <c r="I237" s="13">
        <f>' car_sales_data 1'!$G237*0.2</f>
        <v>5231.8</v>
      </c>
      <c r="J237" s="13" t="str">
        <f>TEXT(' car_sales_data 1'!$A237,"mmmm")</f>
        <v>May</v>
      </c>
      <c r="K237" s="13" t="str">
        <f>IF(' car_sales_data 1'!$G237&gt;40000,"Premium",
 IF(' car_sales_data 1'!$G237&gt;=20000,"Mid Range","Budget"))</f>
        <v>Mid Range</v>
      </c>
      <c r="L237" s="13">
        <f>YEAR(TODAY())-' car_sales_data 1'!$F237</f>
        <v>4</v>
      </c>
    </row>
    <row r="238" ht="15.75" customHeight="1">
      <c r="A238" s="16">
        <v>44858.0</v>
      </c>
      <c r="B238" s="13" t="s">
        <v>522</v>
      </c>
      <c r="C238" s="13" t="s">
        <v>523</v>
      </c>
      <c r="D238" s="13" t="s">
        <v>14</v>
      </c>
      <c r="E238" s="13" t="s">
        <v>62</v>
      </c>
      <c r="F238" s="13">
        <v>2020.0</v>
      </c>
      <c r="G238" s="13">
        <v>27854.0</v>
      </c>
      <c r="H238" s="13">
        <v>2988.54</v>
      </c>
      <c r="I238" s="13">
        <f>' car_sales_data 1'!$G238*0.2</f>
        <v>5570.8</v>
      </c>
      <c r="J238" s="13" t="str">
        <f>TEXT(' car_sales_data 1'!$A238,"mmmm")</f>
        <v>October</v>
      </c>
      <c r="K238" s="13" t="str">
        <f>IF(' car_sales_data 1'!$G238&gt;40000,"Premium",
 IF(' car_sales_data 1'!$G238&gt;=20000,"Mid Range","Budget"))</f>
        <v>Mid Range</v>
      </c>
      <c r="L238" s="13">
        <f>YEAR(TODAY())-' car_sales_data 1'!$F238</f>
        <v>5</v>
      </c>
    </row>
    <row r="239" ht="15.75" customHeight="1">
      <c r="A239" s="16">
        <v>44907.0</v>
      </c>
      <c r="B239" s="13" t="s">
        <v>524</v>
      </c>
      <c r="C239" s="13" t="s">
        <v>525</v>
      </c>
      <c r="D239" s="13" t="s">
        <v>6</v>
      </c>
      <c r="E239" s="13" t="s">
        <v>57</v>
      </c>
      <c r="F239" s="13">
        <v>2017.0</v>
      </c>
      <c r="G239" s="13">
        <v>31367.0</v>
      </c>
      <c r="H239" s="13">
        <v>2280.93</v>
      </c>
      <c r="I239" s="13">
        <f>' car_sales_data 1'!$G239*0.2</f>
        <v>6273.4</v>
      </c>
      <c r="J239" s="13" t="str">
        <f>TEXT(' car_sales_data 1'!$A239,"mmmm")</f>
        <v>December</v>
      </c>
      <c r="K239" s="13" t="str">
        <f>IF(' car_sales_data 1'!$G239&gt;40000,"Premium",
 IF(' car_sales_data 1'!$G239&gt;=20000,"Mid Range","Budget"))</f>
        <v>Mid Range</v>
      </c>
      <c r="L239" s="13">
        <f>YEAR(TODAY())-' car_sales_data 1'!$F239</f>
        <v>8</v>
      </c>
    </row>
    <row r="240" ht="15.75" customHeight="1">
      <c r="A240" s="16">
        <v>44874.0</v>
      </c>
      <c r="B240" s="13" t="s">
        <v>526</v>
      </c>
      <c r="C240" s="13" t="s">
        <v>527</v>
      </c>
      <c r="D240" s="13" t="s">
        <v>8</v>
      </c>
      <c r="E240" s="13" t="s">
        <v>62</v>
      </c>
      <c r="F240" s="13">
        <v>2012.0</v>
      </c>
      <c r="G240" s="13">
        <v>45611.0</v>
      </c>
      <c r="H240" s="13">
        <v>3547.77</v>
      </c>
      <c r="I240" s="13">
        <f>' car_sales_data 1'!$G240*0.2</f>
        <v>9122.2</v>
      </c>
      <c r="J240" s="13" t="str">
        <f>TEXT(' car_sales_data 1'!$A240,"mmmm")</f>
        <v>November</v>
      </c>
      <c r="K240" s="13" t="str">
        <f>IF(' car_sales_data 1'!$G240&gt;40000,"Premium",
 IF(' car_sales_data 1'!$G240&gt;=20000,"Mid Range","Budget"))</f>
        <v>Premium</v>
      </c>
      <c r="L240" s="13">
        <f>YEAR(TODAY())-' car_sales_data 1'!$F240</f>
        <v>13</v>
      </c>
    </row>
    <row r="241" ht="15.75" customHeight="1">
      <c r="A241" s="16">
        <v>45014.0</v>
      </c>
      <c r="B241" s="13" t="s">
        <v>528</v>
      </c>
      <c r="C241" s="13" t="s">
        <v>529</v>
      </c>
      <c r="D241" s="13" t="s">
        <v>6</v>
      </c>
      <c r="E241" s="13" t="s">
        <v>54</v>
      </c>
      <c r="F241" s="13">
        <v>2017.0</v>
      </c>
      <c r="G241" s="13">
        <v>47493.0</v>
      </c>
      <c r="H241" s="13">
        <v>2454.19</v>
      </c>
      <c r="I241" s="13">
        <f>' car_sales_data 1'!$G241*0.2</f>
        <v>9498.6</v>
      </c>
      <c r="J241" s="13" t="str">
        <f>TEXT(' car_sales_data 1'!$A241,"mmmm")</f>
        <v>March</v>
      </c>
      <c r="K241" s="13" t="str">
        <f>IF(' car_sales_data 1'!$G241&gt;40000,"Premium",
 IF(' car_sales_data 1'!$G241&gt;=20000,"Mid Range","Budget"))</f>
        <v>Premium</v>
      </c>
      <c r="L241" s="13">
        <f>YEAR(TODAY())-' car_sales_data 1'!$F241</f>
        <v>8</v>
      </c>
    </row>
    <row r="242" ht="15.75" customHeight="1">
      <c r="A242" s="16">
        <v>44694.0</v>
      </c>
      <c r="B242" s="13" t="s">
        <v>530</v>
      </c>
      <c r="C242" s="13" t="s">
        <v>531</v>
      </c>
      <c r="D242" s="13" t="s">
        <v>12</v>
      </c>
      <c r="E242" s="13" t="s">
        <v>54</v>
      </c>
      <c r="F242" s="13">
        <v>2013.0</v>
      </c>
      <c r="G242" s="13">
        <v>38728.0</v>
      </c>
      <c r="H242" s="13">
        <v>4309.66</v>
      </c>
      <c r="I242" s="13">
        <f>' car_sales_data 1'!$G242*0.2</f>
        <v>7745.6</v>
      </c>
      <c r="J242" s="13" t="str">
        <f>TEXT(' car_sales_data 1'!$A242,"mmmm")</f>
        <v>May</v>
      </c>
      <c r="K242" s="13" t="str">
        <f>IF(' car_sales_data 1'!$G242&gt;40000,"Premium",
 IF(' car_sales_data 1'!$G242&gt;=20000,"Mid Range","Budget"))</f>
        <v>Mid Range</v>
      </c>
      <c r="L242" s="13">
        <f>YEAR(TODAY())-' car_sales_data 1'!$F242</f>
        <v>12</v>
      </c>
    </row>
    <row r="243" ht="15.75" customHeight="1">
      <c r="A243" s="16">
        <v>44905.0</v>
      </c>
      <c r="B243" s="13" t="s">
        <v>532</v>
      </c>
      <c r="C243" s="13" t="s">
        <v>533</v>
      </c>
      <c r="D243" s="13" t="s">
        <v>14</v>
      </c>
      <c r="E243" s="13" t="s">
        <v>70</v>
      </c>
      <c r="F243" s="13">
        <v>2018.0</v>
      </c>
      <c r="G243" s="13">
        <v>20474.0</v>
      </c>
      <c r="H243" s="13">
        <v>2146.05</v>
      </c>
      <c r="I243" s="13">
        <f>' car_sales_data 1'!$G243*0.2</f>
        <v>4094.8</v>
      </c>
      <c r="J243" s="13" t="str">
        <f>TEXT(' car_sales_data 1'!$A243,"mmmm")</f>
        <v>December</v>
      </c>
      <c r="K243" s="13" t="str">
        <f>IF(' car_sales_data 1'!$G243&gt;40000,"Premium",
 IF(' car_sales_data 1'!$G243&gt;=20000,"Mid Range","Budget"))</f>
        <v>Mid Range</v>
      </c>
      <c r="L243" s="13">
        <f>YEAR(TODAY())-' car_sales_data 1'!$F243</f>
        <v>7</v>
      </c>
    </row>
    <row r="244" ht="15.75" customHeight="1">
      <c r="A244" s="16">
        <v>44951.0</v>
      </c>
      <c r="B244" s="13" t="s">
        <v>534</v>
      </c>
      <c r="C244" s="13" t="s">
        <v>535</v>
      </c>
      <c r="D244" s="13" t="s">
        <v>12</v>
      </c>
      <c r="E244" s="13" t="s">
        <v>70</v>
      </c>
      <c r="F244" s="13">
        <v>2017.0</v>
      </c>
      <c r="G244" s="13">
        <v>27532.0</v>
      </c>
      <c r="H244" s="13">
        <v>3312.74</v>
      </c>
      <c r="I244" s="13">
        <f>' car_sales_data 1'!$G244*0.2</f>
        <v>5506.4</v>
      </c>
      <c r="J244" s="13" t="str">
        <f>TEXT(' car_sales_data 1'!$A244,"mmmm")</f>
        <v>January</v>
      </c>
      <c r="K244" s="13" t="str">
        <f>IF(' car_sales_data 1'!$G244&gt;40000,"Premium",
 IF(' car_sales_data 1'!$G244&gt;=20000,"Mid Range","Budget"))</f>
        <v>Mid Range</v>
      </c>
      <c r="L244" s="13">
        <f>YEAR(TODAY())-' car_sales_data 1'!$F244</f>
        <v>8</v>
      </c>
    </row>
    <row r="245" ht="15.75" customHeight="1">
      <c r="A245" s="16">
        <v>44805.0</v>
      </c>
      <c r="B245" s="13" t="s">
        <v>536</v>
      </c>
      <c r="C245" s="13" t="s">
        <v>537</v>
      </c>
      <c r="D245" s="13" t="s">
        <v>10</v>
      </c>
      <c r="E245" s="13" t="s">
        <v>51</v>
      </c>
      <c r="F245" s="13">
        <v>2022.0</v>
      </c>
      <c r="G245" s="13">
        <v>48674.0</v>
      </c>
      <c r="H245" s="13">
        <v>4939.44</v>
      </c>
      <c r="I245" s="13">
        <f>' car_sales_data 1'!$G245*0.2</f>
        <v>9734.8</v>
      </c>
      <c r="J245" s="13" t="str">
        <f>TEXT(' car_sales_data 1'!$A245,"mmmm")</f>
        <v>September</v>
      </c>
      <c r="K245" s="13" t="str">
        <f>IF(' car_sales_data 1'!$G245&gt;40000,"Premium",
 IF(' car_sales_data 1'!$G245&gt;=20000,"Mid Range","Budget"))</f>
        <v>Premium</v>
      </c>
      <c r="L245" s="13">
        <f>YEAR(TODAY())-' car_sales_data 1'!$F245</f>
        <v>3</v>
      </c>
    </row>
    <row r="246" ht="15.75" customHeight="1">
      <c r="A246" s="16">
        <v>44991.0</v>
      </c>
      <c r="B246" s="13" t="s">
        <v>538</v>
      </c>
      <c r="C246" s="13" t="s">
        <v>539</v>
      </c>
      <c r="D246" s="13" t="s">
        <v>12</v>
      </c>
      <c r="E246" s="13" t="s">
        <v>54</v>
      </c>
      <c r="F246" s="13">
        <v>2021.0</v>
      </c>
      <c r="G246" s="13">
        <v>24435.0</v>
      </c>
      <c r="H246" s="13">
        <v>2235.2</v>
      </c>
      <c r="I246" s="13">
        <f>' car_sales_data 1'!$G246*0.2</f>
        <v>4887</v>
      </c>
      <c r="J246" s="13" t="str">
        <f>TEXT(' car_sales_data 1'!$A246,"mmmm")</f>
        <v>March</v>
      </c>
      <c r="K246" s="13" t="str">
        <f>IF(' car_sales_data 1'!$G246&gt;40000,"Premium",
 IF(' car_sales_data 1'!$G246&gt;=20000,"Mid Range","Budget"))</f>
        <v>Mid Range</v>
      </c>
      <c r="L246" s="13">
        <f>YEAR(TODAY())-' car_sales_data 1'!$F246</f>
        <v>4</v>
      </c>
    </row>
    <row r="247" ht="15.75" customHeight="1">
      <c r="A247" s="16">
        <v>44693.0</v>
      </c>
      <c r="B247" s="13" t="s">
        <v>540</v>
      </c>
      <c r="C247" s="13" t="s">
        <v>541</v>
      </c>
      <c r="D247" s="13" t="s">
        <v>10</v>
      </c>
      <c r="E247" s="13" t="s">
        <v>62</v>
      </c>
      <c r="F247" s="13">
        <v>2014.0</v>
      </c>
      <c r="G247" s="13">
        <v>12312.0</v>
      </c>
      <c r="H247" s="13">
        <v>1776.04</v>
      </c>
      <c r="I247" s="13">
        <f>' car_sales_data 1'!$G247*0.2</f>
        <v>2462.4</v>
      </c>
      <c r="J247" s="13" t="str">
        <f>TEXT(' car_sales_data 1'!$A247,"mmmm")</f>
        <v>May</v>
      </c>
      <c r="K247" s="13" t="str">
        <f>IF(' car_sales_data 1'!$G247&gt;40000,"Premium",
 IF(' car_sales_data 1'!$G247&gt;=20000,"Mid Range","Budget"))</f>
        <v>Budget</v>
      </c>
      <c r="L247" s="13">
        <f>YEAR(TODAY())-' car_sales_data 1'!$F247</f>
        <v>11</v>
      </c>
    </row>
    <row r="248" ht="15.75" customHeight="1">
      <c r="A248" s="16">
        <v>44965.0</v>
      </c>
      <c r="B248" s="13" t="s">
        <v>542</v>
      </c>
      <c r="C248" s="13" t="s">
        <v>543</v>
      </c>
      <c r="D248" s="13" t="s">
        <v>14</v>
      </c>
      <c r="E248" s="13" t="s">
        <v>70</v>
      </c>
      <c r="F248" s="13">
        <v>2021.0</v>
      </c>
      <c r="G248" s="13">
        <v>29298.0</v>
      </c>
      <c r="H248" s="13">
        <v>2238.53</v>
      </c>
      <c r="I248" s="13">
        <f>' car_sales_data 1'!$G248*0.2</f>
        <v>5859.6</v>
      </c>
      <c r="J248" s="13" t="str">
        <f>TEXT(' car_sales_data 1'!$A248,"mmmm")</f>
        <v>February</v>
      </c>
      <c r="K248" s="13" t="str">
        <f>IF(' car_sales_data 1'!$G248&gt;40000,"Premium",
 IF(' car_sales_data 1'!$G248&gt;=20000,"Mid Range","Budget"))</f>
        <v>Mid Range</v>
      </c>
      <c r="L248" s="13">
        <f>YEAR(TODAY())-' car_sales_data 1'!$F248</f>
        <v>4</v>
      </c>
    </row>
    <row r="249" ht="15.75" customHeight="1">
      <c r="A249" s="16">
        <v>44954.0</v>
      </c>
      <c r="B249" s="13" t="s">
        <v>544</v>
      </c>
      <c r="C249" s="13" t="s">
        <v>545</v>
      </c>
      <c r="D249" s="13" t="s">
        <v>14</v>
      </c>
      <c r="E249" s="13" t="s">
        <v>54</v>
      </c>
      <c r="F249" s="13">
        <v>2014.0</v>
      </c>
      <c r="G249" s="13">
        <v>49461.0</v>
      </c>
      <c r="H249" s="13">
        <v>6053.5</v>
      </c>
      <c r="I249" s="13">
        <f>' car_sales_data 1'!$G249*0.2</f>
        <v>9892.2</v>
      </c>
      <c r="J249" s="13" t="str">
        <f>TEXT(' car_sales_data 1'!$A249,"mmmm")</f>
        <v>January</v>
      </c>
      <c r="K249" s="13" t="str">
        <f>IF(' car_sales_data 1'!$G249&gt;40000,"Premium",
 IF(' car_sales_data 1'!$G249&gt;=20000,"Mid Range","Budget"))</f>
        <v>Premium</v>
      </c>
      <c r="L249" s="13">
        <f>YEAR(TODAY())-' car_sales_data 1'!$F249</f>
        <v>11</v>
      </c>
    </row>
    <row r="250" ht="15.75" customHeight="1">
      <c r="A250" s="16">
        <v>44925.0</v>
      </c>
      <c r="B250" s="13" t="s">
        <v>546</v>
      </c>
      <c r="C250" s="13" t="s">
        <v>547</v>
      </c>
      <c r="D250" s="13" t="s">
        <v>10</v>
      </c>
      <c r="E250" s="13" t="s">
        <v>51</v>
      </c>
      <c r="F250" s="13">
        <v>2011.0</v>
      </c>
      <c r="G250" s="13">
        <v>24893.0</v>
      </c>
      <c r="H250" s="13">
        <v>3309.47</v>
      </c>
      <c r="I250" s="13">
        <f>' car_sales_data 1'!$G250*0.2</f>
        <v>4978.6</v>
      </c>
      <c r="J250" s="13" t="str">
        <f>TEXT(' car_sales_data 1'!$A250,"mmmm")</f>
        <v>December</v>
      </c>
      <c r="K250" s="13" t="str">
        <f>IF(' car_sales_data 1'!$G250&gt;40000,"Premium",
 IF(' car_sales_data 1'!$G250&gt;=20000,"Mid Range","Budget"))</f>
        <v>Mid Range</v>
      </c>
      <c r="L250" s="13">
        <f>YEAR(TODAY())-' car_sales_data 1'!$F250</f>
        <v>14</v>
      </c>
    </row>
    <row r="251" ht="15.75" customHeight="1">
      <c r="A251" s="16">
        <v>44990.0</v>
      </c>
      <c r="B251" s="13" t="s">
        <v>548</v>
      </c>
      <c r="C251" s="13" t="s">
        <v>549</v>
      </c>
      <c r="D251" s="13" t="s">
        <v>6</v>
      </c>
      <c r="E251" s="13" t="s">
        <v>51</v>
      </c>
      <c r="F251" s="13">
        <v>2015.0</v>
      </c>
      <c r="G251" s="13">
        <v>15463.0</v>
      </c>
      <c r="H251" s="13">
        <v>2144.3</v>
      </c>
      <c r="I251" s="13">
        <f>' car_sales_data 1'!$G251*0.2</f>
        <v>3092.6</v>
      </c>
      <c r="J251" s="13" t="str">
        <f>TEXT(' car_sales_data 1'!$A251,"mmmm")</f>
        <v>March</v>
      </c>
      <c r="K251" s="13" t="str">
        <f>IF(' car_sales_data 1'!$G251&gt;40000,"Premium",
 IF(' car_sales_data 1'!$G251&gt;=20000,"Mid Range","Budget"))</f>
        <v>Budget</v>
      </c>
      <c r="L251" s="13">
        <f>YEAR(TODAY())-' car_sales_data 1'!$F251</f>
        <v>10</v>
      </c>
    </row>
    <row r="252" ht="15.75" customHeight="1">
      <c r="A252" s="16">
        <v>44722.0</v>
      </c>
      <c r="B252" s="13" t="s">
        <v>550</v>
      </c>
      <c r="C252" s="13" t="s">
        <v>551</v>
      </c>
      <c r="D252" s="13" t="s">
        <v>6</v>
      </c>
      <c r="E252" s="13" t="s">
        <v>54</v>
      </c>
      <c r="F252" s="13">
        <v>2022.0</v>
      </c>
      <c r="G252" s="13">
        <v>43427.0</v>
      </c>
      <c r="H252" s="13">
        <v>4398.69</v>
      </c>
      <c r="I252" s="13">
        <f>' car_sales_data 1'!$G252*0.2</f>
        <v>8685.4</v>
      </c>
      <c r="J252" s="13" t="str">
        <f>TEXT(' car_sales_data 1'!$A252,"mmmm")</f>
        <v>June</v>
      </c>
      <c r="K252" s="13" t="str">
        <f>IF(' car_sales_data 1'!$G252&gt;40000,"Premium",
 IF(' car_sales_data 1'!$G252&gt;=20000,"Mid Range","Budget"))</f>
        <v>Premium</v>
      </c>
      <c r="L252" s="13">
        <f>YEAR(TODAY())-' car_sales_data 1'!$F252</f>
        <v>3</v>
      </c>
    </row>
    <row r="253" ht="15.75" customHeight="1">
      <c r="A253" s="16">
        <v>44701.0</v>
      </c>
      <c r="B253" s="13" t="s">
        <v>552</v>
      </c>
      <c r="C253" s="13" t="s">
        <v>553</v>
      </c>
      <c r="D253" s="13" t="s">
        <v>8</v>
      </c>
      <c r="E253" s="13" t="s">
        <v>62</v>
      </c>
      <c r="F253" s="13">
        <v>2019.0</v>
      </c>
      <c r="G253" s="13">
        <v>32745.0</v>
      </c>
      <c r="H253" s="13">
        <v>4506.05</v>
      </c>
      <c r="I253" s="13">
        <f>' car_sales_data 1'!$G253*0.2</f>
        <v>6549</v>
      </c>
      <c r="J253" s="13" t="str">
        <f>TEXT(' car_sales_data 1'!$A253,"mmmm")</f>
        <v>May</v>
      </c>
      <c r="K253" s="13" t="str">
        <f>IF(' car_sales_data 1'!$G253&gt;40000,"Premium",
 IF(' car_sales_data 1'!$G253&gt;=20000,"Mid Range","Budget"))</f>
        <v>Mid Range</v>
      </c>
      <c r="L253" s="13">
        <f>YEAR(TODAY())-' car_sales_data 1'!$F253</f>
        <v>6</v>
      </c>
    </row>
    <row r="254" ht="15.75" customHeight="1">
      <c r="A254" s="16">
        <v>44925.0</v>
      </c>
      <c r="B254" s="13" t="s">
        <v>554</v>
      </c>
      <c r="C254" s="13" t="s">
        <v>555</v>
      </c>
      <c r="D254" s="13" t="s">
        <v>10</v>
      </c>
      <c r="E254" s="13" t="s">
        <v>57</v>
      </c>
      <c r="F254" s="13">
        <v>2016.0</v>
      </c>
      <c r="G254" s="13">
        <v>44326.0</v>
      </c>
      <c r="H254" s="13">
        <v>3665.59</v>
      </c>
      <c r="I254" s="13">
        <f>' car_sales_data 1'!$G254*0.2</f>
        <v>8865.2</v>
      </c>
      <c r="J254" s="13" t="str">
        <f>TEXT(' car_sales_data 1'!$A254,"mmmm")</f>
        <v>December</v>
      </c>
      <c r="K254" s="13" t="str">
        <f>IF(' car_sales_data 1'!$G254&gt;40000,"Premium",
 IF(' car_sales_data 1'!$G254&gt;=20000,"Mid Range","Budget"))</f>
        <v>Premium</v>
      </c>
      <c r="L254" s="13">
        <f>YEAR(TODAY())-' car_sales_data 1'!$F254</f>
        <v>9</v>
      </c>
    </row>
    <row r="255" ht="15.75" customHeight="1">
      <c r="A255" s="16">
        <v>44968.0</v>
      </c>
      <c r="B255" s="13" t="s">
        <v>556</v>
      </c>
      <c r="C255" s="13" t="s">
        <v>557</v>
      </c>
      <c r="D255" s="13" t="s">
        <v>14</v>
      </c>
      <c r="E255" s="13" t="s">
        <v>51</v>
      </c>
      <c r="F255" s="13">
        <v>2010.0</v>
      </c>
      <c r="G255" s="13">
        <v>35908.0</v>
      </c>
      <c r="H255" s="13">
        <v>2317.02</v>
      </c>
      <c r="I255" s="13">
        <f>' car_sales_data 1'!$G255*0.2</f>
        <v>7181.6</v>
      </c>
      <c r="J255" s="13" t="str">
        <f>TEXT(' car_sales_data 1'!$A255,"mmmm")</f>
        <v>February</v>
      </c>
      <c r="K255" s="13" t="str">
        <f>IF(' car_sales_data 1'!$G255&gt;40000,"Premium",
 IF(' car_sales_data 1'!$G255&gt;=20000,"Mid Range","Budget"))</f>
        <v>Mid Range</v>
      </c>
      <c r="L255" s="13">
        <f>YEAR(TODAY())-' car_sales_data 1'!$F255</f>
        <v>15</v>
      </c>
    </row>
    <row r="256" ht="15.75" customHeight="1">
      <c r="A256" s="16">
        <v>44783.0</v>
      </c>
      <c r="B256" s="13" t="s">
        <v>558</v>
      </c>
      <c r="C256" s="13" t="s">
        <v>559</v>
      </c>
      <c r="D256" s="13" t="s">
        <v>6</v>
      </c>
      <c r="E256" s="13" t="s">
        <v>62</v>
      </c>
      <c r="F256" s="13">
        <v>2020.0</v>
      </c>
      <c r="G256" s="13">
        <v>25433.0</v>
      </c>
      <c r="H256" s="13">
        <v>3409.47</v>
      </c>
      <c r="I256" s="13">
        <f>' car_sales_data 1'!$G256*0.2</f>
        <v>5086.6</v>
      </c>
      <c r="J256" s="13" t="str">
        <f>TEXT(' car_sales_data 1'!$A256,"mmmm")</f>
        <v>August</v>
      </c>
      <c r="K256" s="13" t="str">
        <f>IF(' car_sales_data 1'!$G256&gt;40000,"Premium",
 IF(' car_sales_data 1'!$G256&gt;=20000,"Mid Range","Budget"))</f>
        <v>Mid Range</v>
      </c>
      <c r="L256" s="13">
        <f>YEAR(TODAY())-' car_sales_data 1'!$F256</f>
        <v>5</v>
      </c>
    </row>
    <row r="257" ht="15.75" customHeight="1">
      <c r="A257" s="16">
        <v>44858.0</v>
      </c>
      <c r="B257" s="13" t="s">
        <v>560</v>
      </c>
      <c r="C257" s="13" t="s">
        <v>561</v>
      </c>
      <c r="D257" s="13" t="s">
        <v>6</v>
      </c>
      <c r="E257" s="13" t="s">
        <v>62</v>
      </c>
      <c r="F257" s="13">
        <v>2018.0</v>
      </c>
      <c r="G257" s="13">
        <v>26811.0</v>
      </c>
      <c r="H257" s="13">
        <v>3757.16</v>
      </c>
      <c r="I257" s="13">
        <f>' car_sales_data 1'!$G257*0.2</f>
        <v>5362.2</v>
      </c>
      <c r="J257" s="13" t="str">
        <f>TEXT(' car_sales_data 1'!$A257,"mmmm")</f>
        <v>October</v>
      </c>
      <c r="K257" s="13" t="str">
        <f>IF(' car_sales_data 1'!$G257&gt;40000,"Premium",
 IF(' car_sales_data 1'!$G257&gt;=20000,"Mid Range","Budget"))</f>
        <v>Mid Range</v>
      </c>
      <c r="L257" s="13">
        <f>YEAR(TODAY())-' car_sales_data 1'!$F257</f>
        <v>7</v>
      </c>
    </row>
    <row r="258" ht="15.75" customHeight="1">
      <c r="A258" s="16">
        <v>45044.0</v>
      </c>
      <c r="B258" s="13" t="s">
        <v>562</v>
      </c>
      <c r="C258" s="13" t="s">
        <v>563</v>
      </c>
      <c r="D258" s="13" t="s">
        <v>6</v>
      </c>
      <c r="E258" s="13" t="s">
        <v>57</v>
      </c>
      <c r="F258" s="13">
        <v>2020.0</v>
      </c>
      <c r="G258" s="13">
        <v>15607.0</v>
      </c>
      <c r="H258" s="13">
        <v>1666.33</v>
      </c>
      <c r="I258" s="13">
        <f>' car_sales_data 1'!$G258*0.2</f>
        <v>3121.4</v>
      </c>
      <c r="J258" s="13" t="str">
        <f>TEXT(' car_sales_data 1'!$A258,"mmmm")</f>
        <v>April</v>
      </c>
      <c r="K258" s="13" t="str">
        <f>IF(' car_sales_data 1'!$G258&gt;40000,"Premium",
 IF(' car_sales_data 1'!$G258&gt;=20000,"Mid Range","Budget"))</f>
        <v>Budget</v>
      </c>
      <c r="L258" s="13">
        <f>YEAR(TODAY())-' car_sales_data 1'!$F258</f>
        <v>5</v>
      </c>
    </row>
    <row r="259" ht="15.75" customHeight="1">
      <c r="A259" s="16">
        <v>44992.0</v>
      </c>
      <c r="B259" s="13" t="s">
        <v>564</v>
      </c>
      <c r="C259" s="13" t="s">
        <v>565</v>
      </c>
      <c r="D259" s="13" t="s">
        <v>6</v>
      </c>
      <c r="E259" s="13" t="s">
        <v>57</v>
      </c>
      <c r="F259" s="13">
        <v>2013.0</v>
      </c>
      <c r="G259" s="13">
        <v>20064.0</v>
      </c>
      <c r="H259" s="13">
        <v>1809.32</v>
      </c>
      <c r="I259" s="13">
        <f>' car_sales_data 1'!$G259*0.2</f>
        <v>4012.8</v>
      </c>
      <c r="J259" s="13" t="str">
        <f>TEXT(' car_sales_data 1'!$A259,"mmmm")</f>
        <v>March</v>
      </c>
      <c r="K259" s="13" t="str">
        <f>IF(' car_sales_data 1'!$G259&gt;40000,"Premium",
 IF(' car_sales_data 1'!$G259&gt;=20000,"Mid Range","Budget"))</f>
        <v>Mid Range</v>
      </c>
      <c r="L259" s="13">
        <f>YEAR(TODAY())-' car_sales_data 1'!$F259</f>
        <v>12</v>
      </c>
    </row>
    <row r="260" ht="15.75" customHeight="1">
      <c r="A260" s="16">
        <v>44774.0</v>
      </c>
      <c r="B260" s="13" t="s">
        <v>566</v>
      </c>
      <c r="C260" s="13" t="s">
        <v>567</v>
      </c>
      <c r="D260" s="13" t="s">
        <v>14</v>
      </c>
      <c r="E260" s="13" t="s">
        <v>70</v>
      </c>
      <c r="F260" s="13">
        <v>2019.0</v>
      </c>
      <c r="G260" s="13">
        <v>48779.0</v>
      </c>
      <c r="H260" s="13">
        <v>2580.39</v>
      </c>
      <c r="I260" s="13">
        <f>' car_sales_data 1'!$G260*0.2</f>
        <v>9755.8</v>
      </c>
      <c r="J260" s="13" t="str">
        <f>TEXT(' car_sales_data 1'!$A260,"mmmm")</f>
        <v>August</v>
      </c>
      <c r="K260" s="13" t="str">
        <f>IF(' car_sales_data 1'!$G260&gt;40000,"Premium",
 IF(' car_sales_data 1'!$G260&gt;=20000,"Mid Range","Budget"))</f>
        <v>Premium</v>
      </c>
      <c r="L260" s="13">
        <f>YEAR(TODAY())-' car_sales_data 1'!$F260</f>
        <v>6</v>
      </c>
    </row>
    <row r="261" ht="15.75" customHeight="1">
      <c r="A261" s="16">
        <v>44682.0</v>
      </c>
      <c r="B261" s="13" t="s">
        <v>568</v>
      </c>
      <c r="C261" s="13" t="s">
        <v>569</v>
      </c>
      <c r="D261" s="13" t="s">
        <v>6</v>
      </c>
      <c r="E261" s="13" t="s">
        <v>51</v>
      </c>
      <c r="F261" s="13">
        <v>2022.0</v>
      </c>
      <c r="G261" s="13">
        <v>43674.0</v>
      </c>
      <c r="H261" s="13">
        <v>4338.46</v>
      </c>
      <c r="I261" s="13">
        <f>' car_sales_data 1'!$G261*0.2</f>
        <v>8734.8</v>
      </c>
      <c r="J261" s="13" t="str">
        <f>TEXT(' car_sales_data 1'!$A261,"mmmm")</f>
        <v>May</v>
      </c>
      <c r="K261" s="13" t="str">
        <f>IF(' car_sales_data 1'!$G261&gt;40000,"Premium",
 IF(' car_sales_data 1'!$G261&gt;=20000,"Mid Range","Budget"))</f>
        <v>Premium</v>
      </c>
      <c r="L261" s="13">
        <f>YEAR(TODAY())-' car_sales_data 1'!$F261</f>
        <v>3</v>
      </c>
    </row>
    <row r="262" ht="15.75" customHeight="1">
      <c r="A262" s="16">
        <v>44950.0</v>
      </c>
      <c r="B262" s="13" t="s">
        <v>570</v>
      </c>
      <c r="C262" s="13" t="s">
        <v>571</v>
      </c>
      <c r="D262" s="13" t="s">
        <v>6</v>
      </c>
      <c r="E262" s="13" t="s">
        <v>51</v>
      </c>
      <c r="F262" s="13">
        <v>2013.0</v>
      </c>
      <c r="G262" s="13">
        <v>22172.0</v>
      </c>
      <c r="H262" s="13">
        <v>1600.72</v>
      </c>
      <c r="I262" s="13">
        <f>' car_sales_data 1'!$G262*0.2</f>
        <v>4434.4</v>
      </c>
      <c r="J262" s="13" t="str">
        <f>TEXT(' car_sales_data 1'!$A262,"mmmm")</f>
        <v>January</v>
      </c>
      <c r="K262" s="13" t="str">
        <f>IF(' car_sales_data 1'!$G262&gt;40000,"Premium",
 IF(' car_sales_data 1'!$G262&gt;=20000,"Mid Range","Budget"))</f>
        <v>Mid Range</v>
      </c>
      <c r="L262" s="13">
        <f>YEAR(TODAY())-' car_sales_data 1'!$F262</f>
        <v>12</v>
      </c>
    </row>
    <row r="263" ht="15.75" customHeight="1">
      <c r="A263" s="16">
        <v>44770.0</v>
      </c>
      <c r="B263" s="13" t="s">
        <v>572</v>
      </c>
      <c r="C263" s="13" t="s">
        <v>573</v>
      </c>
      <c r="D263" s="13" t="s">
        <v>6</v>
      </c>
      <c r="E263" s="13" t="s">
        <v>57</v>
      </c>
      <c r="F263" s="13">
        <v>2017.0</v>
      </c>
      <c r="G263" s="13">
        <v>13133.0</v>
      </c>
      <c r="H263" s="13">
        <v>1938.52</v>
      </c>
      <c r="I263" s="13">
        <f>' car_sales_data 1'!$G263*0.2</f>
        <v>2626.6</v>
      </c>
      <c r="J263" s="13" t="str">
        <f>TEXT(' car_sales_data 1'!$A263,"mmmm")</f>
        <v>July</v>
      </c>
      <c r="K263" s="13" t="str">
        <f>IF(' car_sales_data 1'!$G263&gt;40000,"Premium",
 IF(' car_sales_data 1'!$G263&gt;=20000,"Mid Range","Budget"))</f>
        <v>Budget</v>
      </c>
      <c r="L263" s="13">
        <f>YEAR(TODAY())-' car_sales_data 1'!$F263</f>
        <v>8</v>
      </c>
    </row>
    <row r="264" ht="15.75" customHeight="1">
      <c r="A264" s="16">
        <v>44761.0</v>
      </c>
      <c r="B264" s="13" t="s">
        <v>574</v>
      </c>
      <c r="C264" s="13" t="s">
        <v>575</v>
      </c>
      <c r="D264" s="13" t="s">
        <v>10</v>
      </c>
      <c r="E264" s="13" t="s">
        <v>70</v>
      </c>
      <c r="F264" s="13">
        <v>2010.0</v>
      </c>
      <c r="G264" s="13">
        <v>17406.0</v>
      </c>
      <c r="H264" s="13">
        <v>1890.03</v>
      </c>
      <c r="I264" s="13">
        <f>' car_sales_data 1'!$G264*0.2</f>
        <v>3481.2</v>
      </c>
      <c r="J264" s="13" t="str">
        <f>TEXT(' car_sales_data 1'!$A264,"mmmm")</f>
        <v>July</v>
      </c>
      <c r="K264" s="13" t="str">
        <f>IF(' car_sales_data 1'!$G264&gt;40000,"Premium",
 IF(' car_sales_data 1'!$G264&gt;=20000,"Mid Range","Budget"))</f>
        <v>Budget</v>
      </c>
      <c r="L264" s="13">
        <f>YEAR(TODAY())-' car_sales_data 1'!$F264</f>
        <v>15</v>
      </c>
    </row>
    <row r="265" ht="15.75" customHeight="1">
      <c r="A265" s="16">
        <v>44903.0</v>
      </c>
      <c r="B265" s="13" t="s">
        <v>576</v>
      </c>
      <c r="C265" s="13" t="s">
        <v>577</v>
      </c>
      <c r="D265" s="13" t="s">
        <v>14</v>
      </c>
      <c r="E265" s="13" t="s">
        <v>62</v>
      </c>
      <c r="F265" s="13">
        <v>2011.0</v>
      </c>
      <c r="G265" s="13">
        <v>42233.0</v>
      </c>
      <c r="H265" s="13">
        <v>2664.38</v>
      </c>
      <c r="I265" s="13">
        <f>' car_sales_data 1'!$G265*0.2</f>
        <v>8446.6</v>
      </c>
      <c r="J265" s="13" t="str">
        <f>TEXT(' car_sales_data 1'!$A265,"mmmm")</f>
        <v>December</v>
      </c>
      <c r="K265" s="13" t="str">
        <f>IF(' car_sales_data 1'!$G265&gt;40000,"Premium",
 IF(' car_sales_data 1'!$G265&gt;=20000,"Mid Range","Budget"))</f>
        <v>Premium</v>
      </c>
      <c r="L265" s="13">
        <f>YEAR(TODAY())-' car_sales_data 1'!$F265</f>
        <v>14</v>
      </c>
    </row>
    <row r="266" ht="15.75" customHeight="1">
      <c r="A266" s="16">
        <v>44940.0</v>
      </c>
      <c r="B266" s="13" t="s">
        <v>578</v>
      </c>
      <c r="C266" s="13" t="s">
        <v>579</v>
      </c>
      <c r="D266" s="13" t="s">
        <v>6</v>
      </c>
      <c r="E266" s="13" t="s">
        <v>70</v>
      </c>
      <c r="F266" s="13">
        <v>2020.0</v>
      </c>
      <c r="G266" s="13">
        <v>12813.0</v>
      </c>
      <c r="H266" s="13">
        <v>989.33</v>
      </c>
      <c r="I266" s="13">
        <f>' car_sales_data 1'!$G266*0.2</f>
        <v>2562.6</v>
      </c>
      <c r="J266" s="13" t="str">
        <f>TEXT(' car_sales_data 1'!$A266,"mmmm")</f>
        <v>January</v>
      </c>
      <c r="K266" s="13" t="str">
        <f>IF(' car_sales_data 1'!$G266&gt;40000,"Premium",
 IF(' car_sales_data 1'!$G266&gt;=20000,"Mid Range","Budget"))</f>
        <v>Budget</v>
      </c>
      <c r="L266" s="13">
        <f>YEAR(TODAY())-' car_sales_data 1'!$F266</f>
        <v>5</v>
      </c>
    </row>
    <row r="267" ht="15.75" customHeight="1">
      <c r="A267" s="16">
        <v>44909.0</v>
      </c>
      <c r="B267" s="13" t="s">
        <v>580</v>
      </c>
      <c r="C267" s="13" t="s">
        <v>581</v>
      </c>
      <c r="D267" s="13" t="s">
        <v>12</v>
      </c>
      <c r="E267" s="13" t="s">
        <v>54</v>
      </c>
      <c r="F267" s="13">
        <v>2019.0</v>
      </c>
      <c r="G267" s="13">
        <v>44048.0</v>
      </c>
      <c r="H267" s="13">
        <v>5440.51</v>
      </c>
      <c r="I267" s="13">
        <f>' car_sales_data 1'!$G267*0.2</f>
        <v>8809.6</v>
      </c>
      <c r="J267" s="13" t="str">
        <f>TEXT(' car_sales_data 1'!$A267,"mmmm")</f>
        <v>December</v>
      </c>
      <c r="K267" s="13" t="str">
        <f>IF(' car_sales_data 1'!$G267&gt;40000,"Premium",
 IF(' car_sales_data 1'!$G267&gt;=20000,"Mid Range","Budget"))</f>
        <v>Premium</v>
      </c>
      <c r="L267" s="13">
        <f>YEAR(TODAY())-' car_sales_data 1'!$F267</f>
        <v>6</v>
      </c>
    </row>
    <row r="268" ht="15.75" customHeight="1">
      <c r="A268" s="16">
        <v>44905.0</v>
      </c>
      <c r="B268" s="13" t="s">
        <v>582</v>
      </c>
      <c r="C268" s="13" t="s">
        <v>583</v>
      </c>
      <c r="D268" s="13" t="s">
        <v>10</v>
      </c>
      <c r="E268" s="13" t="s">
        <v>70</v>
      </c>
      <c r="F268" s="13">
        <v>2021.0</v>
      </c>
      <c r="G268" s="13">
        <v>47114.0</v>
      </c>
      <c r="H268" s="13">
        <v>3029.02</v>
      </c>
      <c r="I268" s="13">
        <f>' car_sales_data 1'!$G268*0.2</f>
        <v>9422.8</v>
      </c>
      <c r="J268" s="13" t="str">
        <f>TEXT(' car_sales_data 1'!$A268,"mmmm")</f>
        <v>December</v>
      </c>
      <c r="K268" s="13" t="str">
        <f>IF(' car_sales_data 1'!$G268&gt;40000,"Premium",
 IF(' car_sales_data 1'!$G268&gt;=20000,"Mid Range","Budget"))</f>
        <v>Premium</v>
      </c>
      <c r="L268" s="13">
        <f>YEAR(TODAY())-' car_sales_data 1'!$F268</f>
        <v>4</v>
      </c>
    </row>
    <row r="269" ht="15.75" customHeight="1">
      <c r="A269" s="16">
        <v>44721.0</v>
      </c>
      <c r="B269" s="13" t="s">
        <v>584</v>
      </c>
      <c r="C269" s="13" t="s">
        <v>585</v>
      </c>
      <c r="D269" s="13" t="s">
        <v>14</v>
      </c>
      <c r="E269" s="13" t="s">
        <v>51</v>
      </c>
      <c r="F269" s="13">
        <v>2020.0</v>
      </c>
      <c r="G269" s="13">
        <v>48709.0</v>
      </c>
      <c r="H269" s="13">
        <v>4340.87</v>
      </c>
      <c r="I269" s="13">
        <f>' car_sales_data 1'!$G269*0.2</f>
        <v>9741.8</v>
      </c>
      <c r="J269" s="13" t="str">
        <f>TEXT(' car_sales_data 1'!$A269,"mmmm")</f>
        <v>June</v>
      </c>
      <c r="K269" s="13" t="str">
        <f>IF(' car_sales_data 1'!$G269&gt;40000,"Premium",
 IF(' car_sales_data 1'!$G269&gt;=20000,"Mid Range","Budget"))</f>
        <v>Premium</v>
      </c>
      <c r="L269" s="13">
        <f>YEAR(TODAY())-' car_sales_data 1'!$F269</f>
        <v>5</v>
      </c>
    </row>
    <row r="270" ht="15.75" customHeight="1">
      <c r="A270" s="16">
        <v>45011.0</v>
      </c>
      <c r="B270" s="13" t="s">
        <v>586</v>
      </c>
      <c r="C270" s="13" t="s">
        <v>587</v>
      </c>
      <c r="D270" s="13" t="s">
        <v>14</v>
      </c>
      <c r="E270" s="13" t="s">
        <v>54</v>
      </c>
      <c r="F270" s="13">
        <v>2017.0</v>
      </c>
      <c r="G270" s="13">
        <v>38549.0</v>
      </c>
      <c r="H270" s="13">
        <v>3032.04</v>
      </c>
      <c r="I270" s="13">
        <f>' car_sales_data 1'!$G270*0.2</f>
        <v>7709.8</v>
      </c>
      <c r="J270" s="13" t="str">
        <f>TEXT(' car_sales_data 1'!$A270,"mmmm")</f>
        <v>March</v>
      </c>
      <c r="K270" s="13" t="str">
        <f>IF(' car_sales_data 1'!$G270&gt;40000,"Premium",
 IF(' car_sales_data 1'!$G270&gt;=20000,"Mid Range","Budget"))</f>
        <v>Mid Range</v>
      </c>
      <c r="L270" s="13">
        <f>YEAR(TODAY())-' car_sales_data 1'!$F270</f>
        <v>8</v>
      </c>
    </row>
    <row r="271" ht="15.75" customHeight="1">
      <c r="A271" s="16">
        <v>45000.0</v>
      </c>
      <c r="B271" s="13" t="s">
        <v>588</v>
      </c>
      <c r="C271" s="13" t="s">
        <v>589</v>
      </c>
      <c r="D271" s="13" t="s">
        <v>14</v>
      </c>
      <c r="E271" s="13" t="s">
        <v>62</v>
      </c>
      <c r="F271" s="13">
        <v>2012.0</v>
      </c>
      <c r="G271" s="13">
        <v>33017.0</v>
      </c>
      <c r="H271" s="13">
        <v>3841.63</v>
      </c>
      <c r="I271" s="13">
        <f>' car_sales_data 1'!$G271*0.2</f>
        <v>6603.4</v>
      </c>
      <c r="J271" s="13" t="str">
        <f>TEXT(' car_sales_data 1'!$A271,"mmmm")</f>
        <v>March</v>
      </c>
      <c r="K271" s="13" t="str">
        <f>IF(' car_sales_data 1'!$G271&gt;40000,"Premium",
 IF(' car_sales_data 1'!$G271&gt;=20000,"Mid Range","Budget"))</f>
        <v>Mid Range</v>
      </c>
      <c r="L271" s="13">
        <f>YEAR(TODAY())-' car_sales_data 1'!$F271</f>
        <v>13</v>
      </c>
    </row>
    <row r="272" ht="15.75" customHeight="1">
      <c r="A272" s="16">
        <v>44984.0</v>
      </c>
      <c r="B272" s="13" t="s">
        <v>590</v>
      </c>
      <c r="C272" s="13" t="s">
        <v>591</v>
      </c>
      <c r="D272" s="13" t="s">
        <v>6</v>
      </c>
      <c r="E272" s="13" t="s">
        <v>51</v>
      </c>
      <c r="F272" s="13">
        <v>2014.0</v>
      </c>
      <c r="G272" s="13">
        <v>20130.0</v>
      </c>
      <c r="H272" s="13">
        <v>2311.65</v>
      </c>
      <c r="I272" s="13">
        <f>' car_sales_data 1'!$G272*0.2</f>
        <v>4026</v>
      </c>
      <c r="J272" s="13" t="str">
        <f>TEXT(' car_sales_data 1'!$A272,"mmmm")</f>
        <v>February</v>
      </c>
      <c r="K272" s="13" t="str">
        <f>IF(' car_sales_data 1'!$G272&gt;40000,"Premium",
 IF(' car_sales_data 1'!$G272&gt;=20000,"Mid Range","Budget"))</f>
        <v>Mid Range</v>
      </c>
      <c r="L272" s="13">
        <f>YEAR(TODAY())-' car_sales_data 1'!$F272</f>
        <v>11</v>
      </c>
    </row>
    <row r="273" ht="15.75" customHeight="1">
      <c r="A273" s="16">
        <v>44772.0</v>
      </c>
      <c r="B273" s="13" t="s">
        <v>592</v>
      </c>
      <c r="C273" s="13" t="s">
        <v>593</v>
      </c>
      <c r="D273" s="13" t="s">
        <v>8</v>
      </c>
      <c r="E273" s="13" t="s">
        <v>54</v>
      </c>
      <c r="F273" s="13">
        <v>2019.0</v>
      </c>
      <c r="G273" s="13">
        <v>10854.0</v>
      </c>
      <c r="H273" s="13">
        <v>775.43</v>
      </c>
      <c r="I273" s="13">
        <f>' car_sales_data 1'!$G273*0.2</f>
        <v>2170.8</v>
      </c>
      <c r="J273" s="13" t="str">
        <f>TEXT(' car_sales_data 1'!$A273,"mmmm")</f>
        <v>July</v>
      </c>
      <c r="K273" s="13" t="str">
        <f>IF(' car_sales_data 1'!$G273&gt;40000,"Premium",
 IF(' car_sales_data 1'!$G273&gt;=20000,"Mid Range","Budget"))</f>
        <v>Budget</v>
      </c>
      <c r="L273" s="13">
        <f>YEAR(TODAY())-' car_sales_data 1'!$F273</f>
        <v>6</v>
      </c>
    </row>
    <row r="274" ht="15.75" customHeight="1">
      <c r="A274" s="16">
        <v>44984.0</v>
      </c>
      <c r="B274" s="13" t="s">
        <v>594</v>
      </c>
      <c r="C274" s="13" t="s">
        <v>595</v>
      </c>
      <c r="D274" s="13" t="s">
        <v>8</v>
      </c>
      <c r="E274" s="13" t="s">
        <v>62</v>
      </c>
      <c r="F274" s="13">
        <v>2022.0</v>
      </c>
      <c r="G274" s="13">
        <v>32233.0</v>
      </c>
      <c r="H274" s="13">
        <v>3759.75</v>
      </c>
      <c r="I274" s="13">
        <f>' car_sales_data 1'!$G274*0.2</f>
        <v>6446.6</v>
      </c>
      <c r="J274" s="13" t="str">
        <f>TEXT(' car_sales_data 1'!$A274,"mmmm")</f>
        <v>February</v>
      </c>
      <c r="K274" s="13" t="str">
        <f>IF(' car_sales_data 1'!$G274&gt;40000,"Premium",
 IF(' car_sales_data 1'!$G274&gt;=20000,"Mid Range","Budget"))</f>
        <v>Mid Range</v>
      </c>
      <c r="L274" s="13">
        <f>YEAR(TODAY())-' car_sales_data 1'!$F274</f>
        <v>3</v>
      </c>
    </row>
    <row r="275" ht="15.75" customHeight="1">
      <c r="A275" s="16">
        <v>44916.0</v>
      </c>
      <c r="B275" s="13" t="s">
        <v>596</v>
      </c>
      <c r="C275" s="13" t="s">
        <v>597</v>
      </c>
      <c r="D275" s="13" t="s">
        <v>10</v>
      </c>
      <c r="E275" s="13" t="s">
        <v>54</v>
      </c>
      <c r="F275" s="13">
        <v>2021.0</v>
      </c>
      <c r="G275" s="13">
        <v>15735.0</v>
      </c>
      <c r="H275" s="13">
        <v>802.11</v>
      </c>
      <c r="I275" s="13">
        <f>' car_sales_data 1'!$G275*0.2</f>
        <v>3147</v>
      </c>
      <c r="J275" s="13" t="str">
        <f>TEXT(' car_sales_data 1'!$A275,"mmmm")</f>
        <v>December</v>
      </c>
      <c r="K275" s="13" t="str">
        <f>IF(' car_sales_data 1'!$G275&gt;40000,"Premium",
 IF(' car_sales_data 1'!$G275&gt;=20000,"Mid Range","Budget"))</f>
        <v>Budget</v>
      </c>
      <c r="L275" s="13">
        <f>YEAR(TODAY())-' car_sales_data 1'!$F275</f>
        <v>4</v>
      </c>
    </row>
    <row r="276" ht="15.75" customHeight="1">
      <c r="A276" s="16">
        <v>44884.0</v>
      </c>
      <c r="B276" s="13" t="s">
        <v>598</v>
      </c>
      <c r="C276" s="13" t="s">
        <v>599</v>
      </c>
      <c r="D276" s="13" t="s">
        <v>6</v>
      </c>
      <c r="E276" s="13" t="s">
        <v>54</v>
      </c>
      <c r="F276" s="13">
        <v>2017.0</v>
      </c>
      <c r="G276" s="13">
        <v>47014.0</v>
      </c>
      <c r="H276" s="13">
        <v>5604.18</v>
      </c>
      <c r="I276" s="13">
        <f>' car_sales_data 1'!$G276*0.2</f>
        <v>9402.8</v>
      </c>
      <c r="J276" s="13" t="str">
        <f>TEXT(' car_sales_data 1'!$A276,"mmmm")</f>
        <v>November</v>
      </c>
      <c r="K276" s="13" t="str">
        <f>IF(' car_sales_data 1'!$G276&gt;40000,"Premium",
 IF(' car_sales_data 1'!$G276&gt;=20000,"Mid Range","Budget"))</f>
        <v>Premium</v>
      </c>
      <c r="L276" s="13">
        <f>YEAR(TODAY())-' car_sales_data 1'!$F276</f>
        <v>8</v>
      </c>
    </row>
    <row r="277" ht="15.75" customHeight="1">
      <c r="A277" s="16">
        <v>44768.0</v>
      </c>
      <c r="B277" s="13" t="s">
        <v>600</v>
      </c>
      <c r="C277" s="13" t="s">
        <v>601</v>
      </c>
      <c r="D277" s="13" t="s">
        <v>12</v>
      </c>
      <c r="E277" s="13" t="s">
        <v>70</v>
      </c>
      <c r="F277" s="13">
        <v>2011.0</v>
      </c>
      <c r="G277" s="13">
        <v>19556.0</v>
      </c>
      <c r="H277" s="13">
        <v>1611.19</v>
      </c>
      <c r="I277" s="13">
        <f>' car_sales_data 1'!$G277*0.2</f>
        <v>3911.2</v>
      </c>
      <c r="J277" s="13" t="str">
        <f>TEXT(' car_sales_data 1'!$A277,"mmmm")</f>
        <v>July</v>
      </c>
      <c r="K277" s="13" t="str">
        <f>IF(' car_sales_data 1'!$G277&gt;40000,"Premium",
 IF(' car_sales_data 1'!$G277&gt;=20000,"Mid Range","Budget"))</f>
        <v>Budget</v>
      </c>
      <c r="L277" s="13">
        <f>YEAR(TODAY())-' car_sales_data 1'!$F277</f>
        <v>14</v>
      </c>
    </row>
    <row r="278" ht="15.75" customHeight="1">
      <c r="A278" s="16">
        <v>45000.0</v>
      </c>
      <c r="B278" s="13" t="s">
        <v>602</v>
      </c>
      <c r="C278" s="13" t="s">
        <v>603</v>
      </c>
      <c r="D278" s="13" t="s">
        <v>12</v>
      </c>
      <c r="E278" s="13" t="s">
        <v>57</v>
      </c>
      <c r="F278" s="13">
        <v>2010.0</v>
      </c>
      <c r="G278" s="13">
        <v>11457.0</v>
      </c>
      <c r="H278" s="13">
        <v>951.11</v>
      </c>
      <c r="I278" s="13">
        <f>' car_sales_data 1'!$G278*0.2</f>
        <v>2291.4</v>
      </c>
      <c r="J278" s="13" t="str">
        <f>TEXT(' car_sales_data 1'!$A278,"mmmm")</f>
        <v>March</v>
      </c>
      <c r="K278" s="13" t="str">
        <f>IF(' car_sales_data 1'!$G278&gt;40000,"Premium",
 IF(' car_sales_data 1'!$G278&gt;=20000,"Mid Range","Budget"))</f>
        <v>Budget</v>
      </c>
      <c r="L278" s="13">
        <f>YEAR(TODAY())-' car_sales_data 1'!$F278</f>
        <v>15</v>
      </c>
    </row>
    <row r="279" ht="15.75" customHeight="1">
      <c r="A279" s="16">
        <v>44990.0</v>
      </c>
      <c r="B279" s="13" t="s">
        <v>604</v>
      </c>
      <c r="C279" s="13" t="s">
        <v>605</v>
      </c>
      <c r="D279" s="13" t="s">
        <v>10</v>
      </c>
      <c r="E279" s="13" t="s">
        <v>57</v>
      </c>
      <c r="F279" s="13">
        <v>2021.0</v>
      </c>
      <c r="G279" s="13">
        <v>38562.0</v>
      </c>
      <c r="H279" s="13">
        <v>2787.59</v>
      </c>
      <c r="I279" s="13">
        <f>' car_sales_data 1'!$G279*0.2</f>
        <v>7712.4</v>
      </c>
      <c r="J279" s="13" t="str">
        <f>TEXT(' car_sales_data 1'!$A279,"mmmm")</f>
        <v>March</v>
      </c>
      <c r="K279" s="13" t="str">
        <f>IF(' car_sales_data 1'!$G279&gt;40000,"Premium",
 IF(' car_sales_data 1'!$G279&gt;=20000,"Mid Range","Budget"))</f>
        <v>Mid Range</v>
      </c>
      <c r="L279" s="13">
        <f>YEAR(TODAY())-' car_sales_data 1'!$F279</f>
        <v>4</v>
      </c>
    </row>
    <row r="280" ht="15.75" customHeight="1">
      <c r="A280" s="16">
        <v>44860.0</v>
      </c>
      <c r="B280" s="13" t="s">
        <v>606</v>
      </c>
      <c r="C280" s="13" t="s">
        <v>607</v>
      </c>
      <c r="D280" s="13" t="s">
        <v>6</v>
      </c>
      <c r="E280" s="13" t="s">
        <v>62</v>
      </c>
      <c r="F280" s="13">
        <v>2013.0</v>
      </c>
      <c r="G280" s="13">
        <v>14566.0</v>
      </c>
      <c r="H280" s="13">
        <v>883.9</v>
      </c>
      <c r="I280" s="13">
        <f>' car_sales_data 1'!$G280*0.2</f>
        <v>2913.2</v>
      </c>
      <c r="J280" s="13" t="str">
        <f>TEXT(' car_sales_data 1'!$A280,"mmmm")</f>
        <v>October</v>
      </c>
      <c r="K280" s="13" t="str">
        <f>IF(' car_sales_data 1'!$G280&gt;40000,"Premium",
 IF(' car_sales_data 1'!$G280&gt;=20000,"Mid Range","Budget"))</f>
        <v>Budget</v>
      </c>
      <c r="L280" s="13">
        <f>YEAR(TODAY())-' car_sales_data 1'!$F280</f>
        <v>12</v>
      </c>
    </row>
    <row r="281" ht="15.75" customHeight="1">
      <c r="A281" s="16">
        <v>44924.0</v>
      </c>
      <c r="B281" s="13" t="s">
        <v>608</v>
      </c>
      <c r="C281" s="13" t="s">
        <v>609</v>
      </c>
      <c r="D281" s="13" t="s">
        <v>10</v>
      </c>
      <c r="E281" s="13" t="s">
        <v>54</v>
      </c>
      <c r="F281" s="13">
        <v>2021.0</v>
      </c>
      <c r="G281" s="13">
        <v>45660.0</v>
      </c>
      <c r="H281" s="13">
        <v>4984.18</v>
      </c>
      <c r="I281" s="13">
        <f>' car_sales_data 1'!$G281*0.2</f>
        <v>9132</v>
      </c>
      <c r="J281" s="13" t="str">
        <f>TEXT(' car_sales_data 1'!$A281,"mmmm")</f>
        <v>December</v>
      </c>
      <c r="K281" s="13" t="str">
        <f>IF(' car_sales_data 1'!$G281&gt;40000,"Premium",
 IF(' car_sales_data 1'!$G281&gt;=20000,"Mid Range","Budget"))</f>
        <v>Premium</v>
      </c>
      <c r="L281" s="13">
        <f>YEAR(TODAY())-' car_sales_data 1'!$F281</f>
        <v>4</v>
      </c>
    </row>
    <row r="282" ht="15.75" customHeight="1">
      <c r="A282" s="16">
        <v>44701.0</v>
      </c>
      <c r="B282" s="13" t="s">
        <v>610</v>
      </c>
      <c r="C282" s="13" t="s">
        <v>611</v>
      </c>
      <c r="D282" s="13" t="s">
        <v>8</v>
      </c>
      <c r="E282" s="13" t="s">
        <v>70</v>
      </c>
      <c r="F282" s="13">
        <v>2022.0</v>
      </c>
      <c r="G282" s="13">
        <v>11372.0</v>
      </c>
      <c r="H282" s="13">
        <v>1122.09</v>
      </c>
      <c r="I282" s="13">
        <f>' car_sales_data 1'!$G282*0.2</f>
        <v>2274.4</v>
      </c>
      <c r="J282" s="13" t="str">
        <f>TEXT(' car_sales_data 1'!$A282,"mmmm")</f>
        <v>May</v>
      </c>
      <c r="K282" s="13" t="str">
        <f>IF(' car_sales_data 1'!$G282&gt;40000,"Premium",
 IF(' car_sales_data 1'!$G282&gt;=20000,"Mid Range","Budget"))</f>
        <v>Budget</v>
      </c>
      <c r="L282" s="13">
        <f>YEAR(TODAY())-' car_sales_data 1'!$F282</f>
        <v>3</v>
      </c>
    </row>
    <row r="283" ht="15.75" customHeight="1">
      <c r="A283" s="16">
        <v>44749.0</v>
      </c>
      <c r="B283" s="13" t="s">
        <v>612</v>
      </c>
      <c r="C283" s="13" t="s">
        <v>613</v>
      </c>
      <c r="D283" s="13" t="s">
        <v>12</v>
      </c>
      <c r="E283" s="13" t="s">
        <v>54</v>
      </c>
      <c r="F283" s="13">
        <v>2014.0</v>
      </c>
      <c r="G283" s="13">
        <v>21526.0</v>
      </c>
      <c r="H283" s="13">
        <v>1998.11</v>
      </c>
      <c r="I283" s="13">
        <f>' car_sales_data 1'!$G283*0.2</f>
        <v>4305.2</v>
      </c>
      <c r="J283" s="13" t="str">
        <f>TEXT(' car_sales_data 1'!$A283,"mmmm")</f>
        <v>July</v>
      </c>
      <c r="K283" s="13" t="str">
        <f>IF(' car_sales_data 1'!$G283&gt;40000,"Premium",
 IF(' car_sales_data 1'!$G283&gt;=20000,"Mid Range","Budget"))</f>
        <v>Mid Range</v>
      </c>
      <c r="L283" s="13">
        <f>YEAR(TODAY())-' car_sales_data 1'!$F283</f>
        <v>11</v>
      </c>
    </row>
    <row r="284" ht="15.75" customHeight="1">
      <c r="A284" s="16">
        <v>44997.0</v>
      </c>
      <c r="B284" s="13" t="s">
        <v>614</v>
      </c>
      <c r="C284" s="13" t="s">
        <v>615</v>
      </c>
      <c r="D284" s="13" t="s">
        <v>8</v>
      </c>
      <c r="E284" s="13" t="s">
        <v>51</v>
      </c>
      <c r="F284" s="13">
        <v>2019.0</v>
      </c>
      <c r="G284" s="13">
        <v>42766.0</v>
      </c>
      <c r="H284" s="13">
        <v>4068.14</v>
      </c>
      <c r="I284" s="13">
        <f>' car_sales_data 1'!$G284*0.2</f>
        <v>8553.2</v>
      </c>
      <c r="J284" s="13" t="str">
        <f>TEXT(' car_sales_data 1'!$A284,"mmmm")</f>
        <v>March</v>
      </c>
      <c r="K284" s="13" t="str">
        <f>IF(' car_sales_data 1'!$G284&gt;40000,"Premium",
 IF(' car_sales_data 1'!$G284&gt;=20000,"Mid Range","Budget"))</f>
        <v>Premium</v>
      </c>
      <c r="L284" s="13">
        <f>YEAR(TODAY())-' car_sales_data 1'!$F284</f>
        <v>6</v>
      </c>
    </row>
    <row r="285" ht="15.75" customHeight="1">
      <c r="A285" s="16">
        <v>44942.0</v>
      </c>
      <c r="B285" s="13" t="s">
        <v>616</v>
      </c>
      <c r="C285" s="13" t="s">
        <v>617</v>
      </c>
      <c r="D285" s="13" t="s">
        <v>14</v>
      </c>
      <c r="E285" s="13" t="s">
        <v>70</v>
      </c>
      <c r="F285" s="13">
        <v>2016.0</v>
      </c>
      <c r="G285" s="13">
        <v>19993.0</v>
      </c>
      <c r="H285" s="13">
        <v>999.69</v>
      </c>
      <c r="I285" s="13">
        <f>' car_sales_data 1'!$G285*0.2</f>
        <v>3998.6</v>
      </c>
      <c r="J285" s="13" t="str">
        <f>TEXT(' car_sales_data 1'!$A285,"mmmm")</f>
        <v>January</v>
      </c>
      <c r="K285" s="13" t="str">
        <f>IF(' car_sales_data 1'!$G285&gt;40000,"Premium",
 IF(' car_sales_data 1'!$G285&gt;=20000,"Mid Range","Budget"))</f>
        <v>Budget</v>
      </c>
      <c r="L285" s="13">
        <f>YEAR(TODAY())-' car_sales_data 1'!$F285</f>
        <v>9</v>
      </c>
    </row>
    <row r="286" ht="15.75" customHeight="1">
      <c r="A286" s="16">
        <v>44950.0</v>
      </c>
      <c r="B286" s="13" t="s">
        <v>618</v>
      </c>
      <c r="C286" s="13" t="s">
        <v>619</v>
      </c>
      <c r="D286" s="13" t="s">
        <v>6</v>
      </c>
      <c r="E286" s="13" t="s">
        <v>62</v>
      </c>
      <c r="F286" s="13">
        <v>2018.0</v>
      </c>
      <c r="G286" s="13">
        <v>21258.0</v>
      </c>
      <c r="H286" s="13">
        <v>1838.21</v>
      </c>
      <c r="I286" s="13">
        <f>' car_sales_data 1'!$G286*0.2</f>
        <v>4251.6</v>
      </c>
      <c r="J286" s="13" t="str">
        <f>TEXT(' car_sales_data 1'!$A286,"mmmm")</f>
        <v>January</v>
      </c>
      <c r="K286" s="13" t="str">
        <f>IF(' car_sales_data 1'!$G286&gt;40000,"Premium",
 IF(' car_sales_data 1'!$G286&gt;=20000,"Mid Range","Budget"))</f>
        <v>Mid Range</v>
      </c>
      <c r="L286" s="13">
        <f>YEAR(TODAY())-' car_sales_data 1'!$F286</f>
        <v>7</v>
      </c>
    </row>
    <row r="287" ht="15.75" customHeight="1">
      <c r="A287" s="16">
        <v>44921.0</v>
      </c>
      <c r="B287" s="13" t="s">
        <v>620</v>
      </c>
      <c r="C287" s="13" t="s">
        <v>621</v>
      </c>
      <c r="D287" s="13" t="s">
        <v>12</v>
      </c>
      <c r="E287" s="13" t="s">
        <v>54</v>
      </c>
      <c r="F287" s="13">
        <v>2016.0</v>
      </c>
      <c r="G287" s="13">
        <v>48180.0</v>
      </c>
      <c r="H287" s="13">
        <v>5467.17</v>
      </c>
      <c r="I287" s="13">
        <f>' car_sales_data 1'!$G287*0.2</f>
        <v>9636</v>
      </c>
      <c r="J287" s="13" t="str">
        <f>TEXT(' car_sales_data 1'!$A287,"mmmm")</f>
        <v>December</v>
      </c>
      <c r="K287" s="13" t="str">
        <f>IF(' car_sales_data 1'!$G287&gt;40000,"Premium",
 IF(' car_sales_data 1'!$G287&gt;=20000,"Mid Range","Budget"))</f>
        <v>Premium</v>
      </c>
      <c r="L287" s="13">
        <f>YEAR(TODAY())-' car_sales_data 1'!$F287</f>
        <v>9</v>
      </c>
    </row>
    <row r="288" ht="15.75" customHeight="1">
      <c r="A288" s="16">
        <v>44977.0</v>
      </c>
      <c r="B288" s="13" t="s">
        <v>622</v>
      </c>
      <c r="C288" s="13" t="s">
        <v>623</v>
      </c>
      <c r="D288" s="13" t="s">
        <v>8</v>
      </c>
      <c r="E288" s="13" t="s">
        <v>54</v>
      </c>
      <c r="F288" s="13">
        <v>2021.0</v>
      </c>
      <c r="G288" s="13">
        <v>22268.0</v>
      </c>
      <c r="H288" s="13">
        <v>1227.46</v>
      </c>
      <c r="I288" s="13">
        <f>' car_sales_data 1'!$G288*0.2</f>
        <v>4453.6</v>
      </c>
      <c r="J288" s="13" t="str">
        <f>TEXT(' car_sales_data 1'!$A288,"mmmm")</f>
        <v>February</v>
      </c>
      <c r="K288" s="13" t="str">
        <f>IF(' car_sales_data 1'!$G288&gt;40000,"Premium",
 IF(' car_sales_data 1'!$G288&gt;=20000,"Mid Range","Budget"))</f>
        <v>Mid Range</v>
      </c>
      <c r="L288" s="13">
        <f>YEAR(TODAY())-' car_sales_data 1'!$F288</f>
        <v>4</v>
      </c>
    </row>
    <row r="289" ht="15.75" customHeight="1">
      <c r="A289" s="16">
        <v>44708.0</v>
      </c>
      <c r="B289" s="13" t="s">
        <v>624</v>
      </c>
      <c r="C289" s="13" t="s">
        <v>625</v>
      </c>
      <c r="D289" s="13" t="s">
        <v>12</v>
      </c>
      <c r="E289" s="13" t="s">
        <v>57</v>
      </c>
      <c r="F289" s="13">
        <v>2012.0</v>
      </c>
      <c r="G289" s="13">
        <v>25447.0</v>
      </c>
      <c r="H289" s="13">
        <v>3444.58</v>
      </c>
      <c r="I289" s="13">
        <f>' car_sales_data 1'!$G289*0.2</f>
        <v>5089.4</v>
      </c>
      <c r="J289" s="13" t="str">
        <f>TEXT(' car_sales_data 1'!$A289,"mmmm")</f>
        <v>May</v>
      </c>
      <c r="K289" s="13" t="str">
        <f>IF(' car_sales_data 1'!$G289&gt;40000,"Premium",
 IF(' car_sales_data 1'!$G289&gt;=20000,"Mid Range","Budget"))</f>
        <v>Mid Range</v>
      </c>
      <c r="L289" s="13">
        <f>YEAR(TODAY())-' car_sales_data 1'!$F289</f>
        <v>13</v>
      </c>
    </row>
    <row r="290" ht="15.75" customHeight="1">
      <c r="A290" s="16">
        <v>44753.0</v>
      </c>
      <c r="B290" s="13" t="s">
        <v>626</v>
      </c>
      <c r="C290" s="13" t="s">
        <v>627</v>
      </c>
      <c r="D290" s="13" t="s">
        <v>10</v>
      </c>
      <c r="E290" s="13" t="s">
        <v>62</v>
      </c>
      <c r="F290" s="13">
        <v>2018.0</v>
      </c>
      <c r="G290" s="13">
        <v>23454.0</v>
      </c>
      <c r="H290" s="13">
        <v>1739.17</v>
      </c>
      <c r="I290" s="13">
        <f>' car_sales_data 1'!$G290*0.2</f>
        <v>4690.8</v>
      </c>
      <c r="J290" s="13" t="str">
        <f>TEXT(' car_sales_data 1'!$A290,"mmmm")</f>
        <v>July</v>
      </c>
      <c r="K290" s="13" t="str">
        <f>IF(' car_sales_data 1'!$G290&gt;40000,"Premium",
 IF(' car_sales_data 1'!$G290&gt;=20000,"Mid Range","Budget"))</f>
        <v>Mid Range</v>
      </c>
      <c r="L290" s="13">
        <f>YEAR(TODAY())-' car_sales_data 1'!$F290</f>
        <v>7</v>
      </c>
    </row>
    <row r="291" ht="15.75" customHeight="1">
      <c r="A291" s="16">
        <v>44742.0</v>
      </c>
      <c r="B291" s="13" t="s">
        <v>5</v>
      </c>
      <c r="C291" s="13" t="s">
        <v>628</v>
      </c>
      <c r="D291" s="13" t="s">
        <v>8</v>
      </c>
      <c r="E291" s="13" t="s">
        <v>70</v>
      </c>
      <c r="F291" s="13">
        <v>2017.0</v>
      </c>
      <c r="G291" s="13">
        <v>33224.0</v>
      </c>
      <c r="H291" s="13">
        <v>3932.65</v>
      </c>
      <c r="I291" s="13">
        <f>' car_sales_data 1'!$G291*0.2</f>
        <v>6644.8</v>
      </c>
      <c r="J291" s="13" t="str">
        <f>TEXT(' car_sales_data 1'!$A291,"mmmm")</f>
        <v>June</v>
      </c>
      <c r="K291" s="13" t="str">
        <f>IF(' car_sales_data 1'!$G291&gt;40000,"Premium",
 IF(' car_sales_data 1'!$G291&gt;=20000,"Mid Range","Budget"))</f>
        <v>Mid Range</v>
      </c>
      <c r="L291" s="13">
        <f>YEAR(TODAY())-' car_sales_data 1'!$F291</f>
        <v>8</v>
      </c>
    </row>
    <row r="292" ht="15.75" customHeight="1">
      <c r="A292" s="16">
        <v>45043.0</v>
      </c>
      <c r="B292" s="13" t="s">
        <v>629</v>
      </c>
      <c r="C292" s="13" t="s">
        <v>630</v>
      </c>
      <c r="D292" s="13" t="s">
        <v>10</v>
      </c>
      <c r="E292" s="13" t="s">
        <v>51</v>
      </c>
      <c r="F292" s="13">
        <v>2017.0</v>
      </c>
      <c r="G292" s="13">
        <v>38751.0</v>
      </c>
      <c r="H292" s="13">
        <v>5565.38</v>
      </c>
      <c r="I292" s="13">
        <f>' car_sales_data 1'!$G292*0.2</f>
        <v>7750.2</v>
      </c>
      <c r="J292" s="13" t="str">
        <f>TEXT(' car_sales_data 1'!$A292,"mmmm")</f>
        <v>April</v>
      </c>
      <c r="K292" s="13" t="str">
        <f>IF(' car_sales_data 1'!$G292&gt;40000,"Premium",
 IF(' car_sales_data 1'!$G292&gt;=20000,"Mid Range","Budget"))</f>
        <v>Mid Range</v>
      </c>
      <c r="L292" s="13">
        <f>YEAR(TODAY())-' car_sales_data 1'!$F292</f>
        <v>8</v>
      </c>
    </row>
    <row r="293" ht="15.75" customHeight="1">
      <c r="A293" s="16">
        <v>44784.0</v>
      </c>
      <c r="B293" s="13" t="s">
        <v>631</v>
      </c>
      <c r="C293" s="13" t="s">
        <v>632</v>
      </c>
      <c r="D293" s="13" t="s">
        <v>6</v>
      </c>
      <c r="E293" s="13" t="s">
        <v>70</v>
      </c>
      <c r="F293" s="13">
        <v>2015.0</v>
      </c>
      <c r="G293" s="13">
        <v>23319.0</v>
      </c>
      <c r="H293" s="13">
        <v>3105.05</v>
      </c>
      <c r="I293" s="13">
        <f>' car_sales_data 1'!$G293*0.2</f>
        <v>4663.8</v>
      </c>
      <c r="J293" s="13" t="str">
        <f>TEXT(' car_sales_data 1'!$A293,"mmmm")</f>
        <v>August</v>
      </c>
      <c r="K293" s="13" t="str">
        <f>IF(' car_sales_data 1'!$G293&gt;40000,"Premium",
 IF(' car_sales_data 1'!$G293&gt;=20000,"Mid Range","Budget"))</f>
        <v>Mid Range</v>
      </c>
      <c r="L293" s="13">
        <f>YEAR(TODAY())-' car_sales_data 1'!$F293</f>
        <v>10</v>
      </c>
    </row>
    <row r="294" ht="15.75" customHeight="1">
      <c r="A294" s="16">
        <v>44753.0</v>
      </c>
      <c r="B294" s="13" t="s">
        <v>633</v>
      </c>
      <c r="C294" s="13" t="s">
        <v>634</v>
      </c>
      <c r="D294" s="13" t="s">
        <v>14</v>
      </c>
      <c r="E294" s="13" t="s">
        <v>62</v>
      </c>
      <c r="F294" s="13">
        <v>2013.0</v>
      </c>
      <c r="G294" s="13">
        <v>10067.0</v>
      </c>
      <c r="H294" s="13">
        <v>1244.99</v>
      </c>
      <c r="I294" s="13">
        <f>' car_sales_data 1'!$G294*0.2</f>
        <v>2013.4</v>
      </c>
      <c r="J294" s="13" t="str">
        <f>TEXT(' car_sales_data 1'!$A294,"mmmm")</f>
        <v>July</v>
      </c>
      <c r="K294" s="13" t="str">
        <f>IF(' car_sales_data 1'!$G294&gt;40000,"Premium",
 IF(' car_sales_data 1'!$G294&gt;=20000,"Mid Range","Budget"))</f>
        <v>Budget</v>
      </c>
      <c r="L294" s="13">
        <f>YEAR(TODAY())-' car_sales_data 1'!$F294</f>
        <v>12</v>
      </c>
    </row>
    <row r="295" ht="15.75" customHeight="1">
      <c r="A295" s="16">
        <v>44988.0</v>
      </c>
      <c r="B295" s="13" t="s">
        <v>635</v>
      </c>
      <c r="C295" s="13" t="s">
        <v>636</v>
      </c>
      <c r="D295" s="13" t="s">
        <v>6</v>
      </c>
      <c r="E295" s="13" t="s">
        <v>57</v>
      </c>
      <c r="F295" s="13">
        <v>2015.0</v>
      </c>
      <c r="G295" s="13">
        <v>45862.0</v>
      </c>
      <c r="H295" s="13">
        <v>3411.97</v>
      </c>
      <c r="I295" s="13">
        <f>' car_sales_data 1'!$G295*0.2</f>
        <v>9172.4</v>
      </c>
      <c r="J295" s="13" t="str">
        <f>TEXT(' car_sales_data 1'!$A295,"mmmm")</f>
        <v>March</v>
      </c>
      <c r="K295" s="13" t="str">
        <f>IF(' car_sales_data 1'!$G295&gt;40000,"Premium",
 IF(' car_sales_data 1'!$G295&gt;=20000,"Mid Range","Budget"))</f>
        <v>Premium</v>
      </c>
      <c r="L295" s="13">
        <f>YEAR(TODAY())-' car_sales_data 1'!$F295</f>
        <v>10</v>
      </c>
    </row>
    <row r="296" ht="15.75" customHeight="1">
      <c r="A296" s="16">
        <v>44728.0</v>
      </c>
      <c r="B296" s="13" t="s">
        <v>637</v>
      </c>
      <c r="C296" s="13" t="s">
        <v>638</v>
      </c>
      <c r="D296" s="13" t="s">
        <v>12</v>
      </c>
      <c r="E296" s="13" t="s">
        <v>54</v>
      </c>
      <c r="F296" s="13">
        <v>2016.0</v>
      </c>
      <c r="G296" s="13">
        <v>18286.0</v>
      </c>
      <c r="H296" s="13">
        <v>2483.75</v>
      </c>
      <c r="I296" s="13">
        <f>' car_sales_data 1'!$G296*0.2</f>
        <v>3657.2</v>
      </c>
      <c r="J296" s="13" t="str">
        <f>TEXT(' car_sales_data 1'!$A296,"mmmm")</f>
        <v>June</v>
      </c>
      <c r="K296" s="13" t="str">
        <f>IF(' car_sales_data 1'!$G296&gt;40000,"Premium",
 IF(' car_sales_data 1'!$G296&gt;=20000,"Mid Range","Budget"))</f>
        <v>Budget</v>
      </c>
      <c r="L296" s="13">
        <f>YEAR(TODAY())-' car_sales_data 1'!$F296</f>
        <v>9</v>
      </c>
    </row>
    <row r="297" ht="15.75" customHeight="1">
      <c r="A297" s="16">
        <v>44981.0</v>
      </c>
      <c r="B297" s="13" t="s">
        <v>639</v>
      </c>
      <c r="C297" s="13" t="s">
        <v>640</v>
      </c>
      <c r="D297" s="13" t="s">
        <v>14</v>
      </c>
      <c r="E297" s="13" t="s">
        <v>70</v>
      </c>
      <c r="F297" s="13">
        <v>2017.0</v>
      </c>
      <c r="G297" s="13">
        <v>20553.0</v>
      </c>
      <c r="H297" s="13">
        <v>1660.14</v>
      </c>
      <c r="I297" s="13">
        <f>' car_sales_data 1'!$G297*0.2</f>
        <v>4110.6</v>
      </c>
      <c r="J297" s="13" t="str">
        <f>TEXT(' car_sales_data 1'!$A297,"mmmm")</f>
        <v>February</v>
      </c>
      <c r="K297" s="13" t="str">
        <f>IF(' car_sales_data 1'!$G297&gt;40000,"Premium",
 IF(' car_sales_data 1'!$G297&gt;=20000,"Mid Range","Budget"))</f>
        <v>Mid Range</v>
      </c>
      <c r="L297" s="13">
        <f>YEAR(TODAY())-' car_sales_data 1'!$F297</f>
        <v>8</v>
      </c>
    </row>
    <row r="298" ht="15.75" customHeight="1">
      <c r="A298" s="16">
        <v>45002.0</v>
      </c>
      <c r="B298" s="13" t="s">
        <v>641</v>
      </c>
      <c r="C298" s="13" t="s">
        <v>642</v>
      </c>
      <c r="D298" s="13" t="s">
        <v>14</v>
      </c>
      <c r="E298" s="13" t="s">
        <v>62</v>
      </c>
      <c r="F298" s="13">
        <v>2010.0</v>
      </c>
      <c r="G298" s="13">
        <v>43218.0</v>
      </c>
      <c r="H298" s="13">
        <v>6110.02</v>
      </c>
      <c r="I298" s="13">
        <f>' car_sales_data 1'!$G298*0.2</f>
        <v>8643.6</v>
      </c>
      <c r="J298" s="13" t="str">
        <f>TEXT(' car_sales_data 1'!$A298,"mmmm")</f>
        <v>March</v>
      </c>
      <c r="K298" s="13" t="str">
        <f>IF(' car_sales_data 1'!$G298&gt;40000,"Premium",
 IF(' car_sales_data 1'!$G298&gt;=20000,"Mid Range","Budget"))</f>
        <v>Premium</v>
      </c>
      <c r="L298" s="13">
        <f>YEAR(TODAY())-' car_sales_data 1'!$F298</f>
        <v>15</v>
      </c>
    </row>
    <row r="299" ht="15.75" customHeight="1">
      <c r="A299" s="16">
        <v>44785.0</v>
      </c>
      <c r="B299" s="13" t="s">
        <v>643</v>
      </c>
      <c r="C299" s="13" t="s">
        <v>644</v>
      </c>
      <c r="D299" s="13" t="s">
        <v>8</v>
      </c>
      <c r="E299" s="13" t="s">
        <v>57</v>
      </c>
      <c r="F299" s="13">
        <v>2021.0</v>
      </c>
      <c r="G299" s="13">
        <v>33221.0</v>
      </c>
      <c r="H299" s="13">
        <v>2900.1</v>
      </c>
      <c r="I299" s="13">
        <f>' car_sales_data 1'!$G299*0.2</f>
        <v>6644.2</v>
      </c>
      <c r="J299" s="13" t="str">
        <f>TEXT(' car_sales_data 1'!$A299,"mmmm")</f>
        <v>August</v>
      </c>
      <c r="K299" s="13" t="str">
        <f>IF(' car_sales_data 1'!$G299&gt;40000,"Premium",
 IF(' car_sales_data 1'!$G299&gt;=20000,"Mid Range","Budget"))</f>
        <v>Mid Range</v>
      </c>
      <c r="L299" s="13">
        <f>YEAR(TODAY())-' car_sales_data 1'!$F299</f>
        <v>4</v>
      </c>
    </row>
    <row r="300" ht="15.75" customHeight="1">
      <c r="A300" s="16">
        <v>45040.0</v>
      </c>
      <c r="B300" s="13" t="s">
        <v>645</v>
      </c>
      <c r="C300" s="13" t="s">
        <v>646</v>
      </c>
      <c r="D300" s="13" t="s">
        <v>12</v>
      </c>
      <c r="E300" s="13" t="s">
        <v>57</v>
      </c>
      <c r="F300" s="13">
        <v>2014.0</v>
      </c>
      <c r="G300" s="13">
        <v>13931.0</v>
      </c>
      <c r="H300" s="13">
        <v>1537.76</v>
      </c>
      <c r="I300" s="13">
        <f>' car_sales_data 1'!$G300*0.2</f>
        <v>2786.2</v>
      </c>
      <c r="J300" s="13" t="str">
        <f>TEXT(' car_sales_data 1'!$A300,"mmmm")</f>
        <v>April</v>
      </c>
      <c r="K300" s="13" t="str">
        <f>IF(' car_sales_data 1'!$G300&gt;40000,"Premium",
 IF(' car_sales_data 1'!$G300&gt;=20000,"Mid Range","Budget"))</f>
        <v>Budget</v>
      </c>
      <c r="L300" s="13">
        <f>YEAR(TODAY())-' car_sales_data 1'!$F300</f>
        <v>11</v>
      </c>
    </row>
    <row r="301" ht="15.75" customHeight="1">
      <c r="A301" s="16">
        <v>44879.0</v>
      </c>
      <c r="B301" s="13" t="s">
        <v>647</v>
      </c>
      <c r="C301" s="13" t="s">
        <v>648</v>
      </c>
      <c r="D301" s="13" t="s">
        <v>6</v>
      </c>
      <c r="E301" s="13" t="s">
        <v>70</v>
      </c>
      <c r="F301" s="13">
        <v>2018.0</v>
      </c>
      <c r="G301" s="13">
        <v>19666.0</v>
      </c>
      <c r="H301" s="13">
        <v>2712.6</v>
      </c>
      <c r="I301" s="13">
        <f>' car_sales_data 1'!$G301*0.2</f>
        <v>3933.2</v>
      </c>
      <c r="J301" s="13" t="str">
        <f>TEXT(' car_sales_data 1'!$A301,"mmmm")</f>
        <v>November</v>
      </c>
      <c r="K301" s="13" t="str">
        <f>IF(' car_sales_data 1'!$G301&gt;40000,"Premium",
 IF(' car_sales_data 1'!$G301&gt;=20000,"Mid Range","Budget"))</f>
        <v>Budget</v>
      </c>
      <c r="L301" s="13">
        <f>YEAR(TODAY())-' car_sales_data 1'!$F301</f>
        <v>7</v>
      </c>
    </row>
    <row r="302" ht="15.75" customHeight="1">
      <c r="A302" s="16">
        <v>44887.0</v>
      </c>
      <c r="B302" s="13" t="s">
        <v>649</v>
      </c>
      <c r="C302" s="13" t="s">
        <v>650</v>
      </c>
      <c r="D302" s="13" t="s">
        <v>14</v>
      </c>
      <c r="E302" s="13" t="s">
        <v>51</v>
      </c>
      <c r="F302" s="13">
        <v>2010.0</v>
      </c>
      <c r="G302" s="13">
        <v>44249.0</v>
      </c>
      <c r="H302" s="13">
        <v>2865.04</v>
      </c>
      <c r="I302" s="13">
        <f>' car_sales_data 1'!$G302*0.2</f>
        <v>8849.8</v>
      </c>
      <c r="J302" s="13" t="str">
        <f>TEXT(' car_sales_data 1'!$A302,"mmmm")</f>
        <v>November</v>
      </c>
      <c r="K302" s="13" t="str">
        <f>IF(' car_sales_data 1'!$G302&gt;40000,"Premium",
 IF(' car_sales_data 1'!$G302&gt;=20000,"Mid Range","Budget"))</f>
        <v>Premium</v>
      </c>
      <c r="L302" s="13">
        <f>YEAR(TODAY())-' car_sales_data 1'!$F302</f>
        <v>15</v>
      </c>
    </row>
    <row r="303" ht="15.75" customHeight="1">
      <c r="A303" s="16">
        <v>44695.0</v>
      </c>
      <c r="B303" s="13" t="s">
        <v>651</v>
      </c>
      <c r="C303" s="13" t="s">
        <v>652</v>
      </c>
      <c r="D303" s="13" t="s">
        <v>14</v>
      </c>
      <c r="E303" s="13" t="s">
        <v>62</v>
      </c>
      <c r="F303" s="13">
        <v>2017.0</v>
      </c>
      <c r="G303" s="13">
        <v>12013.0</v>
      </c>
      <c r="H303" s="13">
        <v>1025.95</v>
      </c>
      <c r="I303" s="13">
        <f>' car_sales_data 1'!$G303*0.2</f>
        <v>2402.6</v>
      </c>
      <c r="J303" s="13" t="str">
        <f>TEXT(' car_sales_data 1'!$A303,"mmmm")</f>
        <v>May</v>
      </c>
      <c r="K303" s="13" t="str">
        <f>IF(' car_sales_data 1'!$G303&gt;40000,"Premium",
 IF(' car_sales_data 1'!$G303&gt;=20000,"Mid Range","Budget"))</f>
        <v>Budget</v>
      </c>
      <c r="L303" s="13">
        <f>YEAR(TODAY())-' car_sales_data 1'!$F303</f>
        <v>8</v>
      </c>
    </row>
    <row r="304" ht="15.75" customHeight="1">
      <c r="A304" s="16">
        <v>44850.0</v>
      </c>
      <c r="B304" s="13" t="s">
        <v>653</v>
      </c>
      <c r="C304" s="13" t="s">
        <v>654</v>
      </c>
      <c r="D304" s="13" t="s">
        <v>6</v>
      </c>
      <c r="E304" s="13" t="s">
        <v>62</v>
      </c>
      <c r="F304" s="13">
        <v>2021.0</v>
      </c>
      <c r="G304" s="13">
        <v>31841.0</v>
      </c>
      <c r="H304" s="13">
        <v>3771.22</v>
      </c>
      <c r="I304" s="13">
        <f>' car_sales_data 1'!$G304*0.2</f>
        <v>6368.2</v>
      </c>
      <c r="J304" s="13" t="str">
        <f>TEXT(' car_sales_data 1'!$A304,"mmmm")</f>
        <v>October</v>
      </c>
      <c r="K304" s="13" t="str">
        <f>IF(' car_sales_data 1'!$G304&gt;40000,"Premium",
 IF(' car_sales_data 1'!$G304&gt;=20000,"Mid Range","Budget"))</f>
        <v>Mid Range</v>
      </c>
      <c r="L304" s="13">
        <f>YEAR(TODAY())-' car_sales_data 1'!$F304</f>
        <v>4</v>
      </c>
    </row>
    <row r="305" ht="15.75" customHeight="1">
      <c r="A305" s="16">
        <v>44682.0</v>
      </c>
      <c r="B305" s="13" t="s">
        <v>655</v>
      </c>
      <c r="C305" s="13" t="s">
        <v>656</v>
      </c>
      <c r="D305" s="13" t="s">
        <v>12</v>
      </c>
      <c r="E305" s="13" t="s">
        <v>70</v>
      </c>
      <c r="F305" s="13">
        <v>2022.0</v>
      </c>
      <c r="G305" s="13">
        <v>41449.0</v>
      </c>
      <c r="H305" s="13">
        <v>3184.39</v>
      </c>
      <c r="I305" s="13">
        <f>' car_sales_data 1'!$G305*0.2</f>
        <v>8289.8</v>
      </c>
      <c r="J305" s="13" t="str">
        <f>TEXT(' car_sales_data 1'!$A305,"mmmm")</f>
        <v>May</v>
      </c>
      <c r="K305" s="13" t="str">
        <f>IF(' car_sales_data 1'!$G305&gt;40000,"Premium",
 IF(' car_sales_data 1'!$G305&gt;=20000,"Mid Range","Budget"))</f>
        <v>Premium</v>
      </c>
      <c r="L305" s="13">
        <f>YEAR(TODAY())-' car_sales_data 1'!$F305</f>
        <v>3</v>
      </c>
    </row>
    <row r="306" ht="15.75" customHeight="1">
      <c r="A306" s="16">
        <v>44975.0</v>
      </c>
      <c r="B306" s="13" t="s">
        <v>657</v>
      </c>
      <c r="C306" s="13" t="s">
        <v>658</v>
      </c>
      <c r="D306" s="13" t="s">
        <v>12</v>
      </c>
      <c r="E306" s="13" t="s">
        <v>51</v>
      </c>
      <c r="F306" s="13">
        <v>2011.0</v>
      </c>
      <c r="G306" s="13">
        <v>16779.0</v>
      </c>
      <c r="H306" s="13">
        <v>1629.16</v>
      </c>
      <c r="I306" s="13">
        <f>' car_sales_data 1'!$G306*0.2</f>
        <v>3355.8</v>
      </c>
      <c r="J306" s="13" t="str">
        <f>TEXT(' car_sales_data 1'!$A306,"mmmm")</f>
        <v>February</v>
      </c>
      <c r="K306" s="13" t="str">
        <f>IF(' car_sales_data 1'!$G306&gt;40000,"Premium",
 IF(' car_sales_data 1'!$G306&gt;=20000,"Mid Range","Budget"))</f>
        <v>Budget</v>
      </c>
      <c r="L306" s="13">
        <f>YEAR(TODAY())-' car_sales_data 1'!$F306</f>
        <v>14</v>
      </c>
    </row>
    <row r="307" ht="15.75" customHeight="1">
      <c r="A307" s="16">
        <v>44937.0</v>
      </c>
      <c r="B307" s="13" t="s">
        <v>659</v>
      </c>
      <c r="C307" s="13" t="s">
        <v>660</v>
      </c>
      <c r="D307" s="13" t="s">
        <v>14</v>
      </c>
      <c r="E307" s="13" t="s">
        <v>54</v>
      </c>
      <c r="F307" s="13">
        <v>2020.0</v>
      </c>
      <c r="G307" s="13">
        <v>45908.0</v>
      </c>
      <c r="H307" s="13">
        <v>6207.34</v>
      </c>
      <c r="I307" s="13">
        <f>' car_sales_data 1'!$G307*0.2</f>
        <v>9181.6</v>
      </c>
      <c r="J307" s="13" t="str">
        <f>TEXT(' car_sales_data 1'!$A307,"mmmm")</f>
        <v>January</v>
      </c>
      <c r="K307" s="13" t="str">
        <f>IF(' car_sales_data 1'!$G307&gt;40000,"Premium",
 IF(' car_sales_data 1'!$G307&gt;=20000,"Mid Range","Budget"))</f>
        <v>Premium</v>
      </c>
      <c r="L307" s="13">
        <f>YEAR(TODAY())-' car_sales_data 1'!$F307</f>
        <v>5</v>
      </c>
    </row>
    <row r="308" ht="15.75" customHeight="1">
      <c r="A308" s="16">
        <v>44849.0</v>
      </c>
      <c r="B308" s="13" t="s">
        <v>661</v>
      </c>
      <c r="C308" s="13" t="s">
        <v>662</v>
      </c>
      <c r="D308" s="13" t="s">
        <v>14</v>
      </c>
      <c r="E308" s="13" t="s">
        <v>51</v>
      </c>
      <c r="F308" s="13">
        <v>2011.0</v>
      </c>
      <c r="G308" s="13">
        <v>45839.0</v>
      </c>
      <c r="H308" s="13">
        <v>5298.25</v>
      </c>
      <c r="I308" s="13">
        <f>' car_sales_data 1'!$G308*0.2</f>
        <v>9167.8</v>
      </c>
      <c r="J308" s="13" t="str">
        <f>TEXT(' car_sales_data 1'!$A308,"mmmm")</f>
        <v>October</v>
      </c>
      <c r="K308" s="13" t="str">
        <f>IF(' car_sales_data 1'!$G308&gt;40000,"Premium",
 IF(' car_sales_data 1'!$G308&gt;=20000,"Mid Range","Budget"))</f>
        <v>Premium</v>
      </c>
      <c r="L308" s="13">
        <f>YEAR(TODAY())-' car_sales_data 1'!$F308</f>
        <v>14</v>
      </c>
    </row>
    <row r="309" ht="15.75" customHeight="1">
      <c r="A309" s="16">
        <v>44878.0</v>
      </c>
      <c r="B309" s="13" t="s">
        <v>663</v>
      </c>
      <c r="C309" s="13" t="s">
        <v>664</v>
      </c>
      <c r="D309" s="13" t="s">
        <v>12</v>
      </c>
      <c r="E309" s="13" t="s">
        <v>70</v>
      </c>
      <c r="F309" s="13">
        <v>2011.0</v>
      </c>
      <c r="G309" s="13">
        <v>14507.0</v>
      </c>
      <c r="H309" s="13">
        <v>1247.44</v>
      </c>
      <c r="I309" s="13">
        <f>' car_sales_data 1'!$G309*0.2</f>
        <v>2901.4</v>
      </c>
      <c r="J309" s="13" t="str">
        <f>TEXT(' car_sales_data 1'!$A309,"mmmm")</f>
        <v>November</v>
      </c>
      <c r="K309" s="13" t="str">
        <f>IF(' car_sales_data 1'!$G309&gt;40000,"Premium",
 IF(' car_sales_data 1'!$G309&gt;=20000,"Mid Range","Budget"))</f>
        <v>Budget</v>
      </c>
      <c r="L309" s="13">
        <f>YEAR(TODAY())-' car_sales_data 1'!$F309</f>
        <v>14</v>
      </c>
    </row>
    <row r="310" ht="15.75" customHeight="1">
      <c r="A310" s="16">
        <v>44728.0</v>
      </c>
      <c r="B310" s="13" t="s">
        <v>665</v>
      </c>
      <c r="C310" s="13" t="s">
        <v>666</v>
      </c>
      <c r="D310" s="13" t="s">
        <v>8</v>
      </c>
      <c r="E310" s="13" t="s">
        <v>70</v>
      </c>
      <c r="F310" s="13">
        <v>2010.0</v>
      </c>
      <c r="G310" s="13">
        <v>31026.0</v>
      </c>
      <c r="H310" s="13">
        <v>2210.99</v>
      </c>
      <c r="I310" s="13">
        <f>' car_sales_data 1'!$G310*0.2</f>
        <v>6205.2</v>
      </c>
      <c r="J310" s="13" t="str">
        <f>TEXT(' car_sales_data 1'!$A310,"mmmm")</f>
        <v>June</v>
      </c>
      <c r="K310" s="13" t="str">
        <f>IF(' car_sales_data 1'!$G310&gt;40000,"Premium",
 IF(' car_sales_data 1'!$G310&gt;=20000,"Mid Range","Budget"))</f>
        <v>Mid Range</v>
      </c>
      <c r="L310" s="13">
        <f>YEAR(TODAY())-' car_sales_data 1'!$F310</f>
        <v>15</v>
      </c>
    </row>
    <row r="311" ht="15.75" customHeight="1">
      <c r="A311" s="16">
        <v>45041.0</v>
      </c>
      <c r="B311" s="13" t="s">
        <v>667</v>
      </c>
      <c r="C311" s="13" t="s">
        <v>668</v>
      </c>
      <c r="D311" s="13" t="s">
        <v>10</v>
      </c>
      <c r="E311" s="13" t="s">
        <v>70</v>
      </c>
      <c r="F311" s="13">
        <v>2017.0</v>
      </c>
      <c r="G311" s="13">
        <v>46250.0</v>
      </c>
      <c r="H311" s="13">
        <v>5091.85</v>
      </c>
      <c r="I311" s="13">
        <f>' car_sales_data 1'!$G311*0.2</f>
        <v>9250</v>
      </c>
      <c r="J311" s="13" t="str">
        <f>TEXT(' car_sales_data 1'!$A311,"mmmm")</f>
        <v>April</v>
      </c>
      <c r="K311" s="13" t="str">
        <f>IF(' car_sales_data 1'!$G311&gt;40000,"Premium",
 IF(' car_sales_data 1'!$G311&gt;=20000,"Mid Range","Budget"))</f>
        <v>Premium</v>
      </c>
      <c r="L311" s="13">
        <f>YEAR(TODAY())-' car_sales_data 1'!$F311</f>
        <v>8</v>
      </c>
    </row>
    <row r="312" ht="15.75" customHeight="1">
      <c r="A312" s="16">
        <v>44806.0</v>
      </c>
      <c r="B312" s="13" t="s">
        <v>669</v>
      </c>
      <c r="C312" s="13" t="s">
        <v>670</v>
      </c>
      <c r="D312" s="13" t="s">
        <v>12</v>
      </c>
      <c r="E312" s="13" t="s">
        <v>51</v>
      </c>
      <c r="F312" s="13">
        <v>2016.0</v>
      </c>
      <c r="G312" s="13">
        <v>28591.0</v>
      </c>
      <c r="H312" s="13">
        <v>3271.1</v>
      </c>
      <c r="I312" s="13">
        <f>' car_sales_data 1'!$G312*0.2</f>
        <v>5718.2</v>
      </c>
      <c r="J312" s="13" t="str">
        <f>TEXT(' car_sales_data 1'!$A312,"mmmm")</f>
        <v>September</v>
      </c>
      <c r="K312" s="13" t="str">
        <f>IF(' car_sales_data 1'!$G312&gt;40000,"Premium",
 IF(' car_sales_data 1'!$G312&gt;=20000,"Mid Range","Budget"))</f>
        <v>Mid Range</v>
      </c>
      <c r="L312" s="13">
        <f>YEAR(TODAY())-' car_sales_data 1'!$F312</f>
        <v>9</v>
      </c>
    </row>
    <row r="313" ht="15.75" customHeight="1">
      <c r="A313" s="16">
        <v>44729.0</v>
      </c>
      <c r="B313" s="13" t="s">
        <v>671</v>
      </c>
      <c r="C313" s="13" t="s">
        <v>672</v>
      </c>
      <c r="D313" s="13" t="s">
        <v>12</v>
      </c>
      <c r="E313" s="13" t="s">
        <v>51</v>
      </c>
      <c r="F313" s="13">
        <v>2015.0</v>
      </c>
      <c r="G313" s="13">
        <v>31143.0</v>
      </c>
      <c r="H313" s="13">
        <v>4112.01</v>
      </c>
      <c r="I313" s="13">
        <f>' car_sales_data 1'!$G313*0.2</f>
        <v>6228.6</v>
      </c>
      <c r="J313" s="13" t="str">
        <f>TEXT(' car_sales_data 1'!$A313,"mmmm")</f>
        <v>June</v>
      </c>
      <c r="K313" s="13" t="str">
        <f>IF(' car_sales_data 1'!$G313&gt;40000,"Premium",
 IF(' car_sales_data 1'!$G313&gt;=20000,"Mid Range","Budget"))</f>
        <v>Mid Range</v>
      </c>
      <c r="L313" s="13">
        <f>YEAR(TODAY())-' car_sales_data 1'!$F313</f>
        <v>10</v>
      </c>
    </row>
    <row r="314" ht="15.75" customHeight="1">
      <c r="A314" s="16">
        <v>44698.0</v>
      </c>
      <c r="B314" s="13" t="s">
        <v>673</v>
      </c>
      <c r="C314" s="13" t="s">
        <v>674</v>
      </c>
      <c r="D314" s="13" t="s">
        <v>6</v>
      </c>
      <c r="E314" s="13" t="s">
        <v>62</v>
      </c>
      <c r="F314" s="13">
        <v>2016.0</v>
      </c>
      <c r="G314" s="13">
        <v>28204.0</v>
      </c>
      <c r="H314" s="13">
        <v>2597.9</v>
      </c>
      <c r="I314" s="13">
        <f>' car_sales_data 1'!$G314*0.2</f>
        <v>5640.8</v>
      </c>
      <c r="J314" s="13" t="str">
        <f>TEXT(' car_sales_data 1'!$A314,"mmmm")</f>
        <v>May</v>
      </c>
      <c r="K314" s="13" t="str">
        <f>IF(' car_sales_data 1'!$G314&gt;40000,"Premium",
 IF(' car_sales_data 1'!$G314&gt;=20000,"Mid Range","Budget"))</f>
        <v>Mid Range</v>
      </c>
      <c r="L314" s="13">
        <f>YEAR(TODAY())-' car_sales_data 1'!$F314</f>
        <v>9</v>
      </c>
    </row>
    <row r="315" ht="15.75" customHeight="1">
      <c r="A315" s="16">
        <v>44892.0</v>
      </c>
      <c r="B315" s="13" t="s">
        <v>675</v>
      </c>
      <c r="C315" s="13" t="s">
        <v>676</v>
      </c>
      <c r="D315" s="13" t="s">
        <v>10</v>
      </c>
      <c r="E315" s="13" t="s">
        <v>70</v>
      </c>
      <c r="F315" s="13">
        <v>2020.0</v>
      </c>
      <c r="G315" s="13">
        <v>31386.0</v>
      </c>
      <c r="H315" s="13">
        <v>3726.04</v>
      </c>
      <c r="I315" s="13">
        <f>' car_sales_data 1'!$G315*0.2</f>
        <v>6277.2</v>
      </c>
      <c r="J315" s="13" t="str">
        <f>TEXT(' car_sales_data 1'!$A315,"mmmm")</f>
        <v>November</v>
      </c>
      <c r="K315" s="13" t="str">
        <f>IF(' car_sales_data 1'!$G315&gt;40000,"Premium",
 IF(' car_sales_data 1'!$G315&gt;=20000,"Mid Range","Budget"))</f>
        <v>Mid Range</v>
      </c>
      <c r="L315" s="13">
        <f>YEAR(TODAY())-' car_sales_data 1'!$F315</f>
        <v>5</v>
      </c>
    </row>
    <row r="316" ht="15.75" customHeight="1">
      <c r="A316" s="16">
        <v>44792.0</v>
      </c>
      <c r="B316" s="13" t="s">
        <v>677</v>
      </c>
      <c r="C316" s="13" t="s">
        <v>678</v>
      </c>
      <c r="D316" s="13" t="s">
        <v>14</v>
      </c>
      <c r="E316" s="13" t="s">
        <v>62</v>
      </c>
      <c r="F316" s="13">
        <v>2022.0</v>
      </c>
      <c r="G316" s="13">
        <v>42409.0</v>
      </c>
      <c r="H316" s="13">
        <v>4923.79</v>
      </c>
      <c r="I316" s="13">
        <f>' car_sales_data 1'!$G316*0.2</f>
        <v>8481.8</v>
      </c>
      <c r="J316" s="13" t="str">
        <f>TEXT(' car_sales_data 1'!$A316,"mmmm")</f>
        <v>August</v>
      </c>
      <c r="K316" s="13" t="str">
        <f>IF(' car_sales_data 1'!$G316&gt;40000,"Premium",
 IF(' car_sales_data 1'!$G316&gt;=20000,"Mid Range","Budget"))</f>
        <v>Premium</v>
      </c>
      <c r="L316" s="13">
        <f>YEAR(TODAY())-' car_sales_data 1'!$F316</f>
        <v>3</v>
      </c>
    </row>
    <row r="317" ht="15.75" customHeight="1">
      <c r="A317" s="16">
        <v>44857.0</v>
      </c>
      <c r="B317" s="13" t="s">
        <v>679</v>
      </c>
      <c r="C317" s="13" t="s">
        <v>680</v>
      </c>
      <c r="D317" s="13" t="s">
        <v>10</v>
      </c>
      <c r="E317" s="13" t="s">
        <v>62</v>
      </c>
      <c r="F317" s="13">
        <v>2017.0</v>
      </c>
      <c r="G317" s="13">
        <v>27318.0</v>
      </c>
      <c r="H317" s="13">
        <v>1639.24</v>
      </c>
      <c r="I317" s="13">
        <f>' car_sales_data 1'!$G317*0.2</f>
        <v>5463.6</v>
      </c>
      <c r="J317" s="13" t="str">
        <f>TEXT(' car_sales_data 1'!$A317,"mmmm")</f>
        <v>October</v>
      </c>
      <c r="K317" s="13" t="str">
        <f>IF(' car_sales_data 1'!$G317&gt;40000,"Premium",
 IF(' car_sales_data 1'!$G317&gt;=20000,"Mid Range","Budget"))</f>
        <v>Mid Range</v>
      </c>
      <c r="L317" s="13">
        <f>YEAR(TODAY())-' car_sales_data 1'!$F317</f>
        <v>8</v>
      </c>
    </row>
    <row r="318" ht="15.75" customHeight="1">
      <c r="A318" s="16">
        <v>44993.0</v>
      </c>
      <c r="B318" s="13" t="s">
        <v>681</v>
      </c>
      <c r="C318" s="13" t="s">
        <v>682</v>
      </c>
      <c r="D318" s="13" t="s">
        <v>12</v>
      </c>
      <c r="E318" s="13" t="s">
        <v>57</v>
      </c>
      <c r="F318" s="13">
        <v>2014.0</v>
      </c>
      <c r="G318" s="13">
        <v>14698.0</v>
      </c>
      <c r="H318" s="13">
        <v>877.16</v>
      </c>
      <c r="I318" s="13">
        <f>' car_sales_data 1'!$G318*0.2</f>
        <v>2939.6</v>
      </c>
      <c r="J318" s="13" t="str">
        <f>TEXT(' car_sales_data 1'!$A318,"mmmm")</f>
        <v>March</v>
      </c>
      <c r="K318" s="13" t="str">
        <f>IF(' car_sales_data 1'!$G318&gt;40000,"Premium",
 IF(' car_sales_data 1'!$G318&gt;=20000,"Mid Range","Budget"))</f>
        <v>Budget</v>
      </c>
      <c r="L318" s="13">
        <f>YEAR(TODAY())-' car_sales_data 1'!$F318</f>
        <v>11</v>
      </c>
    </row>
    <row r="319" ht="15.75" customHeight="1">
      <c r="A319" s="16">
        <v>44803.0</v>
      </c>
      <c r="B319" s="13" t="s">
        <v>683</v>
      </c>
      <c r="C319" s="13" t="s">
        <v>684</v>
      </c>
      <c r="D319" s="13" t="s">
        <v>10</v>
      </c>
      <c r="E319" s="13" t="s">
        <v>70</v>
      </c>
      <c r="F319" s="13">
        <v>2010.0</v>
      </c>
      <c r="G319" s="13">
        <v>42121.0</v>
      </c>
      <c r="H319" s="13">
        <v>2980.31</v>
      </c>
      <c r="I319" s="13">
        <f>' car_sales_data 1'!$G319*0.2</f>
        <v>8424.2</v>
      </c>
      <c r="J319" s="13" t="str">
        <f>TEXT(' car_sales_data 1'!$A319,"mmmm")</f>
        <v>August</v>
      </c>
      <c r="K319" s="13" t="str">
        <f>IF(' car_sales_data 1'!$G319&gt;40000,"Premium",
 IF(' car_sales_data 1'!$G319&gt;=20000,"Mid Range","Budget"))</f>
        <v>Premium</v>
      </c>
      <c r="L319" s="13">
        <f>YEAR(TODAY())-' car_sales_data 1'!$F319</f>
        <v>15</v>
      </c>
    </row>
    <row r="320" ht="15.75" customHeight="1">
      <c r="A320" s="16">
        <v>45007.0</v>
      </c>
      <c r="B320" s="13" t="s">
        <v>685</v>
      </c>
      <c r="C320" s="13" t="s">
        <v>686</v>
      </c>
      <c r="D320" s="13" t="s">
        <v>14</v>
      </c>
      <c r="E320" s="13" t="s">
        <v>54</v>
      </c>
      <c r="F320" s="13">
        <v>2016.0</v>
      </c>
      <c r="G320" s="13">
        <v>36472.0</v>
      </c>
      <c r="H320" s="13">
        <v>5197.1</v>
      </c>
      <c r="I320" s="13">
        <f>' car_sales_data 1'!$G320*0.2</f>
        <v>7294.4</v>
      </c>
      <c r="J320" s="13" t="str">
        <f>TEXT(' car_sales_data 1'!$A320,"mmmm")</f>
        <v>March</v>
      </c>
      <c r="K320" s="13" t="str">
        <f>IF(' car_sales_data 1'!$G320&gt;40000,"Premium",
 IF(' car_sales_data 1'!$G320&gt;=20000,"Mid Range","Budget"))</f>
        <v>Mid Range</v>
      </c>
      <c r="L320" s="13">
        <f>YEAR(TODAY())-' car_sales_data 1'!$F320</f>
        <v>9</v>
      </c>
    </row>
    <row r="321" ht="15.75" customHeight="1">
      <c r="A321" s="16">
        <v>44831.0</v>
      </c>
      <c r="B321" s="13" t="s">
        <v>687</v>
      </c>
      <c r="C321" s="13" t="s">
        <v>688</v>
      </c>
      <c r="D321" s="13" t="s">
        <v>12</v>
      </c>
      <c r="E321" s="13" t="s">
        <v>62</v>
      </c>
      <c r="F321" s="13">
        <v>2014.0</v>
      </c>
      <c r="G321" s="13">
        <v>35150.0</v>
      </c>
      <c r="H321" s="13">
        <v>3364.55</v>
      </c>
      <c r="I321" s="13">
        <f>' car_sales_data 1'!$G321*0.2</f>
        <v>7030</v>
      </c>
      <c r="J321" s="13" t="str">
        <f>TEXT(' car_sales_data 1'!$A321,"mmmm")</f>
        <v>September</v>
      </c>
      <c r="K321" s="13" t="str">
        <f>IF(' car_sales_data 1'!$G321&gt;40000,"Premium",
 IF(' car_sales_data 1'!$G321&gt;=20000,"Mid Range","Budget"))</f>
        <v>Mid Range</v>
      </c>
      <c r="L321" s="13">
        <f>YEAR(TODAY())-' car_sales_data 1'!$F321</f>
        <v>11</v>
      </c>
    </row>
    <row r="322" ht="15.75" customHeight="1">
      <c r="A322" s="16">
        <v>44805.0</v>
      </c>
      <c r="B322" s="13" t="s">
        <v>689</v>
      </c>
      <c r="C322" s="13" t="s">
        <v>690</v>
      </c>
      <c r="D322" s="13" t="s">
        <v>10</v>
      </c>
      <c r="E322" s="13" t="s">
        <v>70</v>
      </c>
      <c r="F322" s="13">
        <v>2020.0</v>
      </c>
      <c r="G322" s="13">
        <v>48729.0</v>
      </c>
      <c r="H322" s="13">
        <v>2626.88</v>
      </c>
      <c r="I322" s="13">
        <f>' car_sales_data 1'!$G322*0.2</f>
        <v>9745.8</v>
      </c>
      <c r="J322" s="13" t="str">
        <f>TEXT(' car_sales_data 1'!$A322,"mmmm")</f>
        <v>September</v>
      </c>
      <c r="K322" s="13" t="str">
        <f>IF(' car_sales_data 1'!$G322&gt;40000,"Premium",
 IF(' car_sales_data 1'!$G322&gt;=20000,"Mid Range","Budget"))</f>
        <v>Premium</v>
      </c>
      <c r="L322" s="13">
        <f>YEAR(TODAY())-' car_sales_data 1'!$F322</f>
        <v>5</v>
      </c>
    </row>
    <row r="323" ht="15.75" customHeight="1">
      <c r="A323" s="16">
        <v>44959.0</v>
      </c>
      <c r="B323" s="13" t="s">
        <v>691</v>
      </c>
      <c r="C323" s="13" t="s">
        <v>692</v>
      </c>
      <c r="D323" s="13" t="s">
        <v>12</v>
      </c>
      <c r="E323" s="13" t="s">
        <v>51</v>
      </c>
      <c r="F323" s="13">
        <v>2016.0</v>
      </c>
      <c r="G323" s="13">
        <v>31699.0</v>
      </c>
      <c r="H323" s="13">
        <v>3708.99</v>
      </c>
      <c r="I323" s="13">
        <f>' car_sales_data 1'!$G323*0.2</f>
        <v>6339.8</v>
      </c>
      <c r="J323" s="13" t="str">
        <f>TEXT(' car_sales_data 1'!$A323,"mmmm")</f>
        <v>February</v>
      </c>
      <c r="K323" s="13" t="str">
        <f>IF(' car_sales_data 1'!$G323&gt;40000,"Premium",
 IF(' car_sales_data 1'!$G323&gt;=20000,"Mid Range","Budget"))</f>
        <v>Mid Range</v>
      </c>
      <c r="L323" s="13">
        <f>YEAR(TODAY())-' car_sales_data 1'!$F323</f>
        <v>9</v>
      </c>
    </row>
    <row r="324" ht="15.75" customHeight="1">
      <c r="A324" s="16">
        <v>44866.0</v>
      </c>
      <c r="B324" s="13" t="s">
        <v>693</v>
      </c>
      <c r="C324" s="13" t="s">
        <v>694</v>
      </c>
      <c r="D324" s="13" t="s">
        <v>14</v>
      </c>
      <c r="E324" s="13" t="s">
        <v>51</v>
      </c>
      <c r="F324" s="13">
        <v>2015.0</v>
      </c>
      <c r="G324" s="13">
        <v>48969.0</v>
      </c>
      <c r="H324" s="13">
        <v>3879.61</v>
      </c>
      <c r="I324" s="13">
        <f>' car_sales_data 1'!$G324*0.2</f>
        <v>9793.8</v>
      </c>
      <c r="J324" s="13" t="str">
        <f>TEXT(' car_sales_data 1'!$A324,"mmmm")</f>
        <v>November</v>
      </c>
      <c r="K324" s="13" t="str">
        <f>IF(' car_sales_data 1'!$G324&gt;40000,"Premium",
 IF(' car_sales_data 1'!$G324&gt;=20000,"Mid Range","Budget"))</f>
        <v>Premium</v>
      </c>
      <c r="L324" s="13">
        <f>YEAR(TODAY())-' car_sales_data 1'!$F324</f>
        <v>10</v>
      </c>
    </row>
    <row r="325" ht="15.75" customHeight="1">
      <c r="A325" s="16">
        <v>44857.0</v>
      </c>
      <c r="B325" s="13" t="s">
        <v>695</v>
      </c>
      <c r="C325" s="13" t="s">
        <v>696</v>
      </c>
      <c r="D325" s="13" t="s">
        <v>12</v>
      </c>
      <c r="E325" s="13" t="s">
        <v>51</v>
      </c>
      <c r="F325" s="13">
        <v>2014.0</v>
      </c>
      <c r="G325" s="13">
        <v>42995.0</v>
      </c>
      <c r="H325" s="13">
        <v>3451.94</v>
      </c>
      <c r="I325" s="13">
        <f>' car_sales_data 1'!$G325*0.2</f>
        <v>8599</v>
      </c>
      <c r="J325" s="13" t="str">
        <f>TEXT(' car_sales_data 1'!$A325,"mmmm")</f>
        <v>October</v>
      </c>
      <c r="K325" s="13" t="str">
        <f>IF(' car_sales_data 1'!$G325&gt;40000,"Premium",
 IF(' car_sales_data 1'!$G325&gt;=20000,"Mid Range","Budget"))</f>
        <v>Premium</v>
      </c>
      <c r="L325" s="13">
        <f>YEAR(TODAY())-' car_sales_data 1'!$F325</f>
        <v>11</v>
      </c>
    </row>
    <row r="326" ht="15.75" customHeight="1">
      <c r="A326" s="16">
        <v>44950.0</v>
      </c>
      <c r="B326" s="13" t="s">
        <v>697</v>
      </c>
      <c r="C326" s="13" t="s">
        <v>698</v>
      </c>
      <c r="D326" s="13" t="s">
        <v>6</v>
      </c>
      <c r="E326" s="13" t="s">
        <v>62</v>
      </c>
      <c r="F326" s="13">
        <v>2017.0</v>
      </c>
      <c r="G326" s="13">
        <v>25721.0</v>
      </c>
      <c r="H326" s="13">
        <v>1949.4</v>
      </c>
      <c r="I326" s="13">
        <f>' car_sales_data 1'!$G326*0.2</f>
        <v>5144.2</v>
      </c>
      <c r="J326" s="13" t="str">
        <f>TEXT(' car_sales_data 1'!$A326,"mmmm")</f>
        <v>January</v>
      </c>
      <c r="K326" s="13" t="str">
        <f>IF(' car_sales_data 1'!$G326&gt;40000,"Premium",
 IF(' car_sales_data 1'!$G326&gt;=20000,"Mid Range","Budget"))</f>
        <v>Mid Range</v>
      </c>
      <c r="L326" s="13">
        <f>YEAR(TODAY())-' car_sales_data 1'!$F326</f>
        <v>8</v>
      </c>
    </row>
    <row r="327" ht="15.75" customHeight="1">
      <c r="A327" s="16">
        <v>44974.0</v>
      </c>
      <c r="B327" s="13" t="s">
        <v>699</v>
      </c>
      <c r="C327" s="13" t="s">
        <v>447</v>
      </c>
      <c r="D327" s="13" t="s">
        <v>12</v>
      </c>
      <c r="E327" s="13" t="s">
        <v>62</v>
      </c>
      <c r="F327" s="13">
        <v>2018.0</v>
      </c>
      <c r="G327" s="13">
        <v>39961.0</v>
      </c>
      <c r="H327" s="13">
        <v>3573.47</v>
      </c>
      <c r="I327" s="13">
        <f>' car_sales_data 1'!$G327*0.2</f>
        <v>7992.2</v>
      </c>
      <c r="J327" s="13" t="str">
        <f>TEXT(' car_sales_data 1'!$A327,"mmmm")</f>
        <v>February</v>
      </c>
      <c r="K327" s="13" t="str">
        <f>IF(' car_sales_data 1'!$G327&gt;40000,"Premium",
 IF(' car_sales_data 1'!$G327&gt;=20000,"Mid Range","Budget"))</f>
        <v>Mid Range</v>
      </c>
      <c r="L327" s="13">
        <f>YEAR(TODAY())-' car_sales_data 1'!$F327</f>
        <v>7</v>
      </c>
    </row>
    <row r="328" ht="15.75" customHeight="1">
      <c r="A328" s="16">
        <v>45028.0</v>
      </c>
      <c r="B328" s="13" t="s">
        <v>700</v>
      </c>
      <c r="C328" s="13" t="s">
        <v>701</v>
      </c>
      <c r="D328" s="13" t="s">
        <v>14</v>
      </c>
      <c r="E328" s="13" t="s">
        <v>62</v>
      </c>
      <c r="F328" s="13">
        <v>2017.0</v>
      </c>
      <c r="G328" s="13">
        <v>30720.0</v>
      </c>
      <c r="H328" s="13">
        <v>4015.0</v>
      </c>
      <c r="I328" s="13">
        <f>' car_sales_data 1'!$G328*0.2</f>
        <v>6144</v>
      </c>
      <c r="J328" s="13" t="str">
        <f>TEXT(' car_sales_data 1'!$A328,"mmmm")</f>
        <v>April</v>
      </c>
      <c r="K328" s="13" t="str">
        <f>IF(' car_sales_data 1'!$G328&gt;40000,"Premium",
 IF(' car_sales_data 1'!$G328&gt;=20000,"Mid Range","Budget"))</f>
        <v>Mid Range</v>
      </c>
      <c r="L328" s="13">
        <f>YEAR(TODAY())-' car_sales_data 1'!$F328</f>
        <v>8</v>
      </c>
    </row>
    <row r="329" ht="15.75" customHeight="1">
      <c r="A329" s="16">
        <v>44966.0</v>
      </c>
      <c r="B329" s="13" t="s">
        <v>702</v>
      </c>
      <c r="C329" s="13" t="s">
        <v>703</v>
      </c>
      <c r="D329" s="13" t="s">
        <v>10</v>
      </c>
      <c r="E329" s="13" t="s">
        <v>62</v>
      </c>
      <c r="F329" s="13">
        <v>2014.0</v>
      </c>
      <c r="G329" s="13">
        <v>39757.0</v>
      </c>
      <c r="H329" s="13">
        <v>5440.88</v>
      </c>
      <c r="I329" s="13">
        <f>' car_sales_data 1'!$G329*0.2</f>
        <v>7951.4</v>
      </c>
      <c r="J329" s="13" t="str">
        <f>TEXT(' car_sales_data 1'!$A329,"mmmm")</f>
        <v>February</v>
      </c>
      <c r="K329" s="13" t="str">
        <f>IF(' car_sales_data 1'!$G329&gt;40000,"Premium",
 IF(' car_sales_data 1'!$G329&gt;=20000,"Mid Range","Budget"))</f>
        <v>Mid Range</v>
      </c>
      <c r="L329" s="13">
        <f>YEAR(TODAY())-' car_sales_data 1'!$F329</f>
        <v>11</v>
      </c>
    </row>
    <row r="330" ht="15.75" customHeight="1">
      <c r="A330" s="16">
        <v>44709.0</v>
      </c>
      <c r="B330" s="13" t="s">
        <v>704</v>
      </c>
      <c r="C330" s="13" t="s">
        <v>245</v>
      </c>
      <c r="D330" s="13" t="s">
        <v>8</v>
      </c>
      <c r="E330" s="13" t="s">
        <v>57</v>
      </c>
      <c r="F330" s="13">
        <v>2019.0</v>
      </c>
      <c r="G330" s="13">
        <v>24673.0</v>
      </c>
      <c r="H330" s="13">
        <v>2586.83</v>
      </c>
      <c r="I330" s="13">
        <f>' car_sales_data 1'!$G330*0.2</f>
        <v>4934.6</v>
      </c>
      <c r="J330" s="13" t="str">
        <f>TEXT(' car_sales_data 1'!$A330,"mmmm")</f>
        <v>May</v>
      </c>
      <c r="K330" s="13" t="str">
        <f>IF(' car_sales_data 1'!$G330&gt;40000,"Premium",
 IF(' car_sales_data 1'!$G330&gt;=20000,"Mid Range","Budget"))</f>
        <v>Mid Range</v>
      </c>
      <c r="L330" s="13">
        <f>YEAR(TODAY())-' car_sales_data 1'!$F330</f>
        <v>6</v>
      </c>
    </row>
    <row r="331" ht="15.75" customHeight="1">
      <c r="A331" s="16">
        <v>44929.0</v>
      </c>
      <c r="B331" s="13" t="s">
        <v>705</v>
      </c>
      <c r="C331" s="13" t="s">
        <v>706</v>
      </c>
      <c r="D331" s="13" t="s">
        <v>8</v>
      </c>
      <c r="E331" s="13" t="s">
        <v>51</v>
      </c>
      <c r="F331" s="13">
        <v>2014.0</v>
      </c>
      <c r="G331" s="13">
        <v>24010.0</v>
      </c>
      <c r="H331" s="13">
        <v>3411.5</v>
      </c>
      <c r="I331" s="13">
        <f>' car_sales_data 1'!$G331*0.2</f>
        <v>4802</v>
      </c>
      <c r="J331" s="13" t="str">
        <f>TEXT(' car_sales_data 1'!$A331,"mmmm")</f>
        <v>January</v>
      </c>
      <c r="K331" s="13" t="str">
        <f>IF(' car_sales_data 1'!$G331&gt;40000,"Premium",
 IF(' car_sales_data 1'!$G331&gt;=20000,"Mid Range","Budget"))</f>
        <v>Mid Range</v>
      </c>
      <c r="L331" s="13">
        <f>YEAR(TODAY())-' car_sales_data 1'!$F331</f>
        <v>11</v>
      </c>
    </row>
    <row r="332" ht="15.75" customHeight="1">
      <c r="A332" s="16">
        <v>44915.0</v>
      </c>
      <c r="B332" s="13" t="s">
        <v>707</v>
      </c>
      <c r="C332" s="13" t="s">
        <v>708</v>
      </c>
      <c r="D332" s="13" t="s">
        <v>14</v>
      </c>
      <c r="E332" s="13" t="s">
        <v>62</v>
      </c>
      <c r="F332" s="13">
        <v>2020.0</v>
      </c>
      <c r="G332" s="13">
        <v>12606.0</v>
      </c>
      <c r="H332" s="13">
        <v>1630.07</v>
      </c>
      <c r="I332" s="13">
        <f>' car_sales_data 1'!$G332*0.2</f>
        <v>2521.2</v>
      </c>
      <c r="J332" s="13" t="str">
        <f>TEXT(' car_sales_data 1'!$A332,"mmmm")</f>
        <v>December</v>
      </c>
      <c r="K332" s="13" t="str">
        <f>IF(' car_sales_data 1'!$G332&gt;40000,"Premium",
 IF(' car_sales_data 1'!$G332&gt;=20000,"Mid Range","Budget"))</f>
        <v>Budget</v>
      </c>
      <c r="L332" s="13">
        <f>YEAR(TODAY())-' car_sales_data 1'!$F332</f>
        <v>5</v>
      </c>
    </row>
    <row r="333" ht="15.75" customHeight="1">
      <c r="A333" s="16">
        <v>44792.0</v>
      </c>
      <c r="B333" s="13" t="s">
        <v>709</v>
      </c>
      <c r="C333" s="13" t="s">
        <v>710</v>
      </c>
      <c r="D333" s="13" t="s">
        <v>10</v>
      </c>
      <c r="E333" s="13" t="s">
        <v>70</v>
      </c>
      <c r="F333" s="13">
        <v>2016.0</v>
      </c>
      <c r="G333" s="13">
        <v>47608.0</v>
      </c>
      <c r="H333" s="13">
        <v>5861.95</v>
      </c>
      <c r="I333" s="13">
        <f>' car_sales_data 1'!$G333*0.2</f>
        <v>9521.6</v>
      </c>
      <c r="J333" s="13" t="str">
        <f>TEXT(' car_sales_data 1'!$A333,"mmmm")</f>
        <v>August</v>
      </c>
      <c r="K333" s="13" t="str">
        <f>IF(' car_sales_data 1'!$G333&gt;40000,"Premium",
 IF(' car_sales_data 1'!$G333&gt;=20000,"Mid Range","Budget"))</f>
        <v>Premium</v>
      </c>
      <c r="L333" s="13">
        <f>YEAR(TODAY())-' car_sales_data 1'!$F333</f>
        <v>9</v>
      </c>
    </row>
    <row r="334" ht="15.75" customHeight="1">
      <c r="A334" s="16">
        <v>44989.0</v>
      </c>
      <c r="B334" s="13" t="s">
        <v>711</v>
      </c>
      <c r="C334" s="13" t="s">
        <v>712</v>
      </c>
      <c r="D334" s="13" t="s">
        <v>8</v>
      </c>
      <c r="E334" s="13" t="s">
        <v>57</v>
      </c>
      <c r="F334" s="13">
        <v>2020.0</v>
      </c>
      <c r="G334" s="13">
        <v>37065.0</v>
      </c>
      <c r="H334" s="13">
        <v>2960.25</v>
      </c>
      <c r="I334" s="13">
        <f>' car_sales_data 1'!$G334*0.2</f>
        <v>7413</v>
      </c>
      <c r="J334" s="13" t="str">
        <f>TEXT(' car_sales_data 1'!$A334,"mmmm")</f>
        <v>March</v>
      </c>
      <c r="K334" s="13" t="str">
        <f>IF(' car_sales_data 1'!$G334&gt;40000,"Premium",
 IF(' car_sales_data 1'!$G334&gt;=20000,"Mid Range","Budget"))</f>
        <v>Mid Range</v>
      </c>
      <c r="L334" s="13">
        <f>YEAR(TODAY())-' car_sales_data 1'!$F334</f>
        <v>5</v>
      </c>
    </row>
    <row r="335" ht="15.75" customHeight="1">
      <c r="A335" s="16">
        <v>44739.0</v>
      </c>
      <c r="B335" s="13" t="s">
        <v>713</v>
      </c>
      <c r="C335" s="13" t="s">
        <v>714</v>
      </c>
      <c r="D335" s="13" t="s">
        <v>8</v>
      </c>
      <c r="E335" s="13" t="s">
        <v>57</v>
      </c>
      <c r="F335" s="13">
        <v>2017.0</v>
      </c>
      <c r="G335" s="13">
        <v>28539.0</v>
      </c>
      <c r="H335" s="13">
        <v>3069.09</v>
      </c>
      <c r="I335" s="13">
        <f>' car_sales_data 1'!$G335*0.2</f>
        <v>5707.8</v>
      </c>
      <c r="J335" s="13" t="str">
        <f>TEXT(' car_sales_data 1'!$A335,"mmmm")</f>
        <v>June</v>
      </c>
      <c r="K335" s="13" t="str">
        <f>IF(' car_sales_data 1'!$G335&gt;40000,"Premium",
 IF(' car_sales_data 1'!$G335&gt;=20000,"Mid Range","Budget"))</f>
        <v>Mid Range</v>
      </c>
      <c r="L335" s="13">
        <f>YEAR(TODAY())-' car_sales_data 1'!$F335</f>
        <v>8</v>
      </c>
    </row>
    <row r="336" ht="15.75" customHeight="1">
      <c r="A336" s="16">
        <v>45021.0</v>
      </c>
      <c r="B336" s="13" t="s">
        <v>715</v>
      </c>
      <c r="C336" s="13" t="s">
        <v>716</v>
      </c>
      <c r="D336" s="13" t="s">
        <v>8</v>
      </c>
      <c r="E336" s="13" t="s">
        <v>51</v>
      </c>
      <c r="F336" s="13">
        <v>2019.0</v>
      </c>
      <c r="G336" s="13">
        <v>26971.0</v>
      </c>
      <c r="H336" s="13">
        <v>3291.08</v>
      </c>
      <c r="I336" s="13">
        <f>' car_sales_data 1'!$G336*0.2</f>
        <v>5394.2</v>
      </c>
      <c r="J336" s="13" t="str">
        <f>TEXT(' car_sales_data 1'!$A336,"mmmm")</f>
        <v>April</v>
      </c>
      <c r="K336" s="13" t="str">
        <f>IF(' car_sales_data 1'!$G336&gt;40000,"Premium",
 IF(' car_sales_data 1'!$G336&gt;=20000,"Mid Range","Budget"))</f>
        <v>Mid Range</v>
      </c>
      <c r="L336" s="13">
        <f>YEAR(TODAY())-' car_sales_data 1'!$F336</f>
        <v>6</v>
      </c>
    </row>
    <row r="337" ht="15.75" customHeight="1">
      <c r="A337" s="16">
        <v>44685.0</v>
      </c>
      <c r="B337" s="13" t="s">
        <v>717</v>
      </c>
      <c r="C337" s="13" t="s">
        <v>718</v>
      </c>
      <c r="D337" s="13" t="s">
        <v>14</v>
      </c>
      <c r="E337" s="13" t="s">
        <v>62</v>
      </c>
      <c r="F337" s="13">
        <v>2018.0</v>
      </c>
      <c r="G337" s="13">
        <v>30286.0</v>
      </c>
      <c r="H337" s="13">
        <v>3809.16</v>
      </c>
      <c r="I337" s="13">
        <f>' car_sales_data 1'!$G337*0.2</f>
        <v>6057.2</v>
      </c>
      <c r="J337" s="13" t="str">
        <f>TEXT(' car_sales_data 1'!$A337,"mmmm")</f>
        <v>May</v>
      </c>
      <c r="K337" s="13" t="str">
        <f>IF(' car_sales_data 1'!$G337&gt;40000,"Premium",
 IF(' car_sales_data 1'!$G337&gt;=20000,"Mid Range","Budget"))</f>
        <v>Mid Range</v>
      </c>
      <c r="L337" s="13">
        <f>YEAR(TODAY())-' car_sales_data 1'!$F337</f>
        <v>7</v>
      </c>
    </row>
    <row r="338" ht="15.75" customHeight="1">
      <c r="A338" s="16">
        <v>44960.0</v>
      </c>
      <c r="B338" s="13" t="s">
        <v>719</v>
      </c>
      <c r="C338" s="13" t="s">
        <v>720</v>
      </c>
      <c r="D338" s="13" t="s">
        <v>8</v>
      </c>
      <c r="E338" s="13" t="s">
        <v>57</v>
      </c>
      <c r="F338" s="13">
        <v>2016.0</v>
      </c>
      <c r="G338" s="13">
        <v>45257.0</v>
      </c>
      <c r="H338" s="13">
        <v>4199.94</v>
      </c>
      <c r="I338" s="13">
        <f>' car_sales_data 1'!$G338*0.2</f>
        <v>9051.4</v>
      </c>
      <c r="J338" s="13" t="str">
        <f>TEXT(' car_sales_data 1'!$A338,"mmmm")</f>
        <v>February</v>
      </c>
      <c r="K338" s="13" t="str">
        <f>IF(' car_sales_data 1'!$G338&gt;40000,"Premium",
 IF(' car_sales_data 1'!$G338&gt;=20000,"Mid Range","Budget"))</f>
        <v>Premium</v>
      </c>
      <c r="L338" s="13">
        <f>YEAR(TODAY())-' car_sales_data 1'!$F338</f>
        <v>9</v>
      </c>
    </row>
    <row r="339" ht="15.75" customHeight="1">
      <c r="A339" s="16">
        <v>44878.0</v>
      </c>
      <c r="B339" s="13" t="s">
        <v>721</v>
      </c>
      <c r="C339" s="13" t="s">
        <v>722</v>
      </c>
      <c r="D339" s="13" t="s">
        <v>14</v>
      </c>
      <c r="E339" s="13" t="s">
        <v>62</v>
      </c>
      <c r="F339" s="13">
        <v>2019.0</v>
      </c>
      <c r="G339" s="13">
        <v>35271.0</v>
      </c>
      <c r="H339" s="13">
        <v>2086.03</v>
      </c>
      <c r="I339" s="13">
        <f>' car_sales_data 1'!$G339*0.2</f>
        <v>7054.2</v>
      </c>
      <c r="J339" s="13" t="str">
        <f>TEXT(' car_sales_data 1'!$A339,"mmmm")</f>
        <v>November</v>
      </c>
      <c r="K339" s="13" t="str">
        <f>IF(' car_sales_data 1'!$G339&gt;40000,"Premium",
 IF(' car_sales_data 1'!$G339&gt;=20000,"Mid Range","Budget"))</f>
        <v>Mid Range</v>
      </c>
      <c r="L339" s="13">
        <f>YEAR(TODAY())-' car_sales_data 1'!$F339</f>
        <v>6</v>
      </c>
    </row>
    <row r="340" ht="15.75" customHeight="1">
      <c r="A340" s="16">
        <v>44982.0</v>
      </c>
      <c r="B340" s="13" t="s">
        <v>723</v>
      </c>
      <c r="C340" s="13" t="s">
        <v>724</v>
      </c>
      <c r="D340" s="13" t="s">
        <v>6</v>
      </c>
      <c r="E340" s="13" t="s">
        <v>54</v>
      </c>
      <c r="F340" s="13">
        <v>2013.0</v>
      </c>
      <c r="G340" s="13">
        <v>16272.0</v>
      </c>
      <c r="H340" s="13">
        <v>1661.69</v>
      </c>
      <c r="I340" s="13">
        <f>' car_sales_data 1'!$G340*0.2</f>
        <v>3254.4</v>
      </c>
      <c r="J340" s="13" t="str">
        <f>TEXT(' car_sales_data 1'!$A340,"mmmm")</f>
        <v>February</v>
      </c>
      <c r="K340" s="13" t="str">
        <f>IF(' car_sales_data 1'!$G340&gt;40000,"Premium",
 IF(' car_sales_data 1'!$G340&gt;=20000,"Mid Range","Budget"))</f>
        <v>Budget</v>
      </c>
      <c r="L340" s="13">
        <f>YEAR(TODAY())-' car_sales_data 1'!$F340</f>
        <v>12</v>
      </c>
    </row>
    <row r="341" ht="15.75" customHeight="1">
      <c r="A341" s="16">
        <v>44774.0</v>
      </c>
      <c r="B341" s="13" t="s">
        <v>725</v>
      </c>
      <c r="C341" s="13" t="s">
        <v>726</v>
      </c>
      <c r="D341" s="13" t="s">
        <v>8</v>
      </c>
      <c r="E341" s="13" t="s">
        <v>57</v>
      </c>
      <c r="F341" s="13">
        <v>2013.0</v>
      </c>
      <c r="G341" s="13">
        <v>28149.0</v>
      </c>
      <c r="H341" s="13">
        <v>2002.44</v>
      </c>
      <c r="I341" s="13">
        <f>' car_sales_data 1'!$G341*0.2</f>
        <v>5629.8</v>
      </c>
      <c r="J341" s="13" t="str">
        <f>TEXT(' car_sales_data 1'!$A341,"mmmm")</f>
        <v>August</v>
      </c>
      <c r="K341" s="13" t="str">
        <f>IF(' car_sales_data 1'!$G341&gt;40000,"Premium",
 IF(' car_sales_data 1'!$G341&gt;=20000,"Mid Range","Budget"))</f>
        <v>Mid Range</v>
      </c>
      <c r="L341" s="13">
        <f>YEAR(TODAY())-' car_sales_data 1'!$F341</f>
        <v>12</v>
      </c>
    </row>
    <row r="342" ht="15.75" customHeight="1">
      <c r="A342" s="16">
        <v>45043.0</v>
      </c>
      <c r="B342" s="13" t="s">
        <v>727</v>
      </c>
      <c r="C342" s="13" t="s">
        <v>728</v>
      </c>
      <c r="D342" s="13" t="s">
        <v>12</v>
      </c>
      <c r="E342" s="13" t="s">
        <v>62</v>
      </c>
      <c r="F342" s="13">
        <v>2010.0</v>
      </c>
      <c r="G342" s="13">
        <v>15021.0</v>
      </c>
      <c r="H342" s="13">
        <v>2046.49</v>
      </c>
      <c r="I342" s="13">
        <f>' car_sales_data 1'!$G342*0.2</f>
        <v>3004.2</v>
      </c>
      <c r="J342" s="13" t="str">
        <f>TEXT(' car_sales_data 1'!$A342,"mmmm")</f>
        <v>April</v>
      </c>
      <c r="K342" s="13" t="str">
        <f>IF(' car_sales_data 1'!$G342&gt;40000,"Premium",
 IF(' car_sales_data 1'!$G342&gt;=20000,"Mid Range","Budget"))</f>
        <v>Budget</v>
      </c>
      <c r="L342" s="13">
        <f>YEAR(TODAY())-' car_sales_data 1'!$F342</f>
        <v>15</v>
      </c>
    </row>
    <row r="343" ht="15.75" customHeight="1">
      <c r="A343" s="16">
        <v>44918.0</v>
      </c>
      <c r="B343" s="13" t="s">
        <v>729</v>
      </c>
      <c r="C343" s="13" t="s">
        <v>730</v>
      </c>
      <c r="D343" s="13" t="s">
        <v>14</v>
      </c>
      <c r="E343" s="13" t="s">
        <v>54</v>
      </c>
      <c r="F343" s="13">
        <v>2015.0</v>
      </c>
      <c r="G343" s="13">
        <v>46673.0</v>
      </c>
      <c r="H343" s="13">
        <v>4784.95</v>
      </c>
      <c r="I343" s="13">
        <f>' car_sales_data 1'!$G343*0.2</f>
        <v>9334.6</v>
      </c>
      <c r="J343" s="13" t="str">
        <f>TEXT(' car_sales_data 1'!$A343,"mmmm")</f>
        <v>December</v>
      </c>
      <c r="K343" s="13" t="str">
        <f>IF(' car_sales_data 1'!$G343&gt;40000,"Premium",
 IF(' car_sales_data 1'!$G343&gt;=20000,"Mid Range","Budget"))</f>
        <v>Premium</v>
      </c>
      <c r="L343" s="13">
        <f>YEAR(TODAY())-' car_sales_data 1'!$F343</f>
        <v>10</v>
      </c>
    </row>
    <row r="344" ht="15.75" customHeight="1">
      <c r="A344" s="16">
        <v>45029.0</v>
      </c>
      <c r="B344" s="13" t="s">
        <v>731</v>
      </c>
      <c r="C344" s="13" t="s">
        <v>732</v>
      </c>
      <c r="D344" s="13" t="s">
        <v>14</v>
      </c>
      <c r="E344" s="13" t="s">
        <v>54</v>
      </c>
      <c r="F344" s="13">
        <v>2015.0</v>
      </c>
      <c r="G344" s="13">
        <v>31679.0</v>
      </c>
      <c r="H344" s="13">
        <v>2552.0</v>
      </c>
      <c r="I344" s="13">
        <f>' car_sales_data 1'!$G344*0.2</f>
        <v>6335.8</v>
      </c>
      <c r="J344" s="13" t="str">
        <f>TEXT(' car_sales_data 1'!$A344,"mmmm")</f>
        <v>April</v>
      </c>
      <c r="K344" s="13" t="str">
        <f>IF(' car_sales_data 1'!$G344&gt;40000,"Premium",
 IF(' car_sales_data 1'!$G344&gt;=20000,"Mid Range","Budget"))</f>
        <v>Mid Range</v>
      </c>
      <c r="L344" s="13">
        <f>YEAR(TODAY())-' car_sales_data 1'!$F344</f>
        <v>10</v>
      </c>
    </row>
    <row r="345" ht="15.75" customHeight="1">
      <c r="A345" s="16">
        <v>45004.0</v>
      </c>
      <c r="B345" s="13" t="s">
        <v>733</v>
      </c>
      <c r="C345" s="13" t="s">
        <v>734</v>
      </c>
      <c r="D345" s="13" t="s">
        <v>8</v>
      </c>
      <c r="E345" s="13" t="s">
        <v>62</v>
      </c>
      <c r="F345" s="13">
        <v>2014.0</v>
      </c>
      <c r="G345" s="13">
        <v>40621.0</v>
      </c>
      <c r="H345" s="13">
        <v>2487.07</v>
      </c>
      <c r="I345" s="13">
        <f>' car_sales_data 1'!$G345*0.2</f>
        <v>8124.2</v>
      </c>
      <c r="J345" s="13" t="str">
        <f>TEXT(' car_sales_data 1'!$A345,"mmmm")</f>
        <v>March</v>
      </c>
      <c r="K345" s="13" t="str">
        <f>IF(' car_sales_data 1'!$G345&gt;40000,"Premium",
 IF(' car_sales_data 1'!$G345&gt;=20000,"Mid Range","Budget"))</f>
        <v>Premium</v>
      </c>
      <c r="L345" s="13">
        <f>YEAR(TODAY())-' car_sales_data 1'!$F345</f>
        <v>11</v>
      </c>
    </row>
    <row r="346" ht="15.75" customHeight="1">
      <c r="A346" s="16">
        <v>44706.0</v>
      </c>
      <c r="B346" s="13" t="s">
        <v>735</v>
      </c>
      <c r="C346" s="13" t="s">
        <v>736</v>
      </c>
      <c r="D346" s="13" t="s">
        <v>10</v>
      </c>
      <c r="E346" s="13" t="s">
        <v>54</v>
      </c>
      <c r="F346" s="13">
        <v>2017.0</v>
      </c>
      <c r="G346" s="13">
        <v>22369.0</v>
      </c>
      <c r="H346" s="13">
        <v>2132.72</v>
      </c>
      <c r="I346" s="13">
        <f>' car_sales_data 1'!$G346*0.2</f>
        <v>4473.8</v>
      </c>
      <c r="J346" s="13" t="str">
        <f>TEXT(' car_sales_data 1'!$A346,"mmmm")</f>
        <v>May</v>
      </c>
      <c r="K346" s="13" t="str">
        <f>IF(' car_sales_data 1'!$G346&gt;40000,"Premium",
 IF(' car_sales_data 1'!$G346&gt;=20000,"Mid Range","Budget"))</f>
        <v>Mid Range</v>
      </c>
      <c r="L346" s="13">
        <f>YEAR(TODAY())-' car_sales_data 1'!$F346</f>
        <v>8</v>
      </c>
    </row>
    <row r="347" ht="15.75" customHeight="1">
      <c r="A347" s="16">
        <v>44837.0</v>
      </c>
      <c r="B347" s="13" t="s">
        <v>737</v>
      </c>
      <c r="C347" s="13" t="s">
        <v>738</v>
      </c>
      <c r="D347" s="13" t="s">
        <v>8</v>
      </c>
      <c r="E347" s="13" t="s">
        <v>57</v>
      </c>
      <c r="F347" s="13">
        <v>2011.0</v>
      </c>
      <c r="G347" s="13">
        <v>37862.0</v>
      </c>
      <c r="H347" s="13">
        <v>3314.01</v>
      </c>
      <c r="I347" s="13">
        <f>' car_sales_data 1'!$G347*0.2</f>
        <v>7572.4</v>
      </c>
      <c r="J347" s="13" t="str">
        <f>TEXT(' car_sales_data 1'!$A347,"mmmm")</f>
        <v>October</v>
      </c>
      <c r="K347" s="13" t="str">
        <f>IF(' car_sales_data 1'!$G347&gt;40000,"Premium",
 IF(' car_sales_data 1'!$G347&gt;=20000,"Mid Range","Budget"))</f>
        <v>Mid Range</v>
      </c>
      <c r="L347" s="13">
        <f>YEAR(TODAY())-' car_sales_data 1'!$F347</f>
        <v>14</v>
      </c>
    </row>
    <row r="348" ht="15.75" customHeight="1">
      <c r="A348" s="16">
        <v>44787.0</v>
      </c>
      <c r="B348" s="13" t="s">
        <v>739</v>
      </c>
      <c r="C348" s="13" t="s">
        <v>740</v>
      </c>
      <c r="D348" s="13" t="s">
        <v>6</v>
      </c>
      <c r="E348" s="13" t="s">
        <v>62</v>
      </c>
      <c r="F348" s="13">
        <v>2015.0</v>
      </c>
      <c r="G348" s="13">
        <v>42449.0</v>
      </c>
      <c r="H348" s="13">
        <v>2937.73</v>
      </c>
      <c r="I348" s="13">
        <f>' car_sales_data 1'!$G348*0.2</f>
        <v>8489.8</v>
      </c>
      <c r="J348" s="13" t="str">
        <f>TEXT(' car_sales_data 1'!$A348,"mmmm")</f>
        <v>August</v>
      </c>
      <c r="K348" s="13" t="str">
        <f>IF(' car_sales_data 1'!$G348&gt;40000,"Premium",
 IF(' car_sales_data 1'!$G348&gt;=20000,"Mid Range","Budget"))</f>
        <v>Premium</v>
      </c>
      <c r="L348" s="13">
        <f>YEAR(TODAY())-' car_sales_data 1'!$F348</f>
        <v>10</v>
      </c>
    </row>
    <row r="349" ht="15.75" customHeight="1">
      <c r="A349" s="16">
        <v>44798.0</v>
      </c>
      <c r="B349" s="13" t="s">
        <v>741</v>
      </c>
      <c r="C349" s="13" t="s">
        <v>742</v>
      </c>
      <c r="D349" s="13" t="s">
        <v>8</v>
      </c>
      <c r="E349" s="13" t="s">
        <v>62</v>
      </c>
      <c r="F349" s="13">
        <v>2011.0</v>
      </c>
      <c r="G349" s="13">
        <v>36410.0</v>
      </c>
      <c r="H349" s="13">
        <v>4757.39</v>
      </c>
      <c r="I349" s="13">
        <f>' car_sales_data 1'!$G349*0.2</f>
        <v>7282</v>
      </c>
      <c r="J349" s="13" t="str">
        <f>TEXT(' car_sales_data 1'!$A349,"mmmm")</f>
        <v>August</v>
      </c>
      <c r="K349" s="13" t="str">
        <f>IF(' car_sales_data 1'!$G349&gt;40000,"Premium",
 IF(' car_sales_data 1'!$G349&gt;=20000,"Mid Range","Budget"))</f>
        <v>Mid Range</v>
      </c>
      <c r="L349" s="13">
        <f>YEAR(TODAY())-' car_sales_data 1'!$F349</f>
        <v>14</v>
      </c>
    </row>
    <row r="350" ht="15.75" customHeight="1">
      <c r="A350" s="16">
        <v>44886.0</v>
      </c>
      <c r="B350" s="13" t="s">
        <v>743</v>
      </c>
      <c r="C350" s="13" t="s">
        <v>744</v>
      </c>
      <c r="D350" s="13" t="s">
        <v>8</v>
      </c>
      <c r="E350" s="13" t="s">
        <v>57</v>
      </c>
      <c r="F350" s="13">
        <v>2017.0</v>
      </c>
      <c r="G350" s="13">
        <v>46640.0</v>
      </c>
      <c r="H350" s="13">
        <v>6535.16</v>
      </c>
      <c r="I350" s="13">
        <f>' car_sales_data 1'!$G350*0.2</f>
        <v>9328</v>
      </c>
      <c r="J350" s="13" t="str">
        <f>TEXT(' car_sales_data 1'!$A350,"mmmm")</f>
        <v>November</v>
      </c>
      <c r="K350" s="13" t="str">
        <f>IF(' car_sales_data 1'!$G350&gt;40000,"Premium",
 IF(' car_sales_data 1'!$G350&gt;=20000,"Mid Range","Budget"))</f>
        <v>Premium</v>
      </c>
      <c r="L350" s="13">
        <f>YEAR(TODAY())-' car_sales_data 1'!$F350</f>
        <v>8</v>
      </c>
    </row>
    <row r="351" ht="15.75" customHeight="1">
      <c r="A351" s="16">
        <v>44868.0</v>
      </c>
      <c r="B351" s="13" t="s">
        <v>745</v>
      </c>
      <c r="C351" s="13" t="s">
        <v>746</v>
      </c>
      <c r="D351" s="13" t="s">
        <v>8</v>
      </c>
      <c r="E351" s="13" t="s">
        <v>57</v>
      </c>
      <c r="F351" s="13">
        <v>2013.0</v>
      </c>
      <c r="G351" s="13">
        <v>34417.0</v>
      </c>
      <c r="H351" s="13">
        <v>4083.02</v>
      </c>
      <c r="I351" s="13">
        <f>' car_sales_data 1'!$G351*0.2</f>
        <v>6883.4</v>
      </c>
      <c r="J351" s="13" t="str">
        <f>TEXT(' car_sales_data 1'!$A351,"mmmm")</f>
        <v>November</v>
      </c>
      <c r="K351" s="13" t="str">
        <f>IF(' car_sales_data 1'!$G351&gt;40000,"Premium",
 IF(' car_sales_data 1'!$G351&gt;=20000,"Mid Range","Budget"))</f>
        <v>Mid Range</v>
      </c>
      <c r="L351" s="13">
        <f>YEAR(TODAY())-' car_sales_data 1'!$F351</f>
        <v>12</v>
      </c>
    </row>
    <row r="352" ht="15.75" customHeight="1">
      <c r="A352" s="16">
        <v>44870.0</v>
      </c>
      <c r="B352" s="13" t="s">
        <v>747</v>
      </c>
      <c r="C352" s="13" t="s">
        <v>748</v>
      </c>
      <c r="D352" s="13" t="s">
        <v>6</v>
      </c>
      <c r="E352" s="13" t="s">
        <v>54</v>
      </c>
      <c r="F352" s="13">
        <v>2014.0</v>
      </c>
      <c r="G352" s="13">
        <v>42602.0</v>
      </c>
      <c r="H352" s="13">
        <v>3954.19</v>
      </c>
      <c r="I352" s="13">
        <f>' car_sales_data 1'!$G352*0.2</f>
        <v>8520.4</v>
      </c>
      <c r="J352" s="13" t="str">
        <f>TEXT(' car_sales_data 1'!$A352,"mmmm")</f>
        <v>November</v>
      </c>
      <c r="K352" s="13" t="str">
        <f>IF(' car_sales_data 1'!$G352&gt;40000,"Premium",
 IF(' car_sales_data 1'!$G352&gt;=20000,"Mid Range","Budget"))</f>
        <v>Premium</v>
      </c>
      <c r="L352" s="13">
        <f>YEAR(TODAY())-' car_sales_data 1'!$F352</f>
        <v>11</v>
      </c>
    </row>
    <row r="353" ht="15.75" customHeight="1">
      <c r="A353" s="16">
        <v>45045.0</v>
      </c>
      <c r="B353" s="13" t="s">
        <v>749</v>
      </c>
      <c r="C353" s="13" t="s">
        <v>750</v>
      </c>
      <c r="D353" s="13" t="s">
        <v>8</v>
      </c>
      <c r="E353" s="13" t="s">
        <v>57</v>
      </c>
      <c r="F353" s="13">
        <v>2017.0</v>
      </c>
      <c r="G353" s="13">
        <v>46312.0</v>
      </c>
      <c r="H353" s="13">
        <v>4906.35</v>
      </c>
      <c r="I353" s="13">
        <f>' car_sales_data 1'!$G353*0.2</f>
        <v>9262.4</v>
      </c>
      <c r="J353" s="13" t="str">
        <f>TEXT(' car_sales_data 1'!$A353,"mmmm")</f>
        <v>April</v>
      </c>
      <c r="K353" s="13" t="str">
        <f>IF(' car_sales_data 1'!$G353&gt;40000,"Premium",
 IF(' car_sales_data 1'!$G353&gt;=20000,"Mid Range","Budget"))</f>
        <v>Premium</v>
      </c>
      <c r="L353" s="13">
        <f>YEAR(TODAY())-' car_sales_data 1'!$F353</f>
        <v>8</v>
      </c>
    </row>
    <row r="354" ht="15.75" customHeight="1">
      <c r="A354" s="16">
        <v>44771.0</v>
      </c>
      <c r="B354" s="13" t="s">
        <v>751</v>
      </c>
      <c r="C354" s="13" t="s">
        <v>752</v>
      </c>
      <c r="D354" s="13" t="s">
        <v>12</v>
      </c>
      <c r="E354" s="13" t="s">
        <v>70</v>
      </c>
      <c r="F354" s="13">
        <v>2016.0</v>
      </c>
      <c r="G354" s="13">
        <v>45589.0</v>
      </c>
      <c r="H354" s="13">
        <v>4873.23</v>
      </c>
      <c r="I354" s="13">
        <f>' car_sales_data 1'!$G354*0.2</f>
        <v>9117.8</v>
      </c>
      <c r="J354" s="13" t="str">
        <f>TEXT(' car_sales_data 1'!$A354,"mmmm")</f>
        <v>July</v>
      </c>
      <c r="K354" s="13" t="str">
        <f>IF(' car_sales_data 1'!$G354&gt;40000,"Premium",
 IF(' car_sales_data 1'!$G354&gt;=20000,"Mid Range","Budget"))</f>
        <v>Premium</v>
      </c>
      <c r="L354" s="13">
        <f>YEAR(TODAY())-' car_sales_data 1'!$F354</f>
        <v>9</v>
      </c>
    </row>
    <row r="355" ht="15.75" customHeight="1">
      <c r="A355" s="16">
        <v>44964.0</v>
      </c>
      <c r="B355" s="13" t="s">
        <v>11</v>
      </c>
      <c r="C355" s="13" t="s">
        <v>753</v>
      </c>
      <c r="D355" s="13" t="s">
        <v>10</v>
      </c>
      <c r="E355" s="13" t="s">
        <v>62</v>
      </c>
      <c r="F355" s="13">
        <v>2015.0</v>
      </c>
      <c r="G355" s="13">
        <v>44779.0</v>
      </c>
      <c r="H355" s="13">
        <v>4777.79</v>
      </c>
      <c r="I355" s="13">
        <f>' car_sales_data 1'!$G355*0.2</f>
        <v>8955.8</v>
      </c>
      <c r="J355" s="13" t="str">
        <f>TEXT(' car_sales_data 1'!$A355,"mmmm")</f>
        <v>February</v>
      </c>
      <c r="K355" s="13" t="str">
        <f>IF(' car_sales_data 1'!$G355&gt;40000,"Premium",
 IF(' car_sales_data 1'!$G355&gt;=20000,"Mid Range","Budget"))</f>
        <v>Premium</v>
      </c>
      <c r="L355" s="13">
        <f>YEAR(TODAY())-' car_sales_data 1'!$F355</f>
        <v>10</v>
      </c>
    </row>
    <row r="356" ht="15.75" customHeight="1">
      <c r="A356" s="16">
        <v>44963.0</v>
      </c>
      <c r="B356" s="13" t="s">
        <v>754</v>
      </c>
      <c r="C356" s="13" t="s">
        <v>755</v>
      </c>
      <c r="D356" s="13" t="s">
        <v>6</v>
      </c>
      <c r="E356" s="13" t="s">
        <v>51</v>
      </c>
      <c r="F356" s="13">
        <v>2019.0</v>
      </c>
      <c r="G356" s="13">
        <v>41842.0</v>
      </c>
      <c r="H356" s="13">
        <v>6127.92</v>
      </c>
      <c r="I356" s="13">
        <f>' car_sales_data 1'!$G356*0.2</f>
        <v>8368.4</v>
      </c>
      <c r="J356" s="13" t="str">
        <f>TEXT(' car_sales_data 1'!$A356,"mmmm")</f>
        <v>February</v>
      </c>
      <c r="K356" s="13" t="str">
        <f>IF(' car_sales_data 1'!$G356&gt;40000,"Premium",
 IF(' car_sales_data 1'!$G356&gt;=20000,"Mid Range","Budget"))</f>
        <v>Premium</v>
      </c>
      <c r="L356" s="13">
        <f>YEAR(TODAY())-' car_sales_data 1'!$F356</f>
        <v>6</v>
      </c>
    </row>
    <row r="357" ht="15.75" customHeight="1">
      <c r="A357" s="16">
        <v>44781.0</v>
      </c>
      <c r="B357" s="13" t="s">
        <v>756</v>
      </c>
      <c r="C357" s="13" t="s">
        <v>757</v>
      </c>
      <c r="D357" s="13" t="s">
        <v>14</v>
      </c>
      <c r="E357" s="13" t="s">
        <v>70</v>
      </c>
      <c r="F357" s="13">
        <v>2020.0</v>
      </c>
      <c r="G357" s="13">
        <v>36840.0</v>
      </c>
      <c r="H357" s="13">
        <v>5069.86</v>
      </c>
      <c r="I357" s="13">
        <f>' car_sales_data 1'!$G357*0.2</f>
        <v>7368</v>
      </c>
      <c r="J357" s="13" t="str">
        <f>TEXT(' car_sales_data 1'!$A357,"mmmm")</f>
        <v>August</v>
      </c>
      <c r="K357" s="13" t="str">
        <f>IF(' car_sales_data 1'!$G357&gt;40000,"Premium",
 IF(' car_sales_data 1'!$G357&gt;=20000,"Mid Range","Budget"))</f>
        <v>Mid Range</v>
      </c>
      <c r="L357" s="13">
        <f>YEAR(TODAY())-' car_sales_data 1'!$F357</f>
        <v>5</v>
      </c>
    </row>
    <row r="358" ht="15.75" customHeight="1">
      <c r="A358" s="16">
        <v>44951.0</v>
      </c>
      <c r="B358" s="13" t="s">
        <v>758</v>
      </c>
      <c r="C358" s="13" t="s">
        <v>759</v>
      </c>
      <c r="D358" s="13" t="s">
        <v>8</v>
      </c>
      <c r="E358" s="13" t="s">
        <v>54</v>
      </c>
      <c r="F358" s="13">
        <v>2015.0</v>
      </c>
      <c r="G358" s="13">
        <v>17171.0</v>
      </c>
      <c r="H358" s="13">
        <v>2447.67</v>
      </c>
      <c r="I358" s="13">
        <f>' car_sales_data 1'!$G358*0.2</f>
        <v>3434.2</v>
      </c>
      <c r="J358" s="13" t="str">
        <f>TEXT(' car_sales_data 1'!$A358,"mmmm")</f>
        <v>January</v>
      </c>
      <c r="K358" s="13" t="str">
        <f>IF(' car_sales_data 1'!$G358&gt;40000,"Premium",
 IF(' car_sales_data 1'!$G358&gt;=20000,"Mid Range","Budget"))</f>
        <v>Budget</v>
      </c>
      <c r="L358" s="13">
        <f>YEAR(TODAY())-' car_sales_data 1'!$F358</f>
        <v>10</v>
      </c>
    </row>
    <row r="359" ht="15.75" customHeight="1">
      <c r="A359" s="16">
        <v>44957.0</v>
      </c>
      <c r="B359" s="13" t="s">
        <v>760</v>
      </c>
      <c r="C359" s="13" t="s">
        <v>761</v>
      </c>
      <c r="D359" s="13" t="s">
        <v>12</v>
      </c>
      <c r="E359" s="13" t="s">
        <v>51</v>
      </c>
      <c r="F359" s="13">
        <v>2017.0</v>
      </c>
      <c r="G359" s="13">
        <v>31156.0</v>
      </c>
      <c r="H359" s="13">
        <v>3190.18</v>
      </c>
      <c r="I359" s="13">
        <f>' car_sales_data 1'!$G359*0.2</f>
        <v>6231.2</v>
      </c>
      <c r="J359" s="13" t="str">
        <f>TEXT(' car_sales_data 1'!$A359,"mmmm")</f>
        <v>January</v>
      </c>
      <c r="K359" s="13" t="str">
        <f>IF(' car_sales_data 1'!$G359&gt;40000,"Premium",
 IF(' car_sales_data 1'!$G359&gt;=20000,"Mid Range","Budget"))</f>
        <v>Mid Range</v>
      </c>
      <c r="L359" s="13">
        <f>YEAR(TODAY())-' car_sales_data 1'!$F359</f>
        <v>8</v>
      </c>
    </row>
    <row r="360" ht="15.75" customHeight="1">
      <c r="A360" s="16">
        <v>45039.0</v>
      </c>
      <c r="B360" s="13" t="s">
        <v>762</v>
      </c>
      <c r="C360" s="13" t="s">
        <v>763</v>
      </c>
      <c r="D360" s="13" t="s">
        <v>14</v>
      </c>
      <c r="E360" s="13" t="s">
        <v>51</v>
      </c>
      <c r="F360" s="13">
        <v>2017.0</v>
      </c>
      <c r="G360" s="13">
        <v>29442.0</v>
      </c>
      <c r="H360" s="13">
        <v>4413.07</v>
      </c>
      <c r="I360" s="13">
        <f>' car_sales_data 1'!$G360*0.2</f>
        <v>5888.4</v>
      </c>
      <c r="J360" s="13" t="str">
        <f>TEXT(' car_sales_data 1'!$A360,"mmmm")</f>
        <v>April</v>
      </c>
      <c r="K360" s="13" t="str">
        <f>IF(' car_sales_data 1'!$G360&gt;40000,"Premium",
 IF(' car_sales_data 1'!$G360&gt;=20000,"Mid Range","Budget"))</f>
        <v>Mid Range</v>
      </c>
      <c r="L360" s="13">
        <f>YEAR(TODAY())-' car_sales_data 1'!$F360</f>
        <v>8</v>
      </c>
    </row>
    <row r="361" ht="15.75" customHeight="1">
      <c r="A361" s="16">
        <v>44823.0</v>
      </c>
      <c r="B361" s="13" t="s">
        <v>764</v>
      </c>
      <c r="C361" s="13" t="s">
        <v>765</v>
      </c>
      <c r="D361" s="13" t="s">
        <v>12</v>
      </c>
      <c r="E361" s="13" t="s">
        <v>70</v>
      </c>
      <c r="F361" s="13">
        <v>2021.0</v>
      </c>
      <c r="G361" s="13">
        <v>30422.0</v>
      </c>
      <c r="H361" s="13">
        <v>2800.29</v>
      </c>
      <c r="I361" s="13">
        <f>' car_sales_data 1'!$G361*0.2</f>
        <v>6084.4</v>
      </c>
      <c r="J361" s="13" t="str">
        <f>TEXT(' car_sales_data 1'!$A361,"mmmm")</f>
        <v>September</v>
      </c>
      <c r="K361" s="13" t="str">
        <f>IF(' car_sales_data 1'!$G361&gt;40000,"Premium",
 IF(' car_sales_data 1'!$G361&gt;=20000,"Mid Range","Budget"))</f>
        <v>Mid Range</v>
      </c>
      <c r="L361" s="13">
        <f>YEAR(TODAY())-' car_sales_data 1'!$F361</f>
        <v>4</v>
      </c>
    </row>
    <row r="362" ht="15.75" customHeight="1">
      <c r="A362" s="16">
        <v>44832.0</v>
      </c>
      <c r="B362" s="13" t="s">
        <v>766</v>
      </c>
      <c r="C362" s="13" t="s">
        <v>767</v>
      </c>
      <c r="D362" s="13" t="s">
        <v>6</v>
      </c>
      <c r="E362" s="13" t="s">
        <v>57</v>
      </c>
      <c r="F362" s="13">
        <v>2017.0</v>
      </c>
      <c r="G362" s="13">
        <v>24838.0</v>
      </c>
      <c r="H362" s="13">
        <v>2487.86</v>
      </c>
      <c r="I362" s="13">
        <f>' car_sales_data 1'!$G362*0.2</f>
        <v>4967.6</v>
      </c>
      <c r="J362" s="13" t="str">
        <f>TEXT(' car_sales_data 1'!$A362,"mmmm")</f>
        <v>September</v>
      </c>
      <c r="K362" s="13" t="str">
        <f>IF(' car_sales_data 1'!$G362&gt;40000,"Premium",
 IF(' car_sales_data 1'!$G362&gt;=20000,"Mid Range","Budget"))</f>
        <v>Mid Range</v>
      </c>
      <c r="L362" s="13">
        <f>YEAR(TODAY())-' car_sales_data 1'!$F362</f>
        <v>8</v>
      </c>
    </row>
    <row r="363" ht="15.75" customHeight="1">
      <c r="A363" s="16">
        <v>45031.0</v>
      </c>
      <c r="B363" s="13" t="s">
        <v>768</v>
      </c>
      <c r="C363" s="13" t="s">
        <v>769</v>
      </c>
      <c r="D363" s="13" t="s">
        <v>8</v>
      </c>
      <c r="E363" s="13" t="s">
        <v>51</v>
      </c>
      <c r="F363" s="13">
        <v>2010.0</v>
      </c>
      <c r="G363" s="13">
        <v>31507.0</v>
      </c>
      <c r="H363" s="13">
        <v>4469.84</v>
      </c>
      <c r="I363" s="13">
        <f>' car_sales_data 1'!$G363*0.2</f>
        <v>6301.4</v>
      </c>
      <c r="J363" s="13" t="str">
        <f>TEXT(' car_sales_data 1'!$A363,"mmmm")</f>
        <v>April</v>
      </c>
      <c r="K363" s="13" t="str">
        <f>IF(' car_sales_data 1'!$G363&gt;40000,"Premium",
 IF(' car_sales_data 1'!$G363&gt;=20000,"Mid Range","Budget"))</f>
        <v>Mid Range</v>
      </c>
      <c r="L363" s="13">
        <f>YEAR(TODAY())-' car_sales_data 1'!$F363</f>
        <v>15</v>
      </c>
    </row>
    <row r="364" ht="15.75" customHeight="1">
      <c r="A364" s="16">
        <v>44735.0</v>
      </c>
      <c r="B364" s="13" t="s">
        <v>770</v>
      </c>
      <c r="C364" s="13" t="s">
        <v>771</v>
      </c>
      <c r="D364" s="13" t="s">
        <v>6</v>
      </c>
      <c r="E364" s="13" t="s">
        <v>70</v>
      </c>
      <c r="F364" s="13">
        <v>2011.0</v>
      </c>
      <c r="G364" s="13">
        <v>45287.0</v>
      </c>
      <c r="H364" s="13">
        <v>3861.13</v>
      </c>
      <c r="I364" s="13">
        <f>' car_sales_data 1'!$G364*0.2</f>
        <v>9057.4</v>
      </c>
      <c r="J364" s="13" t="str">
        <f>TEXT(' car_sales_data 1'!$A364,"mmmm")</f>
        <v>June</v>
      </c>
      <c r="K364" s="13" t="str">
        <f>IF(' car_sales_data 1'!$G364&gt;40000,"Premium",
 IF(' car_sales_data 1'!$G364&gt;=20000,"Mid Range","Budget"))</f>
        <v>Premium</v>
      </c>
      <c r="L364" s="13">
        <f>YEAR(TODAY())-' car_sales_data 1'!$F364</f>
        <v>14</v>
      </c>
    </row>
    <row r="365" ht="15.75" customHeight="1">
      <c r="A365" s="16">
        <v>44967.0</v>
      </c>
      <c r="B365" s="13" t="s">
        <v>772</v>
      </c>
      <c r="C365" s="13" t="s">
        <v>773</v>
      </c>
      <c r="D365" s="13" t="s">
        <v>12</v>
      </c>
      <c r="E365" s="13" t="s">
        <v>62</v>
      </c>
      <c r="F365" s="13">
        <v>2019.0</v>
      </c>
      <c r="G365" s="13">
        <v>13085.0</v>
      </c>
      <c r="H365" s="13">
        <v>809.41</v>
      </c>
      <c r="I365" s="13">
        <f>' car_sales_data 1'!$G365*0.2</f>
        <v>2617</v>
      </c>
      <c r="J365" s="13" t="str">
        <f>TEXT(' car_sales_data 1'!$A365,"mmmm")</f>
        <v>February</v>
      </c>
      <c r="K365" s="13" t="str">
        <f>IF(' car_sales_data 1'!$G365&gt;40000,"Premium",
 IF(' car_sales_data 1'!$G365&gt;=20000,"Mid Range","Budget"))</f>
        <v>Budget</v>
      </c>
      <c r="L365" s="13">
        <f>YEAR(TODAY())-' car_sales_data 1'!$F365</f>
        <v>6</v>
      </c>
    </row>
    <row r="366" ht="15.75" customHeight="1">
      <c r="A366" s="16">
        <v>45030.0</v>
      </c>
      <c r="B366" s="13" t="s">
        <v>774</v>
      </c>
      <c r="C366" s="13" t="s">
        <v>775</v>
      </c>
      <c r="D366" s="13" t="s">
        <v>12</v>
      </c>
      <c r="E366" s="13" t="s">
        <v>51</v>
      </c>
      <c r="F366" s="13">
        <v>2011.0</v>
      </c>
      <c r="G366" s="13">
        <v>29936.0</v>
      </c>
      <c r="H366" s="13">
        <v>2214.9</v>
      </c>
      <c r="I366" s="13">
        <f>' car_sales_data 1'!$G366*0.2</f>
        <v>5987.2</v>
      </c>
      <c r="J366" s="13" t="str">
        <f>TEXT(' car_sales_data 1'!$A366,"mmmm")</f>
        <v>April</v>
      </c>
      <c r="K366" s="13" t="str">
        <f>IF(' car_sales_data 1'!$G366&gt;40000,"Premium",
 IF(' car_sales_data 1'!$G366&gt;=20000,"Mid Range","Budget"))</f>
        <v>Mid Range</v>
      </c>
      <c r="L366" s="13">
        <f>YEAR(TODAY())-' car_sales_data 1'!$F366</f>
        <v>14</v>
      </c>
    </row>
    <row r="367" ht="15.75" customHeight="1">
      <c r="A367" s="16">
        <v>44759.0</v>
      </c>
      <c r="B367" s="13" t="s">
        <v>776</v>
      </c>
      <c r="C367" s="13" t="s">
        <v>777</v>
      </c>
      <c r="D367" s="13" t="s">
        <v>8</v>
      </c>
      <c r="E367" s="13" t="s">
        <v>57</v>
      </c>
      <c r="F367" s="13">
        <v>2013.0</v>
      </c>
      <c r="G367" s="13">
        <v>31900.0</v>
      </c>
      <c r="H367" s="13">
        <v>2429.11</v>
      </c>
      <c r="I367" s="13">
        <f>' car_sales_data 1'!$G367*0.2</f>
        <v>6380</v>
      </c>
      <c r="J367" s="13" t="str">
        <f>TEXT(' car_sales_data 1'!$A367,"mmmm")</f>
        <v>July</v>
      </c>
      <c r="K367" s="13" t="str">
        <f>IF(' car_sales_data 1'!$G367&gt;40000,"Premium",
 IF(' car_sales_data 1'!$G367&gt;=20000,"Mid Range","Budget"))</f>
        <v>Mid Range</v>
      </c>
      <c r="L367" s="13">
        <f>YEAR(TODAY())-' car_sales_data 1'!$F367</f>
        <v>12</v>
      </c>
    </row>
    <row r="368" ht="15.75" customHeight="1">
      <c r="A368" s="16">
        <v>44723.0</v>
      </c>
      <c r="B368" s="13" t="s">
        <v>778</v>
      </c>
      <c r="C368" s="13" t="s">
        <v>779</v>
      </c>
      <c r="D368" s="13" t="s">
        <v>10</v>
      </c>
      <c r="E368" s="13" t="s">
        <v>57</v>
      </c>
      <c r="F368" s="13">
        <v>2011.0</v>
      </c>
      <c r="G368" s="13">
        <v>31050.0</v>
      </c>
      <c r="H368" s="13">
        <v>2637.55</v>
      </c>
      <c r="I368" s="13">
        <f>' car_sales_data 1'!$G368*0.2</f>
        <v>6210</v>
      </c>
      <c r="J368" s="13" t="str">
        <f>TEXT(' car_sales_data 1'!$A368,"mmmm")</f>
        <v>June</v>
      </c>
      <c r="K368" s="13" t="str">
        <f>IF(' car_sales_data 1'!$G368&gt;40000,"Premium",
 IF(' car_sales_data 1'!$G368&gt;=20000,"Mid Range","Budget"))</f>
        <v>Mid Range</v>
      </c>
      <c r="L368" s="13">
        <f>YEAR(TODAY())-' car_sales_data 1'!$F368</f>
        <v>14</v>
      </c>
    </row>
    <row r="369" ht="15.75" customHeight="1">
      <c r="A369" s="16">
        <v>44811.0</v>
      </c>
      <c r="B369" s="13" t="s">
        <v>780</v>
      </c>
      <c r="C369" s="13" t="s">
        <v>781</v>
      </c>
      <c r="D369" s="13" t="s">
        <v>8</v>
      </c>
      <c r="E369" s="13" t="s">
        <v>54</v>
      </c>
      <c r="F369" s="13">
        <v>2017.0</v>
      </c>
      <c r="G369" s="13">
        <v>40988.0</v>
      </c>
      <c r="H369" s="13">
        <v>3248.16</v>
      </c>
      <c r="I369" s="13">
        <f>' car_sales_data 1'!$G369*0.2</f>
        <v>8197.6</v>
      </c>
      <c r="J369" s="13" t="str">
        <f>TEXT(' car_sales_data 1'!$A369,"mmmm")</f>
        <v>September</v>
      </c>
      <c r="K369" s="13" t="str">
        <f>IF(' car_sales_data 1'!$G369&gt;40000,"Premium",
 IF(' car_sales_data 1'!$G369&gt;=20000,"Mid Range","Budget"))</f>
        <v>Premium</v>
      </c>
      <c r="L369" s="13">
        <f>YEAR(TODAY())-' car_sales_data 1'!$F369</f>
        <v>8</v>
      </c>
    </row>
    <row r="370" ht="15.75" customHeight="1">
      <c r="A370" s="16">
        <v>44968.0</v>
      </c>
      <c r="B370" s="13" t="s">
        <v>782</v>
      </c>
      <c r="C370" s="13" t="s">
        <v>783</v>
      </c>
      <c r="D370" s="13" t="s">
        <v>10</v>
      </c>
      <c r="E370" s="13" t="s">
        <v>51</v>
      </c>
      <c r="F370" s="13">
        <v>2012.0</v>
      </c>
      <c r="G370" s="13">
        <v>19530.0</v>
      </c>
      <c r="H370" s="13">
        <v>2122.32</v>
      </c>
      <c r="I370" s="13">
        <f>' car_sales_data 1'!$G370*0.2</f>
        <v>3906</v>
      </c>
      <c r="J370" s="13" t="str">
        <f>TEXT(' car_sales_data 1'!$A370,"mmmm")</f>
        <v>February</v>
      </c>
      <c r="K370" s="13" t="str">
        <f>IF(' car_sales_data 1'!$G370&gt;40000,"Premium",
 IF(' car_sales_data 1'!$G370&gt;=20000,"Mid Range","Budget"))</f>
        <v>Budget</v>
      </c>
      <c r="L370" s="13">
        <f>YEAR(TODAY())-' car_sales_data 1'!$F370</f>
        <v>13</v>
      </c>
    </row>
    <row r="371" ht="15.75" customHeight="1">
      <c r="A371" s="16">
        <v>44686.0</v>
      </c>
      <c r="B371" s="13" t="s">
        <v>784</v>
      </c>
      <c r="C371" s="13" t="s">
        <v>785</v>
      </c>
      <c r="D371" s="13" t="s">
        <v>6</v>
      </c>
      <c r="E371" s="13" t="s">
        <v>51</v>
      </c>
      <c r="F371" s="13">
        <v>2010.0</v>
      </c>
      <c r="G371" s="13">
        <v>24606.0</v>
      </c>
      <c r="H371" s="13">
        <v>2264.17</v>
      </c>
      <c r="I371" s="13">
        <f>' car_sales_data 1'!$G371*0.2</f>
        <v>4921.2</v>
      </c>
      <c r="J371" s="13" t="str">
        <f>TEXT(' car_sales_data 1'!$A371,"mmmm")</f>
        <v>May</v>
      </c>
      <c r="K371" s="13" t="str">
        <f>IF(' car_sales_data 1'!$G371&gt;40000,"Premium",
 IF(' car_sales_data 1'!$G371&gt;=20000,"Mid Range","Budget"))</f>
        <v>Mid Range</v>
      </c>
      <c r="L371" s="13">
        <f>YEAR(TODAY())-' car_sales_data 1'!$F371</f>
        <v>15</v>
      </c>
    </row>
    <row r="372" ht="15.75" customHeight="1">
      <c r="A372" s="16">
        <v>44760.0</v>
      </c>
      <c r="B372" s="13" t="s">
        <v>786</v>
      </c>
      <c r="C372" s="13" t="s">
        <v>787</v>
      </c>
      <c r="D372" s="13" t="s">
        <v>6</v>
      </c>
      <c r="E372" s="13" t="s">
        <v>70</v>
      </c>
      <c r="F372" s="13">
        <v>2011.0</v>
      </c>
      <c r="G372" s="13">
        <v>46494.0</v>
      </c>
      <c r="H372" s="13">
        <v>2370.11</v>
      </c>
      <c r="I372" s="13">
        <f>' car_sales_data 1'!$G372*0.2</f>
        <v>9298.8</v>
      </c>
      <c r="J372" s="13" t="str">
        <f>TEXT(' car_sales_data 1'!$A372,"mmmm")</f>
        <v>July</v>
      </c>
      <c r="K372" s="13" t="str">
        <f>IF(' car_sales_data 1'!$G372&gt;40000,"Premium",
 IF(' car_sales_data 1'!$G372&gt;=20000,"Mid Range","Budget"))</f>
        <v>Premium</v>
      </c>
      <c r="L372" s="13">
        <f>YEAR(TODAY())-' car_sales_data 1'!$F372</f>
        <v>14</v>
      </c>
    </row>
    <row r="373" ht="15.75" customHeight="1">
      <c r="A373" s="16">
        <v>44971.0</v>
      </c>
      <c r="B373" s="13" t="s">
        <v>11</v>
      </c>
      <c r="C373" s="13" t="s">
        <v>788</v>
      </c>
      <c r="D373" s="13" t="s">
        <v>14</v>
      </c>
      <c r="E373" s="13" t="s">
        <v>54</v>
      </c>
      <c r="F373" s="13">
        <v>2022.0</v>
      </c>
      <c r="G373" s="13">
        <v>13756.0</v>
      </c>
      <c r="H373" s="13">
        <v>1907.56</v>
      </c>
      <c r="I373" s="13">
        <f>' car_sales_data 1'!$G373*0.2</f>
        <v>2751.2</v>
      </c>
      <c r="J373" s="13" t="str">
        <f>TEXT(' car_sales_data 1'!$A373,"mmmm")</f>
        <v>February</v>
      </c>
      <c r="K373" s="13" t="str">
        <f>IF(' car_sales_data 1'!$G373&gt;40000,"Premium",
 IF(' car_sales_data 1'!$G373&gt;=20000,"Mid Range","Budget"))</f>
        <v>Budget</v>
      </c>
      <c r="L373" s="13">
        <f>YEAR(TODAY())-' car_sales_data 1'!$F373</f>
        <v>3</v>
      </c>
    </row>
    <row r="374" ht="15.75" customHeight="1">
      <c r="A374" s="16">
        <v>44881.0</v>
      </c>
      <c r="B374" s="13" t="s">
        <v>789</v>
      </c>
      <c r="C374" s="13" t="s">
        <v>790</v>
      </c>
      <c r="D374" s="13" t="s">
        <v>14</v>
      </c>
      <c r="E374" s="13" t="s">
        <v>54</v>
      </c>
      <c r="F374" s="13">
        <v>2014.0</v>
      </c>
      <c r="G374" s="13">
        <v>44308.0</v>
      </c>
      <c r="H374" s="13">
        <v>3412.44</v>
      </c>
      <c r="I374" s="13">
        <f>' car_sales_data 1'!$G374*0.2</f>
        <v>8861.6</v>
      </c>
      <c r="J374" s="13" t="str">
        <f>TEXT(' car_sales_data 1'!$A374,"mmmm")</f>
        <v>November</v>
      </c>
      <c r="K374" s="13" t="str">
        <f>IF(' car_sales_data 1'!$G374&gt;40000,"Premium",
 IF(' car_sales_data 1'!$G374&gt;=20000,"Mid Range","Budget"))</f>
        <v>Premium</v>
      </c>
      <c r="L374" s="13">
        <f>YEAR(TODAY())-' car_sales_data 1'!$F374</f>
        <v>11</v>
      </c>
    </row>
    <row r="375" ht="15.75" customHeight="1">
      <c r="A375" s="16">
        <v>44712.0</v>
      </c>
      <c r="B375" s="13" t="s">
        <v>791</v>
      </c>
      <c r="C375" s="13" t="s">
        <v>792</v>
      </c>
      <c r="D375" s="13" t="s">
        <v>6</v>
      </c>
      <c r="E375" s="13" t="s">
        <v>54</v>
      </c>
      <c r="F375" s="13">
        <v>2012.0</v>
      </c>
      <c r="G375" s="13">
        <v>34172.0</v>
      </c>
      <c r="H375" s="13">
        <v>4568.02</v>
      </c>
      <c r="I375" s="13">
        <f>' car_sales_data 1'!$G375*0.2</f>
        <v>6834.4</v>
      </c>
      <c r="J375" s="13" t="str">
        <f>TEXT(' car_sales_data 1'!$A375,"mmmm")</f>
        <v>May</v>
      </c>
      <c r="K375" s="13" t="str">
        <f>IF(' car_sales_data 1'!$G375&gt;40000,"Premium",
 IF(' car_sales_data 1'!$G375&gt;=20000,"Mid Range","Budget"))</f>
        <v>Mid Range</v>
      </c>
      <c r="L375" s="13">
        <f>YEAR(TODAY())-' car_sales_data 1'!$F375</f>
        <v>13</v>
      </c>
    </row>
    <row r="376" ht="15.75" customHeight="1">
      <c r="A376" s="16">
        <v>44799.0</v>
      </c>
      <c r="B376" s="13" t="s">
        <v>793</v>
      </c>
      <c r="C376" s="13" t="s">
        <v>794</v>
      </c>
      <c r="D376" s="13" t="s">
        <v>10</v>
      </c>
      <c r="E376" s="13" t="s">
        <v>70</v>
      </c>
      <c r="F376" s="13">
        <v>2015.0</v>
      </c>
      <c r="G376" s="13">
        <v>26438.0</v>
      </c>
      <c r="H376" s="13">
        <v>3890.13</v>
      </c>
      <c r="I376" s="13">
        <f>' car_sales_data 1'!$G376*0.2</f>
        <v>5287.6</v>
      </c>
      <c r="J376" s="13" t="str">
        <f>TEXT(' car_sales_data 1'!$A376,"mmmm")</f>
        <v>August</v>
      </c>
      <c r="K376" s="13" t="str">
        <f>IF(' car_sales_data 1'!$G376&gt;40000,"Premium",
 IF(' car_sales_data 1'!$G376&gt;=20000,"Mid Range","Budget"))</f>
        <v>Mid Range</v>
      </c>
      <c r="L376" s="13">
        <f>YEAR(TODAY())-' car_sales_data 1'!$F376</f>
        <v>10</v>
      </c>
    </row>
    <row r="377" ht="15.75" customHeight="1">
      <c r="A377" s="16">
        <v>44790.0</v>
      </c>
      <c r="B377" s="13" t="s">
        <v>795</v>
      </c>
      <c r="C377" s="13" t="s">
        <v>796</v>
      </c>
      <c r="D377" s="13" t="s">
        <v>12</v>
      </c>
      <c r="E377" s="13" t="s">
        <v>51</v>
      </c>
      <c r="F377" s="13">
        <v>2020.0</v>
      </c>
      <c r="G377" s="13">
        <v>17715.0</v>
      </c>
      <c r="H377" s="13">
        <v>2026.15</v>
      </c>
      <c r="I377" s="13">
        <f>' car_sales_data 1'!$G377*0.2</f>
        <v>3543</v>
      </c>
      <c r="J377" s="13" t="str">
        <f>TEXT(' car_sales_data 1'!$A377,"mmmm")</f>
        <v>August</v>
      </c>
      <c r="K377" s="13" t="str">
        <f>IF(' car_sales_data 1'!$G377&gt;40000,"Premium",
 IF(' car_sales_data 1'!$G377&gt;=20000,"Mid Range","Budget"))</f>
        <v>Budget</v>
      </c>
      <c r="L377" s="13">
        <f>YEAR(TODAY())-' car_sales_data 1'!$F377</f>
        <v>5</v>
      </c>
    </row>
    <row r="378" ht="15.75" customHeight="1">
      <c r="A378" s="16">
        <v>44948.0</v>
      </c>
      <c r="B378" s="13" t="s">
        <v>797</v>
      </c>
      <c r="C378" s="13" t="s">
        <v>798</v>
      </c>
      <c r="D378" s="13" t="s">
        <v>10</v>
      </c>
      <c r="E378" s="13" t="s">
        <v>51</v>
      </c>
      <c r="F378" s="13">
        <v>2022.0</v>
      </c>
      <c r="G378" s="13">
        <v>44752.0</v>
      </c>
      <c r="H378" s="13">
        <v>3615.65</v>
      </c>
      <c r="I378" s="13">
        <f>' car_sales_data 1'!$G378*0.2</f>
        <v>8950.4</v>
      </c>
      <c r="J378" s="13" t="str">
        <f>TEXT(' car_sales_data 1'!$A378,"mmmm")</f>
        <v>January</v>
      </c>
      <c r="K378" s="13" t="str">
        <f>IF(' car_sales_data 1'!$G378&gt;40000,"Premium",
 IF(' car_sales_data 1'!$G378&gt;=20000,"Mid Range","Budget"))</f>
        <v>Premium</v>
      </c>
      <c r="L378" s="13">
        <f>YEAR(TODAY())-' car_sales_data 1'!$F378</f>
        <v>3</v>
      </c>
    </row>
    <row r="379" ht="15.75" customHeight="1">
      <c r="A379" s="16">
        <v>44807.0</v>
      </c>
      <c r="B379" s="13" t="s">
        <v>799</v>
      </c>
      <c r="C379" s="13" t="s">
        <v>800</v>
      </c>
      <c r="D379" s="13" t="s">
        <v>12</v>
      </c>
      <c r="E379" s="13" t="s">
        <v>62</v>
      </c>
      <c r="F379" s="13">
        <v>2020.0</v>
      </c>
      <c r="G379" s="13">
        <v>13705.0</v>
      </c>
      <c r="H379" s="13">
        <v>854.2</v>
      </c>
      <c r="I379" s="13">
        <f>' car_sales_data 1'!$G379*0.2</f>
        <v>2741</v>
      </c>
      <c r="J379" s="13" t="str">
        <f>TEXT(' car_sales_data 1'!$A379,"mmmm")</f>
        <v>September</v>
      </c>
      <c r="K379" s="13" t="str">
        <f>IF(' car_sales_data 1'!$G379&gt;40000,"Premium",
 IF(' car_sales_data 1'!$G379&gt;=20000,"Mid Range","Budget"))</f>
        <v>Budget</v>
      </c>
      <c r="L379" s="13">
        <f>YEAR(TODAY())-' car_sales_data 1'!$F379</f>
        <v>5</v>
      </c>
    </row>
    <row r="380" ht="15.75" customHeight="1">
      <c r="A380" s="16">
        <v>45003.0</v>
      </c>
      <c r="B380" s="13" t="s">
        <v>801</v>
      </c>
      <c r="C380" s="13" t="s">
        <v>802</v>
      </c>
      <c r="D380" s="13" t="s">
        <v>6</v>
      </c>
      <c r="E380" s="13" t="s">
        <v>54</v>
      </c>
      <c r="F380" s="13">
        <v>2012.0</v>
      </c>
      <c r="G380" s="13">
        <v>13204.0</v>
      </c>
      <c r="H380" s="13">
        <v>1745.41</v>
      </c>
      <c r="I380" s="13">
        <f>' car_sales_data 1'!$G380*0.2</f>
        <v>2640.8</v>
      </c>
      <c r="J380" s="13" t="str">
        <f>TEXT(' car_sales_data 1'!$A380,"mmmm")</f>
        <v>March</v>
      </c>
      <c r="K380" s="13" t="str">
        <f>IF(' car_sales_data 1'!$G380&gt;40000,"Premium",
 IF(' car_sales_data 1'!$G380&gt;=20000,"Mid Range","Budget"))</f>
        <v>Budget</v>
      </c>
      <c r="L380" s="13">
        <f>YEAR(TODAY())-' car_sales_data 1'!$F380</f>
        <v>13</v>
      </c>
    </row>
    <row r="381" ht="15.75" customHeight="1">
      <c r="A381" s="16">
        <v>44780.0</v>
      </c>
      <c r="B381" s="13" t="s">
        <v>803</v>
      </c>
      <c r="C381" s="13" t="s">
        <v>804</v>
      </c>
      <c r="D381" s="13" t="s">
        <v>8</v>
      </c>
      <c r="E381" s="13" t="s">
        <v>70</v>
      </c>
      <c r="F381" s="13">
        <v>2012.0</v>
      </c>
      <c r="G381" s="13">
        <v>23332.0</v>
      </c>
      <c r="H381" s="13">
        <v>2137.21</v>
      </c>
      <c r="I381" s="13">
        <f>' car_sales_data 1'!$G381*0.2</f>
        <v>4666.4</v>
      </c>
      <c r="J381" s="13" t="str">
        <f>TEXT(' car_sales_data 1'!$A381,"mmmm")</f>
        <v>August</v>
      </c>
      <c r="K381" s="13" t="str">
        <f>IF(' car_sales_data 1'!$G381&gt;40000,"Premium",
 IF(' car_sales_data 1'!$G381&gt;=20000,"Mid Range","Budget"))</f>
        <v>Mid Range</v>
      </c>
      <c r="L381" s="13">
        <f>YEAR(TODAY())-' car_sales_data 1'!$F381</f>
        <v>13</v>
      </c>
    </row>
    <row r="382" ht="15.75" customHeight="1">
      <c r="A382" s="16">
        <v>45043.0</v>
      </c>
      <c r="B382" s="13" t="s">
        <v>805</v>
      </c>
      <c r="C382" s="13" t="s">
        <v>806</v>
      </c>
      <c r="D382" s="13" t="s">
        <v>8</v>
      </c>
      <c r="E382" s="13" t="s">
        <v>57</v>
      </c>
      <c r="F382" s="13">
        <v>2016.0</v>
      </c>
      <c r="G382" s="13">
        <v>33607.0</v>
      </c>
      <c r="H382" s="13">
        <v>4407.34</v>
      </c>
      <c r="I382" s="13">
        <f>' car_sales_data 1'!$G382*0.2</f>
        <v>6721.4</v>
      </c>
      <c r="J382" s="13" t="str">
        <f>TEXT(' car_sales_data 1'!$A382,"mmmm")</f>
        <v>April</v>
      </c>
      <c r="K382" s="13" t="str">
        <f>IF(' car_sales_data 1'!$G382&gt;40000,"Premium",
 IF(' car_sales_data 1'!$G382&gt;=20000,"Mid Range","Budget"))</f>
        <v>Mid Range</v>
      </c>
      <c r="L382" s="13">
        <f>YEAR(TODAY())-' car_sales_data 1'!$F382</f>
        <v>9</v>
      </c>
    </row>
    <row r="383" ht="15.75" customHeight="1">
      <c r="A383" s="16">
        <v>44995.0</v>
      </c>
      <c r="B383" s="13" t="s">
        <v>807</v>
      </c>
      <c r="C383" s="13" t="s">
        <v>808</v>
      </c>
      <c r="D383" s="13" t="s">
        <v>10</v>
      </c>
      <c r="E383" s="13" t="s">
        <v>54</v>
      </c>
      <c r="F383" s="13">
        <v>2022.0</v>
      </c>
      <c r="G383" s="13">
        <v>20819.0</v>
      </c>
      <c r="H383" s="13">
        <v>2068.67</v>
      </c>
      <c r="I383" s="13">
        <f>' car_sales_data 1'!$G383*0.2</f>
        <v>4163.8</v>
      </c>
      <c r="J383" s="13" t="str">
        <f>TEXT(' car_sales_data 1'!$A383,"mmmm")</f>
        <v>March</v>
      </c>
      <c r="K383" s="13" t="str">
        <f>IF(' car_sales_data 1'!$G383&gt;40000,"Premium",
 IF(' car_sales_data 1'!$G383&gt;=20000,"Mid Range","Budget"))</f>
        <v>Mid Range</v>
      </c>
      <c r="L383" s="13">
        <f>YEAR(TODAY())-' car_sales_data 1'!$F383</f>
        <v>3</v>
      </c>
    </row>
    <row r="384" ht="15.75" customHeight="1">
      <c r="A384" s="16">
        <v>44842.0</v>
      </c>
      <c r="B384" s="13" t="s">
        <v>809</v>
      </c>
      <c r="C384" s="13" t="s">
        <v>810</v>
      </c>
      <c r="D384" s="13" t="s">
        <v>6</v>
      </c>
      <c r="E384" s="13" t="s">
        <v>51</v>
      </c>
      <c r="F384" s="13">
        <v>2020.0</v>
      </c>
      <c r="G384" s="13">
        <v>13726.0</v>
      </c>
      <c r="H384" s="13">
        <v>1004.76</v>
      </c>
      <c r="I384" s="13">
        <f>' car_sales_data 1'!$G384*0.2</f>
        <v>2745.2</v>
      </c>
      <c r="J384" s="13" t="str">
        <f>TEXT(' car_sales_data 1'!$A384,"mmmm")</f>
        <v>October</v>
      </c>
      <c r="K384" s="13" t="str">
        <f>IF(' car_sales_data 1'!$G384&gt;40000,"Premium",
 IF(' car_sales_data 1'!$G384&gt;=20000,"Mid Range","Budget"))</f>
        <v>Budget</v>
      </c>
      <c r="L384" s="13">
        <f>YEAR(TODAY())-' car_sales_data 1'!$F384</f>
        <v>5</v>
      </c>
    </row>
    <row r="385" ht="15.75" customHeight="1">
      <c r="A385" s="16">
        <v>44898.0</v>
      </c>
      <c r="B385" s="13" t="s">
        <v>811</v>
      </c>
      <c r="C385" s="13" t="s">
        <v>812</v>
      </c>
      <c r="D385" s="13" t="s">
        <v>6</v>
      </c>
      <c r="E385" s="13" t="s">
        <v>57</v>
      </c>
      <c r="F385" s="13">
        <v>2015.0</v>
      </c>
      <c r="G385" s="13">
        <v>24760.0</v>
      </c>
      <c r="H385" s="13">
        <v>2500.6</v>
      </c>
      <c r="I385" s="13">
        <f>' car_sales_data 1'!$G385*0.2</f>
        <v>4952</v>
      </c>
      <c r="J385" s="13" t="str">
        <f>TEXT(' car_sales_data 1'!$A385,"mmmm")</f>
        <v>December</v>
      </c>
      <c r="K385" s="13" t="str">
        <f>IF(' car_sales_data 1'!$G385&gt;40000,"Premium",
 IF(' car_sales_data 1'!$G385&gt;=20000,"Mid Range","Budget"))</f>
        <v>Mid Range</v>
      </c>
      <c r="L385" s="13">
        <f>YEAR(TODAY())-' car_sales_data 1'!$F385</f>
        <v>10</v>
      </c>
    </row>
    <row r="386" ht="15.75" customHeight="1">
      <c r="A386" s="16">
        <v>44833.0</v>
      </c>
      <c r="B386" s="13" t="s">
        <v>813</v>
      </c>
      <c r="C386" s="13" t="s">
        <v>814</v>
      </c>
      <c r="D386" s="13" t="s">
        <v>14</v>
      </c>
      <c r="E386" s="13" t="s">
        <v>51</v>
      </c>
      <c r="F386" s="13">
        <v>2010.0</v>
      </c>
      <c r="G386" s="13">
        <v>17443.0</v>
      </c>
      <c r="H386" s="13">
        <v>1943.78</v>
      </c>
      <c r="I386" s="13">
        <f>' car_sales_data 1'!$G386*0.2</f>
        <v>3488.6</v>
      </c>
      <c r="J386" s="13" t="str">
        <f>TEXT(' car_sales_data 1'!$A386,"mmmm")</f>
        <v>September</v>
      </c>
      <c r="K386" s="13" t="str">
        <f>IF(' car_sales_data 1'!$G386&gt;40000,"Premium",
 IF(' car_sales_data 1'!$G386&gt;=20000,"Mid Range","Budget"))</f>
        <v>Budget</v>
      </c>
      <c r="L386" s="13">
        <f>YEAR(TODAY())-' car_sales_data 1'!$F386</f>
        <v>15</v>
      </c>
    </row>
    <row r="387" ht="15.75" customHeight="1">
      <c r="A387" s="16">
        <v>44905.0</v>
      </c>
      <c r="B387" s="13" t="s">
        <v>815</v>
      </c>
      <c r="C387" s="13" t="s">
        <v>816</v>
      </c>
      <c r="D387" s="13" t="s">
        <v>8</v>
      </c>
      <c r="E387" s="13" t="s">
        <v>62</v>
      </c>
      <c r="F387" s="13">
        <v>2021.0</v>
      </c>
      <c r="G387" s="13">
        <v>11203.0</v>
      </c>
      <c r="H387" s="13">
        <v>962.84</v>
      </c>
      <c r="I387" s="13">
        <f>' car_sales_data 1'!$G387*0.2</f>
        <v>2240.6</v>
      </c>
      <c r="J387" s="13" t="str">
        <f>TEXT(' car_sales_data 1'!$A387,"mmmm")</f>
        <v>December</v>
      </c>
      <c r="K387" s="13" t="str">
        <f>IF(' car_sales_data 1'!$G387&gt;40000,"Premium",
 IF(' car_sales_data 1'!$G387&gt;=20000,"Mid Range","Budget"))</f>
        <v>Budget</v>
      </c>
      <c r="L387" s="13">
        <f>YEAR(TODAY())-' car_sales_data 1'!$F387</f>
        <v>4</v>
      </c>
    </row>
    <row r="388" ht="15.75" customHeight="1">
      <c r="A388" s="16">
        <v>44970.0</v>
      </c>
      <c r="B388" s="13" t="s">
        <v>817</v>
      </c>
      <c r="C388" s="13" t="s">
        <v>818</v>
      </c>
      <c r="D388" s="13" t="s">
        <v>8</v>
      </c>
      <c r="E388" s="13" t="s">
        <v>54</v>
      </c>
      <c r="F388" s="13">
        <v>2016.0</v>
      </c>
      <c r="G388" s="13">
        <v>15529.0</v>
      </c>
      <c r="H388" s="13">
        <v>2066.55</v>
      </c>
      <c r="I388" s="13">
        <f>' car_sales_data 1'!$G388*0.2</f>
        <v>3105.8</v>
      </c>
      <c r="J388" s="13" t="str">
        <f>TEXT(' car_sales_data 1'!$A388,"mmmm")</f>
        <v>February</v>
      </c>
      <c r="K388" s="13" t="str">
        <f>IF(' car_sales_data 1'!$G388&gt;40000,"Premium",
 IF(' car_sales_data 1'!$G388&gt;=20000,"Mid Range","Budget"))</f>
        <v>Budget</v>
      </c>
      <c r="L388" s="13">
        <f>YEAR(TODAY())-' car_sales_data 1'!$F388</f>
        <v>9</v>
      </c>
    </row>
    <row r="389" ht="15.75" customHeight="1">
      <c r="A389" s="16">
        <v>44852.0</v>
      </c>
      <c r="B389" s="13" t="s">
        <v>819</v>
      </c>
      <c r="C389" s="13" t="s">
        <v>820</v>
      </c>
      <c r="D389" s="13" t="s">
        <v>8</v>
      </c>
      <c r="E389" s="13" t="s">
        <v>57</v>
      </c>
      <c r="F389" s="13">
        <v>2010.0</v>
      </c>
      <c r="G389" s="13">
        <v>17532.0</v>
      </c>
      <c r="H389" s="13">
        <v>2213.1</v>
      </c>
      <c r="I389" s="13">
        <f>' car_sales_data 1'!$G389*0.2</f>
        <v>3506.4</v>
      </c>
      <c r="J389" s="13" t="str">
        <f>TEXT(' car_sales_data 1'!$A389,"mmmm")</f>
        <v>October</v>
      </c>
      <c r="K389" s="13" t="str">
        <f>IF(' car_sales_data 1'!$G389&gt;40000,"Premium",
 IF(' car_sales_data 1'!$G389&gt;=20000,"Mid Range","Budget"))</f>
        <v>Budget</v>
      </c>
      <c r="L389" s="13">
        <f>YEAR(TODAY())-' car_sales_data 1'!$F389</f>
        <v>15</v>
      </c>
    </row>
    <row r="390" ht="15.75" customHeight="1">
      <c r="A390" s="16">
        <v>44708.0</v>
      </c>
      <c r="B390" s="13" t="s">
        <v>821</v>
      </c>
      <c r="C390" s="13" t="s">
        <v>822</v>
      </c>
      <c r="D390" s="13" t="s">
        <v>12</v>
      </c>
      <c r="E390" s="13" t="s">
        <v>57</v>
      </c>
      <c r="F390" s="13">
        <v>2022.0</v>
      </c>
      <c r="G390" s="13">
        <v>24292.0</v>
      </c>
      <c r="H390" s="13">
        <v>3445.09</v>
      </c>
      <c r="I390" s="13">
        <f>' car_sales_data 1'!$G390*0.2</f>
        <v>4858.4</v>
      </c>
      <c r="J390" s="13" t="str">
        <f>TEXT(' car_sales_data 1'!$A390,"mmmm")</f>
        <v>May</v>
      </c>
      <c r="K390" s="13" t="str">
        <f>IF(' car_sales_data 1'!$G390&gt;40000,"Premium",
 IF(' car_sales_data 1'!$G390&gt;=20000,"Mid Range","Budget"))</f>
        <v>Mid Range</v>
      </c>
      <c r="L390" s="13">
        <f>YEAR(TODAY())-' car_sales_data 1'!$F390</f>
        <v>3</v>
      </c>
    </row>
    <row r="391" ht="15.75" customHeight="1">
      <c r="A391" s="16">
        <v>44878.0</v>
      </c>
      <c r="B391" s="13" t="s">
        <v>823</v>
      </c>
      <c r="C391" s="13" t="s">
        <v>824</v>
      </c>
      <c r="D391" s="13" t="s">
        <v>6</v>
      </c>
      <c r="E391" s="13" t="s">
        <v>57</v>
      </c>
      <c r="F391" s="13">
        <v>2010.0</v>
      </c>
      <c r="G391" s="13">
        <v>43050.0</v>
      </c>
      <c r="H391" s="13">
        <v>4950.16</v>
      </c>
      <c r="I391" s="13">
        <f>' car_sales_data 1'!$G391*0.2</f>
        <v>8610</v>
      </c>
      <c r="J391" s="13" t="str">
        <f>TEXT(' car_sales_data 1'!$A391,"mmmm")</f>
        <v>November</v>
      </c>
      <c r="K391" s="13" t="str">
        <f>IF(' car_sales_data 1'!$G391&gt;40000,"Premium",
 IF(' car_sales_data 1'!$G391&gt;=20000,"Mid Range","Budget"))</f>
        <v>Premium</v>
      </c>
      <c r="L391" s="13">
        <f>YEAR(TODAY())-' car_sales_data 1'!$F391</f>
        <v>15</v>
      </c>
    </row>
    <row r="392" ht="15.75" customHeight="1">
      <c r="A392" s="16">
        <v>44720.0</v>
      </c>
      <c r="B392" s="13" t="s">
        <v>825</v>
      </c>
      <c r="C392" s="13" t="s">
        <v>826</v>
      </c>
      <c r="D392" s="13" t="s">
        <v>12</v>
      </c>
      <c r="E392" s="13" t="s">
        <v>62</v>
      </c>
      <c r="F392" s="13">
        <v>2014.0</v>
      </c>
      <c r="G392" s="13">
        <v>18693.0</v>
      </c>
      <c r="H392" s="13">
        <v>1086.41</v>
      </c>
      <c r="I392" s="13">
        <f>' car_sales_data 1'!$G392*0.2</f>
        <v>3738.6</v>
      </c>
      <c r="J392" s="13" t="str">
        <f>TEXT(' car_sales_data 1'!$A392,"mmmm")</f>
        <v>June</v>
      </c>
      <c r="K392" s="13" t="str">
        <f>IF(' car_sales_data 1'!$G392&gt;40000,"Premium",
 IF(' car_sales_data 1'!$G392&gt;=20000,"Mid Range","Budget"))</f>
        <v>Budget</v>
      </c>
      <c r="L392" s="13">
        <f>YEAR(TODAY())-' car_sales_data 1'!$F392</f>
        <v>11</v>
      </c>
    </row>
    <row r="393" ht="15.75" customHeight="1">
      <c r="A393" s="16">
        <v>44817.0</v>
      </c>
      <c r="B393" s="13" t="s">
        <v>827</v>
      </c>
      <c r="C393" s="13" t="s">
        <v>828</v>
      </c>
      <c r="D393" s="13" t="s">
        <v>14</v>
      </c>
      <c r="E393" s="13" t="s">
        <v>57</v>
      </c>
      <c r="F393" s="13">
        <v>2020.0</v>
      </c>
      <c r="G393" s="13">
        <v>37788.0</v>
      </c>
      <c r="H393" s="13">
        <v>4207.54</v>
      </c>
      <c r="I393" s="13">
        <f>' car_sales_data 1'!$G393*0.2</f>
        <v>7557.6</v>
      </c>
      <c r="J393" s="13" t="str">
        <f>TEXT(' car_sales_data 1'!$A393,"mmmm")</f>
        <v>September</v>
      </c>
      <c r="K393" s="13" t="str">
        <f>IF(' car_sales_data 1'!$G393&gt;40000,"Premium",
 IF(' car_sales_data 1'!$G393&gt;=20000,"Mid Range","Budget"))</f>
        <v>Mid Range</v>
      </c>
      <c r="L393" s="13">
        <f>YEAR(TODAY())-' car_sales_data 1'!$F393</f>
        <v>5</v>
      </c>
    </row>
    <row r="394" ht="15.75" customHeight="1">
      <c r="A394" s="16">
        <v>45007.0</v>
      </c>
      <c r="B394" s="13" t="s">
        <v>829</v>
      </c>
      <c r="C394" s="13" t="s">
        <v>830</v>
      </c>
      <c r="D394" s="13" t="s">
        <v>10</v>
      </c>
      <c r="E394" s="13" t="s">
        <v>62</v>
      </c>
      <c r="F394" s="13">
        <v>2012.0</v>
      </c>
      <c r="G394" s="13">
        <v>49929.0</v>
      </c>
      <c r="H394" s="13">
        <v>4665.05</v>
      </c>
      <c r="I394" s="13">
        <f>' car_sales_data 1'!$G394*0.2</f>
        <v>9985.8</v>
      </c>
      <c r="J394" s="13" t="str">
        <f>TEXT(' car_sales_data 1'!$A394,"mmmm")</f>
        <v>March</v>
      </c>
      <c r="K394" s="13" t="str">
        <f>IF(' car_sales_data 1'!$G394&gt;40000,"Premium",
 IF(' car_sales_data 1'!$G394&gt;=20000,"Mid Range","Budget"))</f>
        <v>Premium</v>
      </c>
      <c r="L394" s="13">
        <f>YEAR(TODAY())-' car_sales_data 1'!$F394</f>
        <v>13</v>
      </c>
    </row>
    <row r="395" ht="15.75" customHeight="1">
      <c r="A395" s="16">
        <v>44767.0</v>
      </c>
      <c r="B395" s="13" t="s">
        <v>831</v>
      </c>
      <c r="C395" s="13" t="s">
        <v>832</v>
      </c>
      <c r="D395" s="13" t="s">
        <v>12</v>
      </c>
      <c r="E395" s="13" t="s">
        <v>70</v>
      </c>
      <c r="F395" s="13">
        <v>2017.0</v>
      </c>
      <c r="G395" s="13">
        <v>28026.0</v>
      </c>
      <c r="H395" s="13">
        <v>1500.46</v>
      </c>
      <c r="I395" s="13">
        <f>' car_sales_data 1'!$G395*0.2</f>
        <v>5605.2</v>
      </c>
      <c r="J395" s="13" t="str">
        <f>TEXT(' car_sales_data 1'!$A395,"mmmm")</f>
        <v>July</v>
      </c>
      <c r="K395" s="13" t="str">
        <f>IF(' car_sales_data 1'!$G395&gt;40000,"Premium",
 IF(' car_sales_data 1'!$G395&gt;=20000,"Mid Range","Budget"))</f>
        <v>Mid Range</v>
      </c>
      <c r="L395" s="13">
        <f>YEAR(TODAY())-' car_sales_data 1'!$F395</f>
        <v>8</v>
      </c>
    </row>
    <row r="396" ht="15.75" customHeight="1">
      <c r="A396" s="16">
        <v>44955.0</v>
      </c>
      <c r="B396" s="13" t="s">
        <v>833</v>
      </c>
      <c r="C396" s="13" t="s">
        <v>834</v>
      </c>
      <c r="D396" s="13" t="s">
        <v>10</v>
      </c>
      <c r="E396" s="13" t="s">
        <v>57</v>
      </c>
      <c r="F396" s="13">
        <v>2011.0</v>
      </c>
      <c r="G396" s="13">
        <v>42145.0</v>
      </c>
      <c r="H396" s="13">
        <v>3678.8</v>
      </c>
      <c r="I396" s="13">
        <f>' car_sales_data 1'!$G396*0.2</f>
        <v>8429</v>
      </c>
      <c r="J396" s="13" t="str">
        <f>TEXT(' car_sales_data 1'!$A396,"mmmm")</f>
        <v>January</v>
      </c>
      <c r="K396" s="13" t="str">
        <f>IF(' car_sales_data 1'!$G396&gt;40000,"Premium",
 IF(' car_sales_data 1'!$G396&gt;=20000,"Mid Range","Budget"))</f>
        <v>Premium</v>
      </c>
      <c r="L396" s="13">
        <f>YEAR(TODAY())-' car_sales_data 1'!$F396</f>
        <v>14</v>
      </c>
    </row>
    <row r="397" ht="15.75" customHeight="1">
      <c r="A397" s="16">
        <v>44693.0</v>
      </c>
      <c r="B397" s="13" t="s">
        <v>835</v>
      </c>
      <c r="C397" s="13" t="s">
        <v>836</v>
      </c>
      <c r="D397" s="13" t="s">
        <v>10</v>
      </c>
      <c r="E397" s="13" t="s">
        <v>54</v>
      </c>
      <c r="F397" s="13">
        <v>2012.0</v>
      </c>
      <c r="G397" s="13">
        <v>35800.0</v>
      </c>
      <c r="H397" s="13">
        <v>2167.62</v>
      </c>
      <c r="I397" s="13">
        <f>' car_sales_data 1'!$G397*0.2</f>
        <v>7160</v>
      </c>
      <c r="J397" s="13" t="str">
        <f>TEXT(' car_sales_data 1'!$A397,"mmmm")</f>
        <v>May</v>
      </c>
      <c r="K397" s="13" t="str">
        <f>IF(' car_sales_data 1'!$G397&gt;40000,"Premium",
 IF(' car_sales_data 1'!$G397&gt;=20000,"Mid Range","Budget"))</f>
        <v>Mid Range</v>
      </c>
      <c r="L397" s="13">
        <f>YEAR(TODAY())-' car_sales_data 1'!$F397</f>
        <v>13</v>
      </c>
    </row>
    <row r="398" ht="15.75" customHeight="1">
      <c r="A398" s="16">
        <v>44765.0</v>
      </c>
      <c r="B398" s="13" t="s">
        <v>837</v>
      </c>
      <c r="C398" s="13" t="s">
        <v>838</v>
      </c>
      <c r="D398" s="13" t="s">
        <v>8</v>
      </c>
      <c r="E398" s="13" t="s">
        <v>54</v>
      </c>
      <c r="F398" s="13">
        <v>2019.0</v>
      </c>
      <c r="G398" s="13">
        <v>38050.0</v>
      </c>
      <c r="H398" s="13">
        <v>5058.79</v>
      </c>
      <c r="I398" s="13">
        <f>' car_sales_data 1'!$G398*0.2</f>
        <v>7610</v>
      </c>
      <c r="J398" s="13" t="str">
        <f>TEXT(' car_sales_data 1'!$A398,"mmmm")</f>
        <v>July</v>
      </c>
      <c r="K398" s="13" t="str">
        <f>IF(' car_sales_data 1'!$G398&gt;40000,"Premium",
 IF(' car_sales_data 1'!$G398&gt;=20000,"Mid Range","Budget"))</f>
        <v>Mid Range</v>
      </c>
      <c r="L398" s="13">
        <f>YEAR(TODAY())-' car_sales_data 1'!$F398</f>
        <v>6</v>
      </c>
    </row>
    <row r="399" ht="15.75" customHeight="1">
      <c r="A399" s="16">
        <v>44930.0</v>
      </c>
      <c r="B399" s="13" t="s">
        <v>839</v>
      </c>
      <c r="C399" s="13" t="s">
        <v>840</v>
      </c>
      <c r="D399" s="13" t="s">
        <v>12</v>
      </c>
      <c r="E399" s="13" t="s">
        <v>54</v>
      </c>
      <c r="F399" s="13">
        <v>2021.0</v>
      </c>
      <c r="G399" s="13">
        <v>45151.0</v>
      </c>
      <c r="H399" s="13">
        <v>3479.89</v>
      </c>
      <c r="I399" s="13">
        <f>' car_sales_data 1'!$G399*0.2</f>
        <v>9030.2</v>
      </c>
      <c r="J399" s="13" t="str">
        <f>TEXT(' car_sales_data 1'!$A399,"mmmm")</f>
        <v>January</v>
      </c>
      <c r="K399" s="13" t="str">
        <f>IF(' car_sales_data 1'!$G399&gt;40000,"Premium",
 IF(' car_sales_data 1'!$G399&gt;=20000,"Mid Range","Budget"))</f>
        <v>Premium</v>
      </c>
      <c r="L399" s="13">
        <f>YEAR(TODAY())-' car_sales_data 1'!$F399</f>
        <v>4</v>
      </c>
    </row>
    <row r="400" ht="15.75" customHeight="1">
      <c r="A400" s="16">
        <v>44987.0</v>
      </c>
      <c r="B400" s="13" t="s">
        <v>841</v>
      </c>
      <c r="C400" s="13" t="s">
        <v>842</v>
      </c>
      <c r="D400" s="13" t="s">
        <v>10</v>
      </c>
      <c r="E400" s="13" t="s">
        <v>51</v>
      </c>
      <c r="F400" s="13">
        <v>2019.0</v>
      </c>
      <c r="G400" s="13">
        <v>34856.0</v>
      </c>
      <c r="H400" s="13">
        <v>3833.71</v>
      </c>
      <c r="I400" s="13">
        <f>' car_sales_data 1'!$G400*0.2</f>
        <v>6971.2</v>
      </c>
      <c r="J400" s="13" t="str">
        <f>TEXT(' car_sales_data 1'!$A400,"mmmm")</f>
        <v>March</v>
      </c>
      <c r="K400" s="13" t="str">
        <f>IF(' car_sales_data 1'!$G400&gt;40000,"Premium",
 IF(' car_sales_data 1'!$G400&gt;=20000,"Mid Range","Budget"))</f>
        <v>Mid Range</v>
      </c>
      <c r="L400" s="13">
        <f>YEAR(TODAY())-' car_sales_data 1'!$F400</f>
        <v>6</v>
      </c>
    </row>
    <row r="401" ht="15.75" customHeight="1">
      <c r="A401" s="16">
        <v>44992.0</v>
      </c>
      <c r="B401" s="13" t="s">
        <v>843</v>
      </c>
      <c r="C401" s="13" t="s">
        <v>844</v>
      </c>
      <c r="D401" s="13" t="s">
        <v>14</v>
      </c>
      <c r="E401" s="13" t="s">
        <v>62</v>
      </c>
      <c r="F401" s="13">
        <v>2022.0</v>
      </c>
      <c r="G401" s="13">
        <v>20930.0</v>
      </c>
      <c r="H401" s="13">
        <v>1302.54</v>
      </c>
      <c r="I401" s="13">
        <f>' car_sales_data 1'!$G401*0.2</f>
        <v>4186</v>
      </c>
      <c r="J401" s="13" t="str">
        <f>TEXT(' car_sales_data 1'!$A401,"mmmm")</f>
        <v>March</v>
      </c>
      <c r="K401" s="13" t="str">
        <f>IF(' car_sales_data 1'!$G401&gt;40000,"Premium",
 IF(' car_sales_data 1'!$G401&gt;=20000,"Mid Range","Budget"))</f>
        <v>Mid Range</v>
      </c>
      <c r="L401" s="13">
        <f>YEAR(TODAY())-' car_sales_data 1'!$F401</f>
        <v>3</v>
      </c>
    </row>
    <row r="402" ht="15.75" customHeight="1">
      <c r="A402" s="16">
        <v>44918.0</v>
      </c>
      <c r="B402" s="13" t="s">
        <v>845</v>
      </c>
      <c r="C402" s="13" t="s">
        <v>846</v>
      </c>
      <c r="D402" s="13" t="s">
        <v>14</v>
      </c>
      <c r="E402" s="13" t="s">
        <v>70</v>
      </c>
      <c r="F402" s="13">
        <v>2010.0</v>
      </c>
      <c r="G402" s="13">
        <v>46665.0</v>
      </c>
      <c r="H402" s="13">
        <v>5137.32</v>
      </c>
      <c r="I402" s="13">
        <f>' car_sales_data 1'!$G402*0.2</f>
        <v>9333</v>
      </c>
      <c r="J402" s="13" t="str">
        <f>TEXT(' car_sales_data 1'!$A402,"mmmm")</f>
        <v>December</v>
      </c>
      <c r="K402" s="13" t="str">
        <f>IF(' car_sales_data 1'!$G402&gt;40000,"Premium",
 IF(' car_sales_data 1'!$G402&gt;=20000,"Mid Range","Budget"))</f>
        <v>Premium</v>
      </c>
      <c r="L402" s="13">
        <f>YEAR(TODAY())-' car_sales_data 1'!$F402</f>
        <v>15</v>
      </c>
    </row>
    <row r="403" ht="15.75" customHeight="1">
      <c r="A403" s="16">
        <v>44833.0</v>
      </c>
      <c r="B403" s="13" t="s">
        <v>847</v>
      </c>
      <c r="C403" s="13" t="s">
        <v>848</v>
      </c>
      <c r="D403" s="13" t="s">
        <v>12</v>
      </c>
      <c r="E403" s="13" t="s">
        <v>57</v>
      </c>
      <c r="F403" s="13">
        <v>2021.0</v>
      </c>
      <c r="G403" s="13">
        <v>45192.0</v>
      </c>
      <c r="H403" s="13">
        <v>2776.97</v>
      </c>
      <c r="I403" s="13">
        <f>' car_sales_data 1'!$G403*0.2</f>
        <v>9038.4</v>
      </c>
      <c r="J403" s="13" t="str">
        <f>TEXT(' car_sales_data 1'!$A403,"mmmm")</f>
        <v>September</v>
      </c>
      <c r="K403" s="13" t="str">
        <f>IF(' car_sales_data 1'!$G403&gt;40000,"Premium",
 IF(' car_sales_data 1'!$G403&gt;=20000,"Mid Range","Budget"))</f>
        <v>Premium</v>
      </c>
      <c r="L403" s="13">
        <f>YEAR(TODAY())-' car_sales_data 1'!$F403</f>
        <v>4</v>
      </c>
    </row>
    <row r="404" ht="15.75" customHeight="1">
      <c r="A404" s="16">
        <v>44960.0</v>
      </c>
      <c r="B404" s="13" t="s">
        <v>849</v>
      </c>
      <c r="C404" s="13" t="s">
        <v>850</v>
      </c>
      <c r="D404" s="13" t="s">
        <v>14</v>
      </c>
      <c r="E404" s="13" t="s">
        <v>70</v>
      </c>
      <c r="F404" s="13">
        <v>2010.0</v>
      </c>
      <c r="G404" s="13">
        <v>15839.0</v>
      </c>
      <c r="H404" s="13">
        <v>2067.9</v>
      </c>
      <c r="I404" s="13">
        <f>' car_sales_data 1'!$G404*0.2</f>
        <v>3167.8</v>
      </c>
      <c r="J404" s="13" t="str">
        <f>TEXT(' car_sales_data 1'!$A404,"mmmm")</f>
        <v>February</v>
      </c>
      <c r="K404" s="13" t="str">
        <f>IF(' car_sales_data 1'!$G404&gt;40000,"Premium",
 IF(' car_sales_data 1'!$G404&gt;=20000,"Mid Range","Budget"))</f>
        <v>Budget</v>
      </c>
      <c r="L404" s="13">
        <f>YEAR(TODAY())-' car_sales_data 1'!$F404</f>
        <v>15</v>
      </c>
    </row>
    <row r="405" ht="15.75" customHeight="1">
      <c r="A405" s="16">
        <v>45042.0</v>
      </c>
      <c r="B405" s="13" t="s">
        <v>851</v>
      </c>
      <c r="C405" s="13" t="s">
        <v>852</v>
      </c>
      <c r="D405" s="13" t="s">
        <v>14</v>
      </c>
      <c r="E405" s="13" t="s">
        <v>57</v>
      </c>
      <c r="F405" s="13">
        <v>2022.0</v>
      </c>
      <c r="G405" s="13">
        <v>21492.0</v>
      </c>
      <c r="H405" s="13">
        <v>2853.68</v>
      </c>
      <c r="I405" s="13">
        <f>' car_sales_data 1'!$G405*0.2</f>
        <v>4298.4</v>
      </c>
      <c r="J405" s="13" t="str">
        <f>TEXT(' car_sales_data 1'!$A405,"mmmm")</f>
        <v>April</v>
      </c>
      <c r="K405" s="13" t="str">
        <f>IF(' car_sales_data 1'!$G405&gt;40000,"Premium",
 IF(' car_sales_data 1'!$G405&gt;=20000,"Mid Range","Budget"))</f>
        <v>Mid Range</v>
      </c>
      <c r="L405" s="13">
        <f>YEAR(TODAY())-' car_sales_data 1'!$F405</f>
        <v>3</v>
      </c>
    </row>
    <row r="406" ht="15.75" customHeight="1">
      <c r="A406" s="16">
        <v>44859.0</v>
      </c>
      <c r="B406" s="13" t="s">
        <v>853</v>
      </c>
      <c r="C406" s="13" t="s">
        <v>854</v>
      </c>
      <c r="D406" s="13" t="s">
        <v>6</v>
      </c>
      <c r="E406" s="13" t="s">
        <v>62</v>
      </c>
      <c r="F406" s="13">
        <v>2018.0</v>
      </c>
      <c r="G406" s="13">
        <v>21527.0</v>
      </c>
      <c r="H406" s="13">
        <v>2758.81</v>
      </c>
      <c r="I406" s="13">
        <f>' car_sales_data 1'!$G406*0.2</f>
        <v>4305.4</v>
      </c>
      <c r="J406" s="13" t="str">
        <f>TEXT(' car_sales_data 1'!$A406,"mmmm")</f>
        <v>October</v>
      </c>
      <c r="K406" s="13" t="str">
        <f>IF(' car_sales_data 1'!$G406&gt;40000,"Premium",
 IF(' car_sales_data 1'!$G406&gt;=20000,"Mid Range","Budget"))</f>
        <v>Mid Range</v>
      </c>
      <c r="L406" s="13">
        <f>YEAR(TODAY())-' car_sales_data 1'!$F406</f>
        <v>7</v>
      </c>
    </row>
    <row r="407" ht="15.75" customHeight="1">
      <c r="A407" s="16">
        <v>44912.0</v>
      </c>
      <c r="B407" s="13" t="s">
        <v>855</v>
      </c>
      <c r="C407" s="13" t="s">
        <v>856</v>
      </c>
      <c r="D407" s="13" t="s">
        <v>14</v>
      </c>
      <c r="E407" s="13" t="s">
        <v>62</v>
      </c>
      <c r="F407" s="13">
        <v>2013.0</v>
      </c>
      <c r="G407" s="13">
        <v>15980.0</v>
      </c>
      <c r="H407" s="13">
        <v>2345.35</v>
      </c>
      <c r="I407" s="13">
        <f>' car_sales_data 1'!$G407*0.2</f>
        <v>3196</v>
      </c>
      <c r="J407" s="13" t="str">
        <f>TEXT(' car_sales_data 1'!$A407,"mmmm")</f>
        <v>December</v>
      </c>
      <c r="K407" s="13" t="str">
        <f>IF(' car_sales_data 1'!$G407&gt;40000,"Premium",
 IF(' car_sales_data 1'!$G407&gt;=20000,"Mid Range","Budget"))</f>
        <v>Budget</v>
      </c>
      <c r="L407" s="13">
        <f>YEAR(TODAY())-' car_sales_data 1'!$F407</f>
        <v>12</v>
      </c>
    </row>
    <row r="408" ht="15.75" customHeight="1">
      <c r="A408" s="16">
        <v>44766.0</v>
      </c>
      <c r="B408" s="13" t="s">
        <v>857</v>
      </c>
      <c r="C408" s="13" t="s">
        <v>858</v>
      </c>
      <c r="D408" s="13" t="s">
        <v>10</v>
      </c>
      <c r="E408" s="13" t="s">
        <v>62</v>
      </c>
      <c r="F408" s="13">
        <v>2016.0</v>
      </c>
      <c r="G408" s="13">
        <v>30295.0</v>
      </c>
      <c r="H408" s="13">
        <v>4142.79</v>
      </c>
      <c r="I408" s="13">
        <f>' car_sales_data 1'!$G408*0.2</f>
        <v>6059</v>
      </c>
      <c r="J408" s="13" t="str">
        <f>TEXT(' car_sales_data 1'!$A408,"mmmm")</f>
        <v>July</v>
      </c>
      <c r="K408" s="13" t="str">
        <f>IF(' car_sales_data 1'!$G408&gt;40000,"Premium",
 IF(' car_sales_data 1'!$G408&gt;=20000,"Mid Range","Budget"))</f>
        <v>Mid Range</v>
      </c>
      <c r="L408" s="13">
        <f>YEAR(TODAY())-' car_sales_data 1'!$F408</f>
        <v>9</v>
      </c>
    </row>
    <row r="409" ht="15.75" customHeight="1">
      <c r="A409" s="16">
        <v>44793.0</v>
      </c>
      <c r="B409" s="13" t="s">
        <v>859</v>
      </c>
      <c r="C409" s="13" t="s">
        <v>860</v>
      </c>
      <c r="D409" s="13" t="s">
        <v>6</v>
      </c>
      <c r="E409" s="13" t="s">
        <v>57</v>
      </c>
      <c r="F409" s="13">
        <v>2017.0</v>
      </c>
      <c r="G409" s="13">
        <v>11864.0</v>
      </c>
      <c r="H409" s="13">
        <v>986.98</v>
      </c>
      <c r="I409" s="13">
        <f>' car_sales_data 1'!$G409*0.2</f>
        <v>2372.8</v>
      </c>
      <c r="J409" s="13" t="str">
        <f>TEXT(' car_sales_data 1'!$A409,"mmmm")</f>
        <v>August</v>
      </c>
      <c r="K409" s="13" t="str">
        <f>IF(' car_sales_data 1'!$G409&gt;40000,"Premium",
 IF(' car_sales_data 1'!$G409&gt;=20000,"Mid Range","Budget"))</f>
        <v>Budget</v>
      </c>
      <c r="L409" s="13">
        <f>YEAR(TODAY())-' car_sales_data 1'!$F409</f>
        <v>8</v>
      </c>
    </row>
    <row r="410" ht="15.75" customHeight="1">
      <c r="A410" s="16">
        <v>45042.0</v>
      </c>
      <c r="B410" s="13" t="s">
        <v>861</v>
      </c>
      <c r="C410" s="13" t="s">
        <v>862</v>
      </c>
      <c r="D410" s="13" t="s">
        <v>6</v>
      </c>
      <c r="E410" s="13" t="s">
        <v>70</v>
      </c>
      <c r="F410" s="13">
        <v>2015.0</v>
      </c>
      <c r="G410" s="13">
        <v>29817.0</v>
      </c>
      <c r="H410" s="13">
        <v>1858.43</v>
      </c>
      <c r="I410" s="13">
        <f>' car_sales_data 1'!$G410*0.2</f>
        <v>5963.4</v>
      </c>
      <c r="J410" s="13" t="str">
        <f>TEXT(' car_sales_data 1'!$A410,"mmmm")</f>
        <v>April</v>
      </c>
      <c r="K410" s="13" t="str">
        <f>IF(' car_sales_data 1'!$G410&gt;40000,"Premium",
 IF(' car_sales_data 1'!$G410&gt;=20000,"Mid Range","Budget"))</f>
        <v>Mid Range</v>
      </c>
      <c r="L410" s="13">
        <f>YEAR(TODAY())-' car_sales_data 1'!$F410</f>
        <v>10</v>
      </c>
    </row>
    <row r="411" ht="15.75" customHeight="1">
      <c r="A411" s="16">
        <v>44908.0</v>
      </c>
      <c r="B411" s="13" t="s">
        <v>863</v>
      </c>
      <c r="C411" s="13" t="s">
        <v>864</v>
      </c>
      <c r="D411" s="13" t="s">
        <v>14</v>
      </c>
      <c r="E411" s="13" t="s">
        <v>62</v>
      </c>
      <c r="F411" s="13">
        <v>2013.0</v>
      </c>
      <c r="G411" s="13">
        <v>36173.0</v>
      </c>
      <c r="H411" s="13">
        <v>3384.27</v>
      </c>
      <c r="I411" s="13">
        <f>' car_sales_data 1'!$G411*0.2</f>
        <v>7234.6</v>
      </c>
      <c r="J411" s="13" t="str">
        <f>TEXT(' car_sales_data 1'!$A411,"mmmm")</f>
        <v>December</v>
      </c>
      <c r="K411" s="13" t="str">
        <f>IF(' car_sales_data 1'!$G411&gt;40000,"Premium",
 IF(' car_sales_data 1'!$G411&gt;=20000,"Mid Range","Budget"))</f>
        <v>Mid Range</v>
      </c>
      <c r="L411" s="13">
        <f>YEAR(TODAY())-' car_sales_data 1'!$F411</f>
        <v>12</v>
      </c>
    </row>
    <row r="412" ht="15.75" customHeight="1">
      <c r="A412" s="16">
        <v>44794.0</v>
      </c>
      <c r="B412" s="13" t="s">
        <v>865</v>
      </c>
      <c r="C412" s="13" t="s">
        <v>866</v>
      </c>
      <c r="D412" s="13" t="s">
        <v>14</v>
      </c>
      <c r="E412" s="13" t="s">
        <v>70</v>
      </c>
      <c r="F412" s="13">
        <v>2011.0</v>
      </c>
      <c r="G412" s="13">
        <v>27133.0</v>
      </c>
      <c r="H412" s="13">
        <v>1995.0</v>
      </c>
      <c r="I412" s="13">
        <f>' car_sales_data 1'!$G412*0.2</f>
        <v>5426.6</v>
      </c>
      <c r="J412" s="13" t="str">
        <f>TEXT(' car_sales_data 1'!$A412,"mmmm")</f>
        <v>August</v>
      </c>
      <c r="K412" s="13" t="str">
        <f>IF(' car_sales_data 1'!$G412&gt;40000,"Premium",
 IF(' car_sales_data 1'!$G412&gt;=20000,"Mid Range","Budget"))</f>
        <v>Mid Range</v>
      </c>
      <c r="L412" s="13">
        <f>YEAR(TODAY())-' car_sales_data 1'!$F412</f>
        <v>14</v>
      </c>
    </row>
    <row r="413" ht="15.75" customHeight="1">
      <c r="A413" s="16">
        <v>44972.0</v>
      </c>
      <c r="B413" s="13" t="s">
        <v>867</v>
      </c>
      <c r="C413" s="13" t="s">
        <v>868</v>
      </c>
      <c r="D413" s="13" t="s">
        <v>14</v>
      </c>
      <c r="E413" s="13" t="s">
        <v>62</v>
      </c>
      <c r="F413" s="13">
        <v>2014.0</v>
      </c>
      <c r="G413" s="13">
        <v>37913.0</v>
      </c>
      <c r="H413" s="13">
        <v>5209.93</v>
      </c>
      <c r="I413" s="13">
        <f>' car_sales_data 1'!$G413*0.2</f>
        <v>7582.6</v>
      </c>
      <c r="J413" s="13" t="str">
        <f>TEXT(' car_sales_data 1'!$A413,"mmmm")</f>
        <v>February</v>
      </c>
      <c r="K413" s="13" t="str">
        <f>IF(' car_sales_data 1'!$G413&gt;40000,"Premium",
 IF(' car_sales_data 1'!$G413&gt;=20000,"Mid Range","Budget"))</f>
        <v>Mid Range</v>
      </c>
      <c r="L413" s="13">
        <f>YEAR(TODAY())-' car_sales_data 1'!$F413</f>
        <v>11</v>
      </c>
    </row>
    <row r="414" ht="15.75" customHeight="1">
      <c r="A414" s="16">
        <v>44692.0</v>
      </c>
      <c r="B414" s="13" t="s">
        <v>869</v>
      </c>
      <c r="C414" s="13" t="s">
        <v>870</v>
      </c>
      <c r="D414" s="13" t="s">
        <v>10</v>
      </c>
      <c r="E414" s="13" t="s">
        <v>54</v>
      </c>
      <c r="F414" s="13">
        <v>2017.0</v>
      </c>
      <c r="G414" s="13">
        <v>37923.0</v>
      </c>
      <c r="H414" s="13">
        <v>3485.52</v>
      </c>
      <c r="I414" s="13">
        <f>' car_sales_data 1'!$G414*0.2</f>
        <v>7584.6</v>
      </c>
      <c r="J414" s="13" t="str">
        <f>TEXT(' car_sales_data 1'!$A414,"mmmm")</f>
        <v>May</v>
      </c>
      <c r="K414" s="13" t="str">
        <f>IF(' car_sales_data 1'!$G414&gt;40000,"Premium",
 IF(' car_sales_data 1'!$G414&gt;=20000,"Mid Range","Budget"))</f>
        <v>Mid Range</v>
      </c>
      <c r="L414" s="13">
        <f>YEAR(TODAY())-' car_sales_data 1'!$F414</f>
        <v>8</v>
      </c>
    </row>
    <row r="415" ht="15.75" customHeight="1">
      <c r="A415" s="16">
        <v>45008.0</v>
      </c>
      <c r="B415" s="13" t="s">
        <v>871</v>
      </c>
      <c r="C415" s="13" t="s">
        <v>872</v>
      </c>
      <c r="D415" s="13" t="s">
        <v>10</v>
      </c>
      <c r="E415" s="13" t="s">
        <v>57</v>
      </c>
      <c r="F415" s="13">
        <v>2010.0</v>
      </c>
      <c r="G415" s="13">
        <v>49122.0</v>
      </c>
      <c r="H415" s="13">
        <v>3453.77</v>
      </c>
      <c r="I415" s="13">
        <f>' car_sales_data 1'!$G415*0.2</f>
        <v>9824.4</v>
      </c>
      <c r="J415" s="13" t="str">
        <f>TEXT(' car_sales_data 1'!$A415,"mmmm")</f>
        <v>March</v>
      </c>
      <c r="K415" s="13" t="str">
        <f>IF(' car_sales_data 1'!$G415&gt;40000,"Premium",
 IF(' car_sales_data 1'!$G415&gt;=20000,"Mid Range","Budget"))</f>
        <v>Premium</v>
      </c>
      <c r="L415" s="13">
        <f>YEAR(TODAY())-' car_sales_data 1'!$F415</f>
        <v>15</v>
      </c>
    </row>
    <row r="416" ht="15.75" customHeight="1">
      <c r="A416" s="16">
        <v>45032.0</v>
      </c>
      <c r="B416" s="13" t="s">
        <v>873</v>
      </c>
      <c r="C416" s="13" t="s">
        <v>874</v>
      </c>
      <c r="D416" s="13" t="s">
        <v>10</v>
      </c>
      <c r="E416" s="13" t="s">
        <v>70</v>
      </c>
      <c r="F416" s="13">
        <v>2021.0</v>
      </c>
      <c r="G416" s="13">
        <v>25069.0</v>
      </c>
      <c r="H416" s="13">
        <v>1788.22</v>
      </c>
      <c r="I416" s="13">
        <f>' car_sales_data 1'!$G416*0.2</f>
        <v>5013.8</v>
      </c>
      <c r="J416" s="13" t="str">
        <f>TEXT(' car_sales_data 1'!$A416,"mmmm")</f>
        <v>April</v>
      </c>
      <c r="K416" s="13" t="str">
        <f>IF(' car_sales_data 1'!$G416&gt;40000,"Premium",
 IF(' car_sales_data 1'!$G416&gt;=20000,"Mid Range","Budget"))</f>
        <v>Mid Range</v>
      </c>
      <c r="L416" s="13">
        <f>YEAR(TODAY())-' car_sales_data 1'!$F416</f>
        <v>4</v>
      </c>
    </row>
    <row r="417" ht="15.75" customHeight="1">
      <c r="A417" s="16">
        <v>44797.0</v>
      </c>
      <c r="B417" s="13" t="s">
        <v>875</v>
      </c>
      <c r="C417" s="13" t="s">
        <v>876</v>
      </c>
      <c r="D417" s="13" t="s">
        <v>10</v>
      </c>
      <c r="E417" s="13" t="s">
        <v>57</v>
      </c>
      <c r="F417" s="13">
        <v>2017.0</v>
      </c>
      <c r="G417" s="13">
        <v>44652.0</v>
      </c>
      <c r="H417" s="13">
        <v>3718.77</v>
      </c>
      <c r="I417" s="13">
        <f>' car_sales_data 1'!$G417*0.2</f>
        <v>8930.4</v>
      </c>
      <c r="J417" s="13" t="str">
        <f>TEXT(' car_sales_data 1'!$A417,"mmmm")</f>
        <v>August</v>
      </c>
      <c r="K417" s="13" t="str">
        <f>IF(' car_sales_data 1'!$G417&gt;40000,"Premium",
 IF(' car_sales_data 1'!$G417&gt;=20000,"Mid Range","Budget"))</f>
        <v>Premium</v>
      </c>
      <c r="L417" s="13">
        <f>YEAR(TODAY())-' car_sales_data 1'!$F417</f>
        <v>8</v>
      </c>
    </row>
    <row r="418" ht="15.75" customHeight="1">
      <c r="A418" s="16">
        <v>44868.0</v>
      </c>
      <c r="B418" s="13" t="s">
        <v>877</v>
      </c>
      <c r="C418" s="13" t="s">
        <v>878</v>
      </c>
      <c r="D418" s="13" t="s">
        <v>12</v>
      </c>
      <c r="E418" s="13" t="s">
        <v>51</v>
      </c>
      <c r="F418" s="13">
        <v>2020.0</v>
      </c>
      <c r="G418" s="13">
        <v>29694.0</v>
      </c>
      <c r="H418" s="13">
        <v>1648.23</v>
      </c>
      <c r="I418" s="13">
        <f>' car_sales_data 1'!$G418*0.2</f>
        <v>5938.8</v>
      </c>
      <c r="J418" s="13" t="str">
        <f>TEXT(' car_sales_data 1'!$A418,"mmmm")</f>
        <v>November</v>
      </c>
      <c r="K418" s="13" t="str">
        <f>IF(' car_sales_data 1'!$G418&gt;40000,"Premium",
 IF(' car_sales_data 1'!$G418&gt;=20000,"Mid Range","Budget"))</f>
        <v>Mid Range</v>
      </c>
      <c r="L418" s="13">
        <f>YEAR(TODAY())-' car_sales_data 1'!$F418</f>
        <v>5</v>
      </c>
    </row>
    <row r="419" ht="15.75" customHeight="1">
      <c r="A419" s="16">
        <v>45007.0</v>
      </c>
      <c r="B419" s="13" t="s">
        <v>879</v>
      </c>
      <c r="C419" s="13" t="s">
        <v>880</v>
      </c>
      <c r="D419" s="13" t="s">
        <v>12</v>
      </c>
      <c r="E419" s="13" t="s">
        <v>51</v>
      </c>
      <c r="F419" s="13">
        <v>2019.0</v>
      </c>
      <c r="G419" s="13">
        <v>25601.0</v>
      </c>
      <c r="H419" s="13">
        <v>2520.82</v>
      </c>
      <c r="I419" s="13">
        <f>' car_sales_data 1'!$G419*0.2</f>
        <v>5120.2</v>
      </c>
      <c r="J419" s="13" t="str">
        <f>TEXT(' car_sales_data 1'!$A419,"mmmm")</f>
        <v>March</v>
      </c>
      <c r="K419" s="13" t="str">
        <f>IF(' car_sales_data 1'!$G419&gt;40000,"Premium",
 IF(' car_sales_data 1'!$G419&gt;=20000,"Mid Range","Budget"))</f>
        <v>Mid Range</v>
      </c>
      <c r="L419" s="13">
        <f>YEAR(TODAY())-' car_sales_data 1'!$F419</f>
        <v>6</v>
      </c>
    </row>
    <row r="420" ht="15.75" customHeight="1">
      <c r="A420" s="16">
        <v>44918.0</v>
      </c>
      <c r="B420" s="13" t="s">
        <v>881</v>
      </c>
      <c r="C420" s="13" t="s">
        <v>882</v>
      </c>
      <c r="D420" s="13" t="s">
        <v>10</v>
      </c>
      <c r="E420" s="13" t="s">
        <v>57</v>
      </c>
      <c r="F420" s="13">
        <v>2014.0</v>
      </c>
      <c r="G420" s="13">
        <v>29843.0</v>
      </c>
      <c r="H420" s="13">
        <v>1616.67</v>
      </c>
      <c r="I420" s="13">
        <f>' car_sales_data 1'!$G420*0.2</f>
        <v>5968.6</v>
      </c>
      <c r="J420" s="13" t="str">
        <f>TEXT(' car_sales_data 1'!$A420,"mmmm")</f>
        <v>December</v>
      </c>
      <c r="K420" s="13" t="str">
        <f>IF(' car_sales_data 1'!$G420&gt;40000,"Premium",
 IF(' car_sales_data 1'!$G420&gt;=20000,"Mid Range","Budget"))</f>
        <v>Mid Range</v>
      </c>
      <c r="L420" s="13">
        <f>YEAR(TODAY())-' car_sales_data 1'!$F420</f>
        <v>11</v>
      </c>
    </row>
    <row r="421" ht="15.75" customHeight="1">
      <c r="A421" s="16">
        <v>44942.0</v>
      </c>
      <c r="B421" s="13" t="s">
        <v>883</v>
      </c>
      <c r="C421" s="13" t="s">
        <v>884</v>
      </c>
      <c r="D421" s="13" t="s">
        <v>14</v>
      </c>
      <c r="E421" s="13" t="s">
        <v>54</v>
      </c>
      <c r="F421" s="13">
        <v>2011.0</v>
      </c>
      <c r="G421" s="13">
        <v>21667.0</v>
      </c>
      <c r="H421" s="13">
        <v>3072.29</v>
      </c>
      <c r="I421" s="13">
        <f>' car_sales_data 1'!$G421*0.2</f>
        <v>4333.4</v>
      </c>
      <c r="J421" s="13" t="str">
        <f>TEXT(' car_sales_data 1'!$A421,"mmmm")</f>
        <v>January</v>
      </c>
      <c r="K421" s="13" t="str">
        <f>IF(' car_sales_data 1'!$G421&gt;40000,"Premium",
 IF(' car_sales_data 1'!$G421&gt;=20000,"Mid Range","Budget"))</f>
        <v>Mid Range</v>
      </c>
      <c r="L421" s="13">
        <f>YEAR(TODAY())-' car_sales_data 1'!$F421</f>
        <v>14</v>
      </c>
    </row>
    <row r="422" ht="15.75" customHeight="1">
      <c r="A422" s="16">
        <v>44804.0</v>
      </c>
      <c r="B422" s="13" t="s">
        <v>885</v>
      </c>
      <c r="C422" s="13" t="s">
        <v>886</v>
      </c>
      <c r="D422" s="13" t="s">
        <v>10</v>
      </c>
      <c r="E422" s="13" t="s">
        <v>57</v>
      </c>
      <c r="F422" s="13">
        <v>2017.0</v>
      </c>
      <c r="G422" s="13">
        <v>14344.0</v>
      </c>
      <c r="H422" s="13">
        <v>2033.63</v>
      </c>
      <c r="I422" s="13">
        <f>' car_sales_data 1'!$G422*0.2</f>
        <v>2868.8</v>
      </c>
      <c r="J422" s="13" t="str">
        <f>TEXT(' car_sales_data 1'!$A422,"mmmm")</f>
        <v>August</v>
      </c>
      <c r="K422" s="13" t="str">
        <f>IF(' car_sales_data 1'!$G422&gt;40000,"Premium",
 IF(' car_sales_data 1'!$G422&gt;=20000,"Mid Range","Budget"))</f>
        <v>Budget</v>
      </c>
      <c r="L422" s="13">
        <f>YEAR(TODAY())-' car_sales_data 1'!$F422</f>
        <v>8</v>
      </c>
    </row>
    <row r="423" ht="15.75" customHeight="1">
      <c r="A423" s="16">
        <v>44908.0</v>
      </c>
      <c r="B423" s="13" t="s">
        <v>887</v>
      </c>
      <c r="C423" s="13" t="s">
        <v>888</v>
      </c>
      <c r="D423" s="13" t="s">
        <v>12</v>
      </c>
      <c r="E423" s="13" t="s">
        <v>62</v>
      </c>
      <c r="F423" s="13">
        <v>2022.0</v>
      </c>
      <c r="G423" s="13">
        <v>40186.0</v>
      </c>
      <c r="H423" s="13">
        <v>6023.56</v>
      </c>
      <c r="I423" s="13">
        <f>' car_sales_data 1'!$G423*0.2</f>
        <v>8037.2</v>
      </c>
      <c r="J423" s="13" t="str">
        <f>TEXT(' car_sales_data 1'!$A423,"mmmm")</f>
        <v>December</v>
      </c>
      <c r="K423" s="13" t="str">
        <f>IF(' car_sales_data 1'!$G423&gt;40000,"Premium",
 IF(' car_sales_data 1'!$G423&gt;=20000,"Mid Range","Budget"))</f>
        <v>Premium</v>
      </c>
      <c r="L423" s="13">
        <f>YEAR(TODAY())-' car_sales_data 1'!$F423</f>
        <v>3</v>
      </c>
    </row>
    <row r="424" ht="15.75" customHeight="1">
      <c r="A424" s="16">
        <v>44904.0</v>
      </c>
      <c r="B424" s="13" t="s">
        <v>889</v>
      </c>
      <c r="C424" s="13" t="s">
        <v>890</v>
      </c>
      <c r="D424" s="13" t="s">
        <v>10</v>
      </c>
      <c r="E424" s="13" t="s">
        <v>70</v>
      </c>
      <c r="F424" s="13">
        <v>2011.0</v>
      </c>
      <c r="G424" s="13">
        <v>13766.0</v>
      </c>
      <c r="H424" s="13">
        <v>1776.91</v>
      </c>
      <c r="I424" s="13">
        <f>' car_sales_data 1'!$G424*0.2</f>
        <v>2753.2</v>
      </c>
      <c r="J424" s="13" t="str">
        <f>TEXT(' car_sales_data 1'!$A424,"mmmm")</f>
        <v>December</v>
      </c>
      <c r="K424" s="13" t="str">
        <f>IF(' car_sales_data 1'!$G424&gt;40000,"Premium",
 IF(' car_sales_data 1'!$G424&gt;=20000,"Mid Range","Budget"))</f>
        <v>Budget</v>
      </c>
      <c r="L424" s="13">
        <f>YEAR(TODAY())-' car_sales_data 1'!$F424</f>
        <v>14</v>
      </c>
    </row>
    <row r="425" ht="15.75" customHeight="1">
      <c r="A425" s="16">
        <v>44918.0</v>
      </c>
      <c r="B425" s="13" t="s">
        <v>891</v>
      </c>
      <c r="C425" s="13" t="s">
        <v>892</v>
      </c>
      <c r="D425" s="13" t="s">
        <v>10</v>
      </c>
      <c r="E425" s="13" t="s">
        <v>51</v>
      </c>
      <c r="F425" s="13">
        <v>2018.0</v>
      </c>
      <c r="G425" s="13">
        <v>21350.0</v>
      </c>
      <c r="H425" s="13">
        <v>2206.27</v>
      </c>
      <c r="I425" s="13">
        <f>' car_sales_data 1'!$G425*0.2</f>
        <v>4270</v>
      </c>
      <c r="J425" s="13" t="str">
        <f>TEXT(' car_sales_data 1'!$A425,"mmmm")</f>
        <v>December</v>
      </c>
      <c r="K425" s="13" t="str">
        <f>IF(' car_sales_data 1'!$G425&gt;40000,"Premium",
 IF(' car_sales_data 1'!$G425&gt;=20000,"Mid Range","Budget"))</f>
        <v>Mid Range</v>
      </c>
      <c r="L425" s="13">
        <f>YEAR(TODAY())-' car_sales_data 1'!$F425</f>
        <v>7</v>
      </c>
    </row>
    <row r="426" ht="15.75" customHeight="1">
      <c r="A426" s="16">
        <v>44688.0</v>
      </c>
      <c r="B426" s="13" t="s">
        <v>893</v>
      </c>
      <c r="C426" s="13" t="s">
        <v>894</v>
      </c>
      <c r="D426" s="13" t="s">
        <v>12</v>
      </c>
      <c r="E426" s="13" t="s">
        <v>54</v>
      </c>
      <c r="F426" s="13">
        <v>2016.0</v>
      </c>
      <c r="G426" s="13">
        <v>11280.0</v>
      </c>
      <c r="H426" s="13">
        <v>1498.89</v>
      </c>
      <c r="I426" s="13">
        <f>' car_sales_data 1'!$G426*0.2</f>
        <v>2256</v>
      </c>
      <c r="J426" s="13" t="str">
        <f>TEXT(' car_sales_data 1'!$A426,"mmmm")</f>
        <v>May</v>
      </c>
      <c r="K426" s="13" t="str">
        <f>IF(' car_sales_data 1'!$G426&gt;40000,"Premium",
 IF(' car_sales_data 1'!$G426&gt;=20000,"Mid Range","Budget"))</f>
        <v>Budget</v>
      </c>
      <c r="L426" s="13">
        <f>YEAR(TODAY())-' car_sales_data 1'!$F426</f>
        <v>9</v>
      </c>
    </row>
    <row r="427" ht="15.75" customHeight="1">
      <c r="A427" s="16">
        <v>44936.0</v>
      </c>
      <c r="B427" s="13" t="s">
        <v>895</v>
      </c>
      <c r="C427" s="13" t="s">
        <v>896</v>
      </c>
      <c r="D427" s="13" t="s">
        <v>6</v>
      </c>
      <c r="E427" s="13" t="s">
        <v>70</v>
      </c>
      <c r="F427" s="13">
        <v>2021.0</v>
      </c>
      <c r="G427" s="13">
        <v>16613.0</v>
      </c>
      <c r="H427" s="13">
        <v>1524.52</v>
      </c>
      <c r="I427" s="13">
        <f>' car_sales_data 1'!$G427*0.2</f>
        <v>3322.6</v>
      </c>
      <c r="J427" s="13" t="str">
        <f>TEXT(' car_sales_data 1'!$A427,"mmmm")</f>
        <v>January</v>
      </c>
      <c r="K427" s="13" t="str">
        <f>IF(' car_sales_data 1'!$G427&gt;40000,"Premium",
 IF(' car_sales_data 1'!$G427&gt;=20000,"Mid Range","Budget"))</f>
        <v>Budget</v>
      </c>
      <c r="L427" s="13">
        <f>YEAR(TODAY())-' car_sales_data 1'!$F427</f>
        <v>4</v>
      </c>
    </row>
    <row r="428" ht="15.75" customHeight="1">
      <c r="A428" s="16">
        <v>45010.0</v>
      </c>
      <c r="B428" s="13" t="s">
        <v>897</v>
      </c>
      <c r="C428" s="13" t="s">
        <v>898</v>
      </c>
      <c r="D428" s="13" t="s">
        <v>12</v>
      </c>
      <c r="E428" s="13" t="s">
        <v>57</v>
      </c>
      <c r="F428" s="13">
        <v>2013.0</v>
      </c>
      <c r="G428" s="13">
        <v>39916.0</v>
      </c>
      <c r="H428" s="13">
        <v>4874.22</v>
      </c>
      <c r="I428" s="13">
        <f>' car_sales_data 1'!$G428*0.2</f>
        <v>7983.2</v>
      </c>
      <c r="J428" s="13" t="str">
        <f>TEXT(' car_sales_data 1'!$A428,"mmmm")</f>
        <v>March</v>
      </c>
      <c r="K428" s="13" t="str">
        <f>IF(' car_sales_data 1'!$G428&gt;40000,"Premium",
 IF(' car_sales_data 1'!$G428&gt;=20000,"Mid Range","Budget"))</f>
        <v>Mid Range</v>
      </c>
      <c r="L428" s="13">
        <f>YEAR(TODAY())-' car_sales_data 1'!$F428</f>
        <v>12</v>
      </c>
    </row>
    <row r="429" ht="15.75" customHeight="1">
      <c r="A429" s="16">
        <v>44710.0</v>
      </c>
      <c r="B429" s="13" t="s">
        <v>899</v>
      </c>
      <c r="C429" s="13" t="s">
        <v>900</v>
      </c>
      <c r="D429" s="13" t="s">
        <v>8</v>
      </c>
      <c r="E429" s="13" t="s">
        <v>57</v>
      </c>
      <c r="F429" s="13">
        <v>2021.0</v>
      </c>
      <c r="G429" s="13">
        <v>26876.0</v>
      </c>
      <c r="H429" s="13">
        <v>2319.9</v>
      </c>
      <c r="I429" s="13">
        <f>' car_sales_data 1'!$G429*0.2</f>
        <v>5375.2</v>
      </c>
      <c r="J429" s="13" t="str">
        <f>TEXT(' car_sales_data 1'!$A429,"mmmm")</f>
        <v>May</v>
      </c>
      <c r="K429" s="13" t="str">
        <f>IF(' car_sales_data 1'!$G429&gt;40000,"Premium",
 IF(' car_sales_data 1'!$G429&gt;=20000,"Mid Range","Budget"))</f>
        <v>Mid Range</v>
      </c>
      <c r="L429" s="13">
        <f>YEAR(TODAY())-' car_sales_data 1'!$F429</f>
        <v>4</v>
      </c>
    </row>
    <row r="430" ht="15.75" customHeight="1">
      <c r="A430" s="16">
        <v>44960.0</v>
      </c>
      <c r="B430" s="13" t="s">
        <v>901</v>
      </c>
      <c r="C430" s="13" t="s">
        <v>902</v>
      </c>
      <c r="D430" s="13" t="s">
        <v>12</v>
      </c>
      <c r="E430" s="13" t="s">
        <v>62</v>
      </c>
      <c r="F430" s="13">
        <v>2012.0</v>
      </c>
      <c r="G430" s="13">
        <v>35616.0</v>
      </c>
      <c r="H430" s="13">
        <v>5306.11</v>
      </c>
      <c r="I430" s="13">
        <f>' car_sales_data 1'!$G430*0.2</f>
        <v>7123.2</v>
      </c>
      <c r="J430" s="13" t="str">
        <f>TEXT(' car_sales_data 1'!$A430,"mmmm")</f>
        <v>February</v>
      </c>
      <c r="K430" s="13" t="str">
        <f>IF(' car_sales_data 1'!$G430&gt;40000,"Premium",
 IF(' car_sales_data 1'!$G430&gt;=20000,"Mid Range","Budget"))</f>
        <v>Mid Range</v>
      </c>
      <c r="L430" s="13">
        <f>YEAR(TODAY())-' car_sales_data 1'!$F430</f>
        <v>13</v>
      </c>
    </row>
    <row r="431" ht="15.75" customHeight="1">
      <c r="A431" s="16">
        <v>44829.0</v>
      </c>
      <c r="B431" s="13" t="s">
        <v>903</v>
      </c>
      <c r="C431" s="13" t="s">
        <v>904</v>
      </c>
      <c r="D431" s="13" t="s">
        <v>14</v>
      </c>
      <c r="E431" s="13" t="s">
        <v>54</v>
      </c>
      <c r="F431" s="13">
        <v>2011.0</v>
      </c>
      <c r="G431" s="13">
        <v>30248.0</v>
      </c>
      <c r="H431" s="13">
        <v>1970.78</v>
      </c>
      <c r="I431" s="13">
        <f>' car_sales_data 1'!$G431*0.2</f>
        <v>6049.6</v>
      </c>
      <c r="J431" s="13" t="str">
        <f>TEXT(' car_sales_data 1'!$A431,"mmmm")</f>
        <v>September</v>
      </c>
      <c r="K431" s="13" t="str">
        <f>IF(' car_sales_data 1'!$G431&gt;40000,"Premium",
 IF(' car_sales_data 1'!$G431&gt;=20000,"Mid Range","Budget"))</f>
        <v>Mid Range</v>
      </c>
      <c r="L431" s="13">
        <f>YEAR(TODAY())-' car_sales_data 1'!$F431</f>
        <v>14</v>
      </c>
    </row>
    <row r="432" ht="15.75" customHeight="1">
      <c r="A432" s="16">
        <v>45043.0</v>
      </c>
      <c r="B432" s="13" t="s">
        <v>905</v>
      </c>
      <c r="C432" s="13" t="s">
        <v>906</v>
      </c>
      <c r="D432" s="13" t="s">
        <v>6</v>
      </c>
      <c r="E432" s="13" t="s">
        <v>62</v>
      </c>
      <c r="F432" s="13">
        <v>2014.0</v>
      </c>
      <c r="G432" s="13">
        <v>10025.0</v>
      </c>
      <c r="H432" s="13">
        <v>594.2</v>
      </c>
      <c r="I432" s="13">
        <f>' car_sales_data 1'!$G432*0.2</f>
        <v>2005</v>
      </c>
      <c r="J432" s="13" t="str">
        <f>TEXT(' car_sales_data 1'!$A432,"mmmm")</f>
        <v>April</v>
      </c>
      <c r="K432" s="13" t="str">
        <f>IF(' car_sales_data 1'!$G432&gt;40000,"Premium",
 IF(' car_sales_data 1'!$G432&gt;=20000,"Mid Range","Budget"))</f>
        <v>Budget</v>
      </c>
      <c r="L432" s="13">
        <f>YEAR(TODAY())-' car_sales_data 1'!$F432</f>
        <v>11</v>
      </c>
    </row>
    <row r="433" ht="15.75" customHeight="1">
      <c r="A433" s="16">
        <v>45009.0</v>
      </c>
      <c r="B433" s="13" t="s">
        <v>907</v>
      </c>
      <c r="C433" s="13" t="s">
        <v>908</v>
      </c>
      <c r="D433" s="13" t="s">
        <v>6</v>
      </c>
      <c r="E433" s="13" t="s">
        <v>54</v>
      </c>
      <c r="F433" s="13">
        <v>2012.0</v>
      </c>
      <c r="G433" s="13">
        <v>17326.0</v>
      </c>
      <c r="H433" s="13">
        <v>2095.82</v>
      </c>
      <c r="I433" s="13">
        <f>' car_sales_data 1'!$G433*0.2</f>
        <v>3465.2</v>
      </c>
      <c r="J433" s="13" t="str">
        <f>TEXT(' car_sales_data 1'!$A433,"mmmm")</f>
        <v>March</v>
      </c>
      <c r="K433" s="13" t="str">
        <f>IF(' car_sales_data 1'!$G433&gt;40000,"Premium",
 IF(' car_sales_data 1'!$G433&gt;=20000,"Mid Range","Budget"))</f>
        <v>Budget</v>
      </c>
      <c r="L433" s="13">
        <f>YEAR(TODAY())-' car_sales_data 1'!$F433</f>
        <v>13</v>
      </c>
    </row>
    <row r="434" ht="15.75" customHeight="1">
      <c r="A434" s="16">
        <v>45047.0</v>
      </c>
      <c r="B434" s="13" t="s">
        <v>909</v>
      </c>
      <c r="C434" s="13" t="s">
        <v>910</v>
      </c>
      <c r="D434" s="13" t="s">
        <v>12</v>
      </c>
      <c r="E434" s="13" t="s">
        <v>57</v>
      </c>
      <c r="F434" s="13">
        <v>2021.0</v>
      </c>
      <c r="G434" s="13">
        <v>36948.0</v>
      </c>
      <c r="H434" s="13">
        <v>4367.52</v>
      </c>
      <c r="I434" s="13">
        <f>' car_sales_data 1'!$G434*0.2</f>
        <v>7389.6</v>
      </c>
      <c r="J434" s="13" t="str">
        <f>TEXT(' car_sales_data 1'!$A434,"mmmm")</f>
        <v>May</v>
      </c>
      <c r="K434" s="13" t="str">
        <f>IF(' car_sales_data 1'!$G434&gt;40000,"Premium",
 IF(' car_sales_data 1'!$G434&gt;=20000,"Mid Range","Budget"))</f>
        <v>Mid Range</v>
      </c>
      <c r="L434" s="13">
        <f>YEAR(TODAY())-' car_sales_data 1'!$F434</f>
        <v>4</v>
      </c>
    </row>
    <row r="435" ht="15.75" customHeight="1">
      <c r="A435" s="16">
        <v>44897.0</v>
      </c>
      <c r="B435" s="13" t="s">
        <v>911</v>
      </c>
      <c r="C435" s="13" t="s">
        <v>912</v>
      </c>
      <c r="D435" s="13" t="s">
        <v>14</v>
      </c>
      <c r="E435" s="13" t="s">
        <v>70</v>
      </c>
      <c r="F435" s="13">
        <v>2013.0</v>
      </c>
      <c r="G435" s="13">
        <v>15025.0</v>
      </c>
      <c r="H435" s="13">
        <v>1985.79</v>
      </c>
      <c r="I435" s="13">
        <f>' car_sales_data 1'!$G435*0.2</f>
        <v>3005</v>
      </c>
      <c r="J435" s="13" t="str">
        <f>TEXT(' car_sales_data 1'!$A435,"mmmm")</f>
        <v>December</v>
      </c>
      <c r="K435" s="13" t="str">
        <f>IF(' car_sales_data 1'!$G435&gt;40000,"Premium",
 IF(' car_sales_data 1'!$G435&gt;=20000,"Mid Range","Budget"))</f>
        <v>Budget</v>
      </c>
      <c r="L435" s="13">
        <f>YEAR(TODAY())-' car_sales_data 1'!$F435</f>
        <v>12</v>
      </c>
    </row>
    <row r="436" ht="15.75" customHeight="1">
      <c r="A436" s="16">
        <v>44820.0</v>
      </c>
      <c r="B436" s="13" t="s">
        <v>913</v>
      </c>
      <c r="C436" s="13" t="s">
        <v>914</v>
      </c>
      <c r="D436" s="13" t="s">
        <v>8</v>
      </c>
      <c r="E436" s="13" t="s">
        <v>70</v>
      </c>
      <c r="F436" s="13">
        <v>2020.0</v>
      </c>
      <c r="G436" s="13">
        <v>36925.0</v>
      </c>
      <c r="H436" s="13">
        <v>5311.49</v>
      </c>
      <c r="I436" s="13">
        <f>' car_sales_data 1'!$G436*0.2</f>
        <v>7385</v>
      </c>
      <c r="J436" s="13" t="str">
        <f>TEXT(' car_sales_data 1'!$A436,"mmmm")</f>
        <v>September</v>
      </c>
      <c r="K436" s="13" t="str">
        <f>IF(' car_sales_data 1'!$G436&gt;40000,"Premium",
 IF(' car_sales_data 1'!$G436&gt;=20000,"Mid Range","Budget"))</f>
        <v>Mid Range</v>
      </c>
      <c r="L436" s="13">
        <f>YEAR(TODAY())-' car_sales_data 1'!$F436</f>
        <v>5</v>
      </c>
    </row>
    <row r="437" ht="15.75" customHeight="1">
      <c r="A437" s="16">
        <v>44977.0</v>
      </c>
      <c r="B437" s="13" t="s">
        <v>915</v>
      </c>
      <c r="C437" s="13" t="s">
        <v>916</v>
      </c>
      <c r="D437" s="13" t="s">
        <v>8</v>
      </c>
      <c r="E437" s="13" t="s">
        <v>51</v>
      </c>
      <c r="F437" s="13">
        <v>2017.0</v>
      </c>
      <c r="G437" s="13">
        <v>39332.0</v>
      </c>
      <c r="H437" s="13">
        <v>4522.16</v>
      </c>
      <c r="I437" s="13">
        <f>' car_sales_data 1'!$G437*0.2</f>
        <v>7866.4</v>
      </c>
      <c r="J437" s="13" t="str">
        <f>TEXT(' car_sales_data 1'!$A437,"mmmm")</f>
        <v>February</v>
      </c>
      <c r="K437" s="13" t="str">
        <f>IF(' car_sales_data 1'!$G437&gt;40000,"Premium",
 IF(' car_sales_data 1'!$G437&gt;=20000,"Mid Range","Budget"))</f>
        <v>Mid Range</v>
      </c>
      <c r="L437" s="13">
        <f>YEAR(TODAY())-' car_sales_data 1'!$F437</f>
        <v>8</v>
      </c>
    </row>
    <row r="438" ht="15.75" customHeight="1">
      <c r="A438" s="16">
        <v>44797.0</v>
      </c>
      <c r="B438" s="13" t="s">
        <v>917</v>
      </c>
      <c r="C438" s="13" t="s">
        <v>918</v>
      </c>
      <c r="D438" s="13" t="s">
        <v>8</v>
      </c>
      <c r="E438" s="13" t="s">
        <v>54</v>
      </c>
      <c r="F438" s="13">
        <v>2014.0</v>
      </c>
      <c r="G438" s="13">
        <v>45837.0</v>
      </c>
      <c r="H438" s="13">
        <v>3973.6</v>
      </c>
      <c r="I438" s="13">
        <f>' car_sales_data 1'!$G438*0.2</f>
        <v>9167.4</v>
      </c>
      <c r="J438" s="13" t="str">
        <f>TEXT(' car_sales_data 1'!$A438,"mmmm")</f>
        <v>August</v>
      </c>
      <c r="K438" s="13" t="str">
        <f>IF(' car_sales_data 1'!$G438&gt;40000,"Premium",
 IF(' car_sales_data 1'!$G438&gt;=20000,"Mid Range","Budget"))</f>
        <v>Premium</v>
      </c>
      <c r="L438" s="13">
        <f>YEAR(TODAY())-' car_sales_data 1'!$F438</f>
        <v>11</v>
      </c>
    </row>
    <row r="439" ht="15.75" customHeight="1">
      <c r="A439" s="16">
        <v>44742.0</v>
      </c>
      <c r="B439" s="13" t="s">
        <v>919</v>
      </c>
      <c r="C439" s="13" t="s">
        <v>920</v>
      </c>
      <c r="D439" s="13" t="s">
        <v>10</v>
      </c>
      <c r="E439" s="13" t="s">
        <v>62</v>
      </c>
      <c r="F439" s="13">
        <v>2016.0</v>
      </c>
      <c r="G439" s="13">
        <v>38265.0</v>
      </c>
      <c r="H439" s="13">
        <v>3074.51</v>
      </c>
      <c r="I439" s="13">
        <f>' car_sales_data 1'!$G439*0.2</f>
        <v>7653</v>
      </c>
      <c r="J439" s="13" t="str">
        <f>TEXT(' car_sales_data 1'!$A439,"mmmm")</f>
        <v>June</v>
      </c>
      <c r="K439" s="13" t="str">
        <f>IF(' car_sales_data 1'!$G439&gt;40000,"Premium",
 IF(' car_sales_data 1'!$G439&gt;=20000,"Mid Range","Budget"))</f>
        <v>Mid Range</v>
      </c>
      <c r="L439" s="13">
        <f>YEAR(TODAY())-' car_sales_data 1'!$F439</f>
        <v>9</v>
      </c>
    </row>
    <row r="440" ht="15.75" customHeight="1">
      <c r="A440" s="16">
        <v>45045.0</v>
      </c>
      <c r="B440" s="13" t="s">
        <v>921</v>
      </c>
      <c r="C440" s="13" t="s">
        <v>922</v>
      </c>
      <c r="D440" s="13" t="s">
        <v>8</v>
      </c>
      <c r="E440" s="13" t="s">
        <v>51</v>
      </c>
      <c r="F440" s="13">
        <v>2018.0</v>
      </c>
      <c r="G440" s="13">
        <v>48884.0</v>
      </c>
      <c r="H440" s="13">
        <v>4086.23</v>
      </c>
      <c r="I440" s="13">
        <f>' car_sales_data 1'!$G440*0.2</f>
        <v>9776.8</v>
      </c>
      <c r="J440" s="13" t="str">
        <f>TEXT(' car_sales_data 1'!$A440,"mmmm")</f>
        <v>April</v>
      </c>
      <c r="K440" s="13" t="str">
        <f>IF(' car_sales_data 1'!$G440&gt;40000,"Premium",
 IF(' car_sales_data 1'!$G440&gt;=20000,"Mid Range","Budget"))</f>
        <v>Premium</v>
      </c>
      <c r="L440" s="13">
        <f>YEAR(TODAY())-' car_sales_data 1'!$F440</f>
        <v>7</v>
      </c>
    </row>
    <row r="441" ht="15.75" customHeight="1">
      <c r="A441" s="16">
        <v>44930.0</v>
      </c>
      <c r="B441" s="13" t="s">
        <v>923</v>
      </c>
      <c r="C441" s="13" t="s">
        <v>924</v>
      </c>
      <c r="D441" s="13" t="s">
        <v>10</v>
      </c>
      <c r="E441" s="13" t="s">
        <v>57</v>
      </c>
      <c r="F441" s="13">
        <v>2022.0</v>
      </c>
      <c r="G441" s="13">
        <v>15231.0</v>
      </c>
      <c r="H441" s="13">
        <v>1851.73</v>
      </c>
      <c r="I441" s="13">
        <f>' car_sales_data 1'!$G441*0.2</f>
        <v>3046.2</v>
      </c>
      <c r="J441" s="13" t="str">
        <f>TEXT(' car_sales_data 1'!$A441,"mmmm")</f>
        <v>January</v>
      </c>
      <c r="K441" s="13" t="str">
        <f>IF(' car_sales_data 1'!$G441&gt;40000,"Premium",
 IF(' car_sales_data 1'!$G441&gt;=20000,"Mid Range","Budget"))</f>
        <v>Budget</v>
      </c>
      <c r="L441" s="13">
        <f>YEAR(TODAY())-' car_sales_data 1'!$F441</f>
        <v>3</v>
      </c>
    </row>
    <row r="442" ht="15.75" customHeight="1">
      <c r="A442" s="16">
        <v>44859.0</v>
      </c>
      <c r="B442" s="13" t="s">
        <v>925</v>
      </c>
      <c r="C442" s="13" t="s">
        <v>926</v>
      </c>
      <c r="D442" s="13" t="s">
        <v>14</v>
      </c>
      <c r="E442" s="13" t="s">
        <v>70</v>
      </c>
      <c r="F442" s="13">
        <v>2018.0</v>
      </c>
      <c r="G442" s="13">
        <v>32520.0</v>
      </c>
      <c r="H442" s="13">
        <v>4548.73</v>
      </c>
      <c r="I442" s="13">
        <f>' car_sales_data 1'!$G442*0.2</f>
        <v>6504</v>
      </c>
      <c r="J442" s="13" t="str">
        <f>TEXT(' car_sales_data 1'!$A442,"mmmm")</f>
        <v>October</v>
      </c>
      <c r="K442" s="13" t="str">
        <f>IF(' car_sales_data 1'!$G442&gt;40000,"Premium",
 IF(' car_sales_data 1'!$G442&gt;=20000,"Mid Range","Budget"))</f>
        <v>Mid Range</v>
      </c>
      <c r="L442" s="13">
        <f>YEAR(TODAY())-' car_sales_data 1'!$F442</f>
        <v>7</v>
      </c>
    </row>
    <row r="443" ht="15.75" customHeight="1">
      <c r="A443" s="16">
        <v>44909.0</v>
      </c>
      <c r="B443" s="13" t="s">
        <v>927</v>
      </c>
      <c r="C443" s="13" t="s">
        <v>928</v>
      </c>
      <c r="D443" s="13" t="s">
        <v>10</v>
      </c>
      <c r="E443" s="13" t="s">
        <v>54</v>
      </c>
      <c r="F443" s="13">
        <v>2015.0</v>
      </c>
      <c r="G443" s="13">
        <v>41135.0</v>
      </c>
      <c r="H443" s="13">
        <v>5945.24</v>
      </c>
      <c r="I443" s="13">
        <f>' car_sales_data 1'!$G443*0.2</f>
        <v>8227</v>
      </c>
      <c r="J443" s="13" t="str">
        <f>TEXT(' car_sales_data 1'!$A443,"mmmm")</f>
        <v>December</v>
      </c>
      <c r="K443" s="13" t="str">
        <f>IF(' car_sales_data 1'!$G443&gt;40000,"Premium",
 IF(' car_sales_data 1'!$G443&gt;=20000,"Mid Range","Budget"))</f>
        <v>Premium</v>
      </c>
      <c r="L443" s="13">
        <f>YEAR(TODAY())-' car_sales_data 1'!$F443</f>
        <v>10</v>
      </c>
    </row>
    <row r="444" ht="15.75" customHeight="1">
      <c r="A444" s="16">
        <v>44706.0</v>
      </c>
      <c r="B444" s="13" t="s">
        <v>929</v>
      </c>
      <c r="C444" s="13" t="s">
        <v>930</v>
      </c>
      <c r="D444" s="13" t="s">
        <v>8</v>
      </c>
      <c r="E444" s="13" t="s">
        <v>62</v>
      </c>
      <c r="F444" s="13">
        <v>2014.0</v>
      </c>
      <c r="G444" s="13">
        <v>37862.0</v>
      </c>
      <c r="H444" s="13">
        <v>5593.02</v>
      </c>
      <c r="I444" s="13">
        <f>' car_sales_data 1'!$G444*0.2</f>
        <v>7572.4</v>
      </c>
      <c r="J444" s="13" t="str">
        <f>TEXT(' car_sales_data 1'!$A444,"mmmm")</f>
        <v>May</v>
      </c>
      <c r="K444" s="13" t="str">
        <f>IF(' car_sales_data 1'!$G444&gt;40000,"Premium",
 IF(' car_sales_data 1'!$G444&gt;=20000,"Mid Range","Budget"))</f>
        <v>Mid Range</v>
      </c>
      <c r="L444" s="13">
        <f>YEAR(TODAY())-' car_sales_data 1'!$F444</f>
        <v>11</v>
      </c>
    </row>
    <row r="445" ht="15.75" customHeight="1">
      <c r="A445" s="16">
        <v>45034.0</v>
      </c>
      <c r="B445" s="13" t="s">
        <v>931</v>
      </c>
      <c r="C445" s="13" t="s">
        <v>932</v>
      </c>
      <c r="D445" s="13" t="s">
        <v>12</v>
      </c>
      <c r="E445" s="13" t="s">
        <v>57</v>
      </c>
      <c r="F445" s="13">
        <v>2013.0</v>
      </c>
      <c r="G445" s="13">
        <v>14671.0</v>
      </c>
      <c r="H445" s="13">
        <v>2012.53</v>
      </c>
      <c r="I445" s="13">
        <f>' car_sales_data 1'!$G445*0.2</f>
        <v>2934.2</v>
      </c>
      <c r="J445" s="13" t="str">
        <f>TEXT(' car_sales_data 1'!$A445,"mmmm")</f>
        <v>April</v>
      </c>
      <c r="K445" s="13" t="str">
        <f>IF(' car_sales_data 1'!$G445&gt;40000,"Premium",
 IF(' car_sales_data 1'!$G445&gt;=20000,"Mid Range","Budget"))</f>
        <v>Budget</v>
      </c>
      <c r="L445" s="13">
        <f>YEAR(TODAY())-' car_sales_data 1'!$F445</f>
        <v>12</v>
      </c>
    </row>
    <row r="446" ht="15.75" customHeight="1">
      <c r="A446" s="16">
        <v>45033.0</v>
      </c>
      <c r="B446" s="13" t="s">
        <v>933</v>
      </c>
      <c r="C446" s="13" t="s">
        <v>934</v>
      </c>
      <c r="D446" s="13" t="s">
        <v>6</v>
      </c>
      <c r="E446" s="13" t="s">
        <v>70</v>
      </c>
      <c r="F446" s="13">
        <v>2014.0</v>
      </c>
      <c r="G446" s="13">
        <v>19940.0</v>
      </c>
      <c r="H446" s="13">
        <v>2970.85</v>
      </c>
      <c r="I446" s="13">
        <f>' car_sales_data 1'!$G446*0.2</f>
        <v>3988</v>
      </c>
      <c r="J446" s="13" t="str">
        <f>TEXT(' car_sales_data 1'!$A446,"mmmm")</f>
        <v>April</v>
      </c>
      <c r="K446" s="13" t="str">
        <f>IF(' car_sales_data 1'!$G446&gt;40000,"Premium",
 IF(' car_sales_data 1'!$G446&gt;=20000,"Mid Range","Budget"))</f>
        <v>Budget</v>
      </c>
      <c r="L446" s="13">
        <f>YEAR(TODAY())-' car_sales_data 1'!$F446</f>
        <v>11</v>
      </c>
    </row>
    <row r="447" ht="15.75" customHeight="1">
      <c r="A447" s="16">
        <v>44960.0</v>
      </c>
      <c r="B447" s="13" t="s">
        <v>935</v>
      </c>
      <c r="C447" s="13" t="s">
        <v>936</v>
      </c>
      <c r="D447" s="13" t="s">
        <v>6</v>
      </c>
      <c r="E447" s="13" t="s">
        <v>51</v>
      </c>
      <c r="F447" s="13">
        <v>2019.0</v>
      </c>
      <c r="G447" s="13">
        <v>28152.0</v>
      </c>
      <c r="H447" s="13">
        <v>1808.46</v>
      </c>
      <c r="I447" s="13">
        <f>' car_sales_data 1'!$G447*0.2</f>
        <v>5630.4</v>
      </c>
      <c r="J447" s="13" t="str">
        <f>TEXT(' car_sales_data 1'!$A447,"mmmm")</f>
        <v>February</v>
      </c>
      <c r="K447" s="13" t="str">
        <f>IF(' car_sales_data 1'!$G447&gt;40000,"Premium",
 IF(' car_sales_data 1'!$G447&gt;=20000,"Mid Range","Budget"))</f>
        <v>Mid Range</v>
      </c>
      <c r="L447" s="13">
        <f>YEAR(TODAY())-' car_sales_data 1'!$F447</f>
        <v>6</v>
      </c>
    </row>
    <row r="448" ht="15.75" customHeight="1">
      <c r="A448" s="16">
        <v>44713.0</v>
      </c>
      <c r="B448" s="13" t="s">
        <v>937</v>
      </c>
      <c r="C448" s="13" t="s">
        <v>938</v>
      </c>
      <c r="D448" s="13" t="s">
        <v>12</v>
      </c>
      <c r="E448" s="13" t="s">
        <v>62</v>
      </c>
      <c r="F448" s="13">
        <v>2018.0</v>
      </c>
      <c r="G448" s="13">
        <v>48410.0</v>
      </c>
      <c r="H448" s="13">
        <v>4130.36</v>
      </c>
      <c r="I448" s="13">
        <f>' car_sales_data 1'!$G448*0.2</f>
        <v>9682</v>
      </c>
      <c r="J448" s="13" t="str">
        <f>TEXT(' car_sales_data 1'!$A448,"mmmm")</f>
        <v>June</v>
      </c>
      <c r="K448" s="13" t="str">
        <f>IF(' car_sales_data 1'!$G448&gt;40000,"Premium",
 IF(' car_sales_data 1'!$G448&gt;=20000,"Mid Range","Budget"))</f>
        <v>Premium</v>
      </c>
      <c r="L448" s="13">
        <f>YEAR(TODAY())-' car_sales_data 1'!$F448</f>
        <v>7</v>
      </c>
    </row>
    <row r="449" ht="15.75" customHeight="1">
      <c r="A449" s="16">
        <v>45045.0</v>
      </c>
      <c r="B449" s="13" t="s">
        <v>939</v>
      </c>
      <c r="C449" s="13" t="s">
        <v>940</v>
      </c>
      <c r="D449" s="13" t="s">
        <v>8</v>
      </c>
      <c r="E449" s="13" t="s">
        <v>51</v>
      </c>
      <c r="F449" s="13">
        <v>2010.0</v>
      </c>
      <c r="G449" s="13">
        <v>17862.0</v>
      </c>
      <c r="H449" s="13">
        <v>1917.92</v>
      </c>
      <c r="I449" s="13">
        <f>' car_sales_data 1'!$G449*0.2</f>
        <v>3572.4</v>
      </c>
      <c r="J449" s="13" t="str">
        <f>TEXT(' car_sales_data 1'!$A449,"mmmm")</f>
        <v>April</v>
      </c>
      <c r="K449" s="13" t="str">
        <f>IF(' car_sales_data 1'!$G449&gt;40000,"Premium",
 IF(' car_sales_data 1'!$G449&gt;=20000,"Mid Range","Budget"))</f>
        <v>Budget</v>
      </c>
      <c r="L449" s="13">
        <f>YEAR(TODAY())-' car_sales_data 1'!$F449</f>
        <v>15</v>
      </c>
    </row>
    <row r="450" ht="15.75" customHeight="1">
      <c r="A450" s="16">
        <v>44714.0</v>
      </c>
      <c r="B450" s="13" t="s">
        <v>941</v>
      </c>
      <c r="C450" s="13" t="s">
        <v>942</v>
      </c>
      <c r="D450" s="13" t="s">
        <v>6</v>
      </c>
      <c r="E450" s="13" t="s">
        <v>70</v>
      </c>
      <c r="F450" s="13">
        <v>2019.0</v>
      </c>
      <c r="G450" s="13">
        <v>13144.0</v>
      </c>
      <c r="H450" s="13">
        <v>1169.48</v>
      </c>
      <c r="I450" s="13">
        <f>' car_sales_data 1'!$G450*0.2</f>
        <v>2628.8</v>
      </c>
      <c r="J450" s="13" t="str">
        <f>TEXT(' car_sales_data 1'!$A450,"mmmm")</f>
        <v>June</v>
      </c>
      <c r="K450" s="13" t="str">
        <f>IF(' car_sales_data 1'!$G450&gt;40000,"Premium",
 IF(' car_sales_data 1'!$G450&gt;=20000,"Mid Range","Budget"))</f>
        <v>Budget</v>
      </c>
      <c r="L450" s="13">
        <f>YEAR(TODAY())-' car_sales_data 1'!$F450</f>
        <v>6</v>
      </c>
    </row>
    <row r="451" ht="15.75" customHeight="1">
      <c r="A451" s="16">
        <v>44985.0</v>
      </c>
      <c r="B451" s="13" t="s">
        <v>943</v>
      </c>
      <c r="C451" s="13" t="s">
        <v>944</v>
      </c>
      <c r="D451" s="13" t="s">
        <v>6</v>
      </c>
      <c r="E451" s="13" t="s">
        <v>51</v>
      </c>
      <c r="F451" s="13">
        <v>2010.0</v>
      </c>
      <c r="G451" s="13">
        <v>27838.0</v>
      </c>
      <c r="H451" s="13">
        <v>3345.97</v>
      </c>
      <c r="I451" s="13">
        <f>' car_sales_data 1'!$G451*0.2</f>
        <v>5567.6</v>
      </c>
      <c r="J451" s="13" t="str">
        <f>TEXT(' car_sales_data 1'!$A451,"mmmm")</f>
        <v>February</v>
      </c>
      <c r="K451" s="13" t="str">
        <f>IF(' car_sales_data 1'!$G451&gt;40000,"Premium",
 IF(' car_sales_data 1'!$G451&gt;=20000,"Mid Range","Budget"))</f>
        <v>Mid Range</v>
      </c>
      <c r="L451" s="13">
        <f>YEAR(TODAY())-' car_sales_data 1'!$F451</f>
        <v>15</v>
      </c>
    </row>
    <row r="452" ht="15.75" customHeight="1">
      <c r="A452" s="16">
        <v>44866.0</v>
      </c>
      <c r="B452" s="13" t="s">
        <v>945</v>
      </c>
      <c r="C452" s="13" t="s">
        <v>946</v>
      </c>
      <c r="D452" s="13" t="s">
        <v>8</v>
      </c>
      <c r="E452" s="13" t="s">
        <v>62</v>
      </c>
      <c r="F452" s="13">
        <v>2015.0</v>
      </c>
      <c r="G452" s="13">
        <v>11599.0</v>
      </c>
      <c r="H452" s="13">
        <v>1237.12</v>
      </c>
      <c r="I452" s="13">
        <f>' car_sales_data 1'!$G452*0.2</f>
        <v>2319.8</v>
      </c>
      <c r="J452" s="13" t="str">
        <f>TEXT(' car_sales_data 1'!$A452,"mmmm")</f>
        <v>November</v>
      </c>
      <c r="K452" s="13" t="str">
        <f>IF(' car_sales_data 1'!$G452&gt;40000,"Premium",
 IF(' car_sales_data 1'!$G452&gt;=20000,"Mid Range","Budget"))</f>
        <v>Budget</v>
      </c>
      <c r="L452" s="13">
        <f>YEAR(TODAY())-' car_sales_data 1'!$F452</f>
        <v>10</v>
      </c>
    </row>
    <row r="453" ht="15.75" customHeight="1">
      <c r="A453" s="16">
        <v>44893.0</v>
      </c>
      <c r="B453" s="13" t="s">
        <v>947</v>
      </c>
      <c r="C453" s="13" t="s">
        <v>948</v>
      </c>
      <c r="D453" s="13" t="s">
        <v>12</v>
      </c>
      <c r="E453" s="13" t="s">
        <v>70</v>
      </c>
      <c r="F453" s="13">
        <v>2018.0</v>
      </c>
      <c r="G453" s="13">
        <v>48099.0</v>
      </c>
      <c r="H453" s="13">
        <v>6194.37</v>
      </c>
      <c r="I453" s="13">
        <f>' car_sales_data 1'!$G453*0.2</f>
        <v>9619.8</v>
      </c>
      <c r="J453" s="13" t="str">
        <f>TEXT(' car_sales_data 1'!$A453,"mmmm")</f>
        <v>November</v>
      </c>
      <c r="K453" s="13" t="str">
        <f>IF(' car_sales_data 1'!$G453&gt;40000,"Premium",
 IF(' car_sales_data 1'!$G453&gt;=20000,"Mid Range","Budget"))</f>
        <v>Premium</v>
      </c>
      <c r="L453" s="13">
        <f>YEAR(TODAY())-' car_sales_data 1'!$F453</f>
        <v>7</v>
      </c>
    </row>
    <row r="454" ht="15.75" customHeight="1">
      <c r="A454" s="16">
        <v>44945.0</v>
      </c>
      <c r="B454" s="13" t="s">
        <v>949</v>
      </c>
      <c r="C454" s="13" t="s">
        <v>950</v>
      </c>
      <c r="D454" s="13" t="s">
        <v>8</v>
      </c>
      <c r="E454" s="13" t="s">
        <v>70</v>
      </c>
      <c r="F454" s="13">
        <v>2018.0</v>
      </c>
      <c r="G454" s="13">
        <v>10418.0</v>
      </c>
      <c r="H454" s="13">
        <v>1546.9</v>
      </c>
      <c r="I454" s="13">
        <f>' car_sales_data 1'!$G454*0.2</f>
        <v>2083.6</v>
      </c>
      <c r="J454" s="13" t="str">
        <f>TEXT(' car_sales_data 1'!$A454,"mmmm")</f>
        <v>January</v>
      </c>
      <c r="K454" s="13" t="str">
        <f>IF(' car_sales_data 1'!$G454&gt;40000,"Premium",
 IF(' car_sales_data 1'!$G454&gt;=20000,"Mid Range","Budget"))</f>
        <v>Budget</v>
      </c>
      <c r="L454" s="13">
        <f>YEAR(TODAY())-' car_sales_data 1'!$F454</f>
        <v>7</v>
      </c>
    </row>
    <row r="455" ht="15.75" customHeight="1">
      <c r="A455" s="16">
        <v>44685.0</v>
      </c>
      <c r="B455" s="13" t="s">
        <v>951</v>
      </c>
      <c r="C455" s="13" t="s">
        <v>952</v>
      </c>
      <c r="D455" s="13" t="s">
        <v>14</v>
      </c>
      <c r="E455" s="13" t="s">
        <v>51</v>
      </c>
      <c r="F455" s="13">
        <v>2022.0</v>
      </c>
      <c r="G455" s="13">
        <v>31836.0</v>
      </c>
      <c r="H455" s="13">
        <v>3846.32</v>
      </c>
      <c r="I455" s="13">
        <f>' car_sales_data 1'!$G455*0.2</f>
        <v>6367.2</v>
      </c>
      <c r="J455" s="13" t="str">
        <f>TEXT(' car_sales_data 1'!$A455,"mmmm")</f>
        <v>May</v>
      </c>
      <c r="K455" s="13" t="str">
        <f>IF(' car_sales_data 1'!$G455&gt;40000,"Premium",
 IF(' car_sales_data 1'!$G455&gt;=20000,"Mid Range","Budget"))</f>
        <v>Mid Range</v>
      </c>
      <c r="L455" s="13">
        <f>YEAR(TODAY())-' car_sales_data 1'!$F455</f>
        <v>3</v>
      </c>
    </row>
    <row r="456" ht="15.75" customHeight="1">
      <c r="A456" s="16">
        <v>44766.0</v>
      </c>
      <c r="B456" s="13" t="s">
        <v>953</v>
      </c>
      <c r="C456" s="13" t="s">
        <v>954</v>
      </c>
      <c r="D456" s="13" t="s">
        <v>8</v>
      </c>
      <c r="E456" s="13" t="s">
        <v>51</v>
      </c>
      <c r="F456" s="13">
        <v>2015.0</v>
      </c>
      <c r="G456" s="13">
        <v>29785.0</v>
      </c>
      <c r="H456" s="13">
        <v>2752.9</v>
      </c>
      <c r="I456" s="13">
        <f>' car_sales_data 1'!$G456*0.2</f>
        <v>5957</v>
      </c>
      <c r="J456" s="13" t="str">
        <f>TEXT(' car_sales_data 1'!$A456,"mmmm")</f>
        <v>July</v>
      </c>
      <c r="K456" s="13" t="str">
        <f>IF(' car_sales_data 1'!$G456&gt;40000,"Premium",
 IF(' car_sales_data 1'!$G456&gt;=20000,"Mid Range","Budget"))</f>
        <v>Mid Range</v>
      </c>
      <c r="L456" s="13">
        <f>YEAR(TODAY())-' car_sales_data 1'!$F456</f>
        <v>10</v>
      </c>
    </row>
    <row r="457" ht="15.75" customHeight="1">
      <c r="A457" s="16">
        <v>44994.0</v>
      </c>
      <c r="B457" s="13" t="s">
        <v>955</v>
      </c>
      <c r="C457" s="13" t="s">
        <v>956</v>
      </c>
      <c r="D457" s="13" t="s">
        <v>12</v>
      </c>
      <c r="E457" s="13" t="s">
        <v>57</v>
      </c>
      <c r="F457" s="13">
        <v>2011.0</v>
      </c>
      <c r="G457" s="13">
        <v>43101.0</v>
      </c>
      <c r="H457" s="13">
        <v>3889.31</v>
      </c>
      <c r="I457" s="13">
        <f>' car_sales_data 1'!$G457*0.2</f>
        <v>8620.2</v>
      </c>
      <c r="J457" s="13" t="str">
        <f>TEXT(' car_sales_data 1'!$A457,"mmmm")</f>
        <v>March</v>
      </c>
      <c r="K457" s="13" t="str">
        <f>IF(' car_sales_data 1'!$G457&gt;40000,"Premium",
 IF(' car_sales_data 1'!$G457&gt;=20000,"Mid Range","Budget"))</f>
        <v>Premium</v>
      </c>
      <c r="L457" s="13">
        <f>YEAR(TODAY())-' car_sales_data 1'!$F457</f>
        <v>14</v>
      </c>
    </row>
    <row r="458" ht="15.75" customHeight="1">
      <c r="A458" s="16">
        <v>45000.0</v>
      </c>
      <c r="B458" s="13" t="s">
        <v>957</v>
      </c>
      <c r="C458" s="13" t="s">
        <v>958</v>
      </c>
      <c r="D458" s="13" t="s">
        <v>8</v>
      </c>
      <c r="E458" s="13" t="s">
        <v>54</v>
      </c>
      <c r="F458" s="13">
        <v>2022.0</v>
      </c>
      <c r="G458" s="13">
        <v>32055.0</v>
      </c>
      <c r="H458" s="13">
        <v>1988.84</v>
      </c>
      <c r="I458" s="13">
        <f>' car_sales_data 1'!$G458*0.2</f>
        <v>6411</v>
      </c>
      <c r="J458" s="13" t="str">
        <f>TEXT(' car_sales_data 1'!$A458,"mmmm")</f>
        <v>March</v>
      </c>
      <c r="K458" s="13" t="str">
        <f>IF(' car_sales_data 1'!$G458&gt;40000,"Premium",
 IF(' car_sales_data 1'!$G458&gt;=20000,"Mid Range","Budget"))</f>
        <v>Mid Range</v>
      </c>
      <c r="L458" s="13">
        <f>YEAR(TODAY())-' car_sales_data 1'!$F458</f>
        <v>3</v>
      </c>
    </row>
    <row r="459" ht="15.75" customHeight="1">
      <c r="A459" s="16">
        <v>44741.0</v>
      </c>
      <c r="B459" s="13" t="s">
        <v>959</v>
      </c>
      <c r="C459" s="13" t="s">
        <v>960</v>
      </c>
      <c r="D459" s="13" t="s">
        <v>10</v>
      </c>
      <c r="E459" s="13" t="s">
        <v>70</v>
      </c>
      <c r="F459" s="13">
        <v>2016.0</v>
      </c>
      <c r="G459" s="13">
        <v>16578.0</v>
      </c>
      <c r="H459" s="13">
        <v>2339.4</v>
      </c>
      <c r="I459" s="13">
        <f>' car_sales_data 1'!$G459*0.2</f>
        <v>3315.6</v>
      </c>
      <c r="J459" s="13" t="str">
        <f>TEXT(' car_sales_data 1'!$A459,"mmmm")</f>
        <v>June</v>
      </c>
      <c r="K459" s="13" t="str">
        <f>IF(' car_sales_data 1'!$G459&gt;40000,"Premium",
 IF(' car_sales_data 1'!$G459&gt;=20000,"Mid Range","Budget"))</f>
        <v>Budget</v>
      </c>
      <c r="L459" s="13">
        <f>YEAR(TODAY())-' car_sales_data 1'!$F459</f>
        <v>9</v>
      </c>
    </row>
    <row r="460" ht="15.75" customHeight="1">
      <c r="A460" s="16">
        <v>44799.0</v>
      </c>
      <c r="B460" s="13" t="s">
        <v>961</v>
      </c>
      <c r="C460" s="13" t="s">
        <v>962</v>
      </c>
      <c r="D460" s="13" t="s">
        <v>10</v>
      </c>
      <c r="E460" s="13" t="s">
        <v>57</v>
      </c>
      <c r="F460" s="13">
        <v>2021.0</v>
      </c>
      <c r="G460" s="13">
        <v>46780.0</v>
      </c>
      <c r="H460" s="13">
        <v>3619.9</v>
      </c>
      <c r="I460" s="13">
        <f>' car_sales_data 1'!$G460*0.2</f>
        <v>9356</v>
      </c>
      <c r="J460" s="13" t="str">
        <f>TEXT(' car_sales_data 1'!$A460,"mmmm")</f>
        <v>August</v>
      </c>
      <c r="K460" s="13" t="str">
        <f>IF(' car_sales_data 1'!$G460&gt;40000,"Premium",
 IF(' car_sales_data 1'!$G460&gt;=20000,"Mid Range","Budget"))</f>
        <v>Premium</v>
      </c>
      <c r="L460" s="13">
        <f>YEAR(TODAY())-' car_sales_data 1'!$F460</f>
        <v>4</v>
      </c>
    </row>
    <row r="461" ht="15.75" customHeight="1">
      <c r="A461" s="16">
        <v>44971.0</v>
      </c>
      <c r="B461" s="13" t="s">
        <v>963</v>
      </c>
      <c r="C461" s="13" t="s">
        <v>964</v>
      </c>
      <c r="D461" s="13" t="s">
        <v>8</v>
      </c>
      <c r="E461" s="13" t="s">
        <v>51</v>
      </c>
      <c r="F461" s="13">
        <v>2019.0</v>
      </c>
      <c r="G461" s="13">
        <v>47011.0</v>
      </c>
      <c r="H461" s="13">
        <v>3112.67</v>
      </c>
      <c r="I461" s="13">
        <f>' car_sales_data 1'!$G461*0.2</f>
        <v>9402.2</v>
      </c>
      <c r="J461" s="13" t="str">
        <f>TEXT(' car_sales_data 1'!$A461,"mmmm")</f>
        <v>February</v>
      </c>
      <c r="K461" s="13" t="str">
        <f>IF(' car_sales_data 1'!$G461&gt;40000,"Premium",
 IF(' car_sales_data 1'!$G461&gt;=20000,"Mid Range","Budget"))</f>
        <v>Premium</v>
      </c>
      <c r="L461" s="13">
        <f>YEAR(TODAY())-' car_sales_data 1'!$F461</f>
        <v>6</v>
      </c>
    </row>
    <row r="462" ht="15.75" customHeight="1">
      <c r="A462" s="16">
        <v>45013.0</v>
      </c>
      <c r="B462" s="13" t="s">
        <v>965</v>
      </c>
      <c r="C462" s="13" t="s">
        <v>966</v>
      </c>
      <c r="D462" s="13" t="s">
        <v>14</v>
      </c>
      <c r="E462" s="13" t="s">
        <v>51</v>
      </c>
      <c r="F462" s="13">
        <v>2012.0</v>
      </c>
      <c r="G462" s="13">
        <v>48518.0</v>
      </c>
      <c r="H462" s="13">
        <v>6374.62</v>
      </c>
      <c r="I462" s="13">
        <f>' car_sales_data 1'!$G462*0.2</f>
        <v>9703.6</v>
      </c>
      <c r="J462" s="13" t="str">
        <f>TEXT(' car_sales_data 1'!$A462,"mmmm")</f>
        <v>March</v>
      </c>
      <c r="K462" s="13" t="str">
        <f>IF(' car_sales_data 1'!$G462&gt;40000,"Premium",
 IF(' car_sales_data 1'!$G462&gt;=20000,"Mid Range","Budget"))</f>
        <v>Premium</v>
      </c>
      <c r="L462" s="13">
        <f>YEAR(TODAY())-' car_sales_data 1'!$F462</f>
        <v>13</v>
      </c>
    </row>
    <row r="463" ht="15.75" customHeight="1">
      <c r="A463" s="16">
        <v>45001.0</v>
      </c>
      <c r="B463" s="13" t="s">
        <v>967</v>
      </c>
      <c r="C463" s="13" t="s">
        <v>968</v>
      </c>
      <c r="D463" s="13" t="s">
        <v>12</v>
      </c>
      <c r="E463" s="13" t="s">
        <v>62</v>
      </c>
      <c r="F463" s="13">
        <v>2019.0</v>
      </c>
      <c r="G463" s="13">
        <v>44162.0</v>
      </c>
      <c r="H463" s="13">
        <v>5661.06</v>
      </c>
      <c r="I463" s="13">
        <f>' car_sales_data 1'!$G463*0.2</f>
        <v>8832.4</v>
      </c>
      <c r="J463" s="13" t="str">
        <f>TEXT(' car_sales_data 1'!$A463,"mmmm")</f>
        <v>March</v>
      </c>
      <c r="K463" s="13" t="str">
        <f>IF(' car_sales_data 1'!$G463&gt;40000,"Premium",
 IF(' car_sales_data 1'!$G463&gt;=20000,"Mid Range","Budget"))</f>
        <v>Premium</v>
      </c>
      <c r="L463" s="13">
        <f>YEAR(TODAY())-' car_sales_data 1'!$F463</f>
        <v>6</v>
      </c>
    </row>
    <row r="464" ht="15.75" customHeight="1">
      <c r="A464" s="16">
        <v>44929.0</v>
      </c>
      <c r="B464" s="13" t="s">
        <v>969</v>
      </c>
      <c r="C464" s="13" t="s">
        <v>970</v>
      </c>
      <c r="D464" s="13" t="s">
        <v>8</v>
      </c>
      <c r="E464" s="13" t="s">
        <v>57</v>
      </c>
      <c r="F464" s="13">
        <v>2011.0</v>
      </c>
      <c r="G464" s="13">
        <v>20900.0</v>
      </c>
      <c r="H464" s="13">
        <v>2633.92</v>
      </c>
      <c r="I464" s="13">
        <f>' car_sales_data 1'!$G464*0.2</f>
        <v>4180</v>
      </c>
      <c r="J464" s="13" t="str">
        <f>TEXT(' car_sales_data 1'!$A464,"mmmm")</f>
        <v>January</v>
      </c>
      <c r="K464" s="13" t="str">
        <f>IF(' car_sales_data 1'!$G464&gt;40000,"Premium",
 IF(' car_sales_data 1'!$G464&gt;=20000,"Mid Range","Budget"))</f>
        <v>Mid Range</v>
      </c>
      <c r="L464" s="13">
        <f>YEAR(TODAY())-' car_sales_data 1'!$F464</f>
        <v>14</v>
      </c>
    </row>
    <row r="465" ht="15.75" customHeight="1">
      <c r="A465" s="16">
        <v>45032.0</v>
      </c>
      <c r="B465" s="13" t="s">
        <v>971</v>
      </c>
      <c r="C465" s="13" t="s">
        <v>972</v>
      </c>
      <c r="D465" s="13" t="s">
        <v>8</v>
      </c>
      <c r="E465" s="13" t="s">
        <v>54</v>
      </c>
      <c r="F465" s="13">
        <v>2020.0</v>
      </c>
      <c r="G465" s="13">
        <v>27795.0</v>
      </c>
      <c r="H465" s="13">
        <v>2056.7</v>
      </c>
      <c r="I465" s="13">
        <f>' car_sales_data 1'!$G465*0.2</f>
        <v>5559</v>
      </c>
      <c r="J465" s="13" t="str">
        <f>TEXT(' car_sales_data 1'!$A465,"mmmm")</f>
        <v>April</v>
      </c>
      <c r="K465" s="13" t="str">
        <f>IF(' car_sales_data 1'!$G465&gt;40000,"Premium",
 IF(' car_sales_data 1'!$G465&gt;=20000,"Mid Range","Budget"))</f>
        <v>Mid Range</v>
      </c>
      <c r="L465" s="13">
        <f>YEAR(TODAY())-' car_sales_data 1'!$F465</f>
        <v>5</v>
      </c>
    </row>
    <row r="466" ht="15.75" customHeight="1">
      <c r="A466" s="16">
        <v>44956.0</v>
      </c>
      <c r="B466" s="13" t="s">
        <v>973</v>
      </c>
      <c r="C466" s="13" t="s">
        <v>974</v>
      </c>
      <c r="D466" s="13" t="s">
        <v>8</v>
      </c>
      <c r="E466" s="13" t="s">
        <v>54</v>
      </c>
      <c r="F466" s="13">
        <v>2010.0</v>
      </c>
      <c r="G466" s="13">
        <v>14816.0</v>
      </c>
      <c r="H466" s="13">
        <v>1035.7</v>
      </c>
      <c r="I466" s="13">
        <f>' car_sales_data 1'!$G466*0.2</f>
        <v>2963.2</v>
      </c>
      <c r="J466" s="13" t="str">
        <f>TEXT(' car_sales_data 1'!$A466,"mmmm")</f>
        <v>January</v>
      </c>
      <c r="K466" s="13" t="str">
        <f>IF(' car_sales_data 1'!$G466&gt;40000,"Premium",
 IF(' car_sales_data 1'!$G466&gt;=20000,"Mid Range","Budget"))</f>
        <v>Budget</v>
      </c>
      <c r="L466" s="13">
        <f>YEAR(TODAY())-' car_sales_data 1'!$F466</f>
        <v>15</v>
      </c>
    </row>
    <row r="467" ht="15.75" customHeight="1">
      <c r="A467" s="16">
        <v>44976.0</v>
      </c>
      <c r="B467" s="13" t="s">
        <v>975</v>
      </c>
      <c r="C467" s="13" t="s">
        <v>976</v>
      </c>
      <c r="D467" s="13" t="s">
        <v>10</v>
      </c>
      <c r="E467" s="13" t="s">
        <v>54</v>
      </c>
      <c r="F467" s="13">
        <v>2019.0</v>
      </c>
      <c r="G467" s="13">
        <v>43586.0</v>
      </c>
      <c r="H467" s="13">
        <v>2528.01</v>
      </c>
      <c r="I467" s="13">
        <f>' car_sales_data 1'!$G467*0.2</f>
        <v>8717.2</v>
      </c>
      <c r="J467" s="13" t="str">
        <f>TEXT(' car_sales_data 1'!$A467,"mmmm")</f>
        <v>February</v>
      </c>
      <c r="K467" s="13" t="str">
        <f>IF(' car_sales_data 1'!$G467&gt;40000,"Premium",
 IF(' car_sales_data 1'!$G467&gt;=20000,"Mid Range","Budget"))</f>
        <v>Premium</v>
      </c>
      <c r="L467" s="13">
        <f>YEAR(TODAY())-' car_sales_data 1'!$F467</f>
        <v>6</v>
      </c>
    </row>
    <row r="468" ht="15.75" customHeight="1">
      <c r="A468" s="16">
        <v>44855.0</v>
      </c>
      <c r="B468" s="13" t="s">
        <v>977</v>
      </c>
      <c r="C468" s="13" t="s">
        <v>978</v>
      </c>
      <c r="D468" s="13" t="s">
        <v>10</v>
      </c>
      <c r="E468" s="13" t="s">
        <v>57</v>
      </c>
      <c r="F468" s="13">
        <v>2022.0</v>
      </c>
      <c r="G468" s="13">
        <v>48743.0</v>
      </c>
      <c r="H468" s="13">
        <v>5413.94</v>
      </c>
      <c r="I468" s="13">
        <f>' car_sales_data 1'!$G468*0.2</f>
        <v>9748.6</v>
      </c>
      <c r="J468" s="13" t="str">
        <f>TEXT(' car_sales_data 1'!$A468,"mmmm")</f>
        <v>October</v>
      </c>
      <c r="K468" s="13" t="str">
        <f>IF(' car_sales_data 1'!$G468&gt;40000,"Premium",
 IF(' car_sales_data 1'!$G468&gt;=20000,"Mid Range","Budget"))</f>
        <v>Premium</v>
      </c>
      <c r="L468" s="13">
        <f>YEAR(TODAY())-' car_sales_data 1'!$F468</f>
        <v>3</v>
      </c>
    </row>
    <row r="469" ht="15.75" customHeight="1">
      <c r="A469" s="16">
        <v>44856.0</v>
      </c>
      <c r="B469" s="13" t="s">
        <v>979</v>
      </c>
      <c r="C469" s="13" t="s">
        <v>980</v>
      </c>
      <c r="D469" s="13" t="s">
        <v>8</v>
      </c>
      <c r="E469" s="13" t="s">
        <v>57</v>
      </c>
      <c r="F469" s="13">
        <v>2021.0</v>
      </c>
      <c r="G469" s="13">
        <v>42308.0</v>
      </c>
      <c r="H469" s="13">
        <v>4379.15</v>
      </c>
      <c r="I469" s="13">
        <f>' car_sales_data 1'!$G469*0.2</f>
        <v>8461.6</v>
      </c>
      <c r="J469" s="13" t="str">
        <f>TEXT(' car_sales_data 1'!$A469,"mmmm")</f>
        <v>October</v>
      </c>
      <c r="K469" s="13" t="str">
        <f>IF(' car_sales_data 1'!$G469&gt;40000,"Premium",
 IF(' car_sales_data 1'!$G469&gt;=20000,"Mid Range","Budget"))</f>
        <v>Premium</v>
      </c>
      <c r="L469" s="13">
        <f>YEAR(TODAY())-' car_sales_data 1'!$F469</f>
        <v>4</v>
      </c>
    </row>
    <row r="470" ht="15.75" customHeight="1">
      <c r="A470" s="16">
        <v>44872.0</v>
      </c>
      <c r="B470" s="13" t="s">
        <v>981</v>
      </c>
      <c r="C470" s="13" t="s">
        <v>982</v>
      </c>
      <c r="D470" s="13" t="s">
        <v>10</v>
      </c>
      <c r="E470" s="13" t="s">
        <v>54</v>
      </c>
      <c r="F470" s="13">
        <v>2018.0</v>
      </c>
      <c r="G470" s="13">
        <v>46030.0</v>
      </c>
      <c r="H470" s="13">
        <v>6033.97</v>
      </c>
      <c r="I470" s="13">
        <f>' car_sales_data 1'!$G470*0.2</f>
        <v>9206</v>
      </c>
      <c r="J470" s="13" t="str">
        <f>TEXT(' car_sales_data 1'!$A470,"mmmm")</f>
        <v>November</v>
      </c>
      <c r="K470" s="13" t="str">
        <f>IF(' car_sales_data 1'!$G470&gt;40000,"Premium",
 IF(' car_sales_data 1'!$G470&gt;=20000,"Mid Range","Budget"))</f>
        <v>Premium</v>
      </c>
      <c r="L470" s="13">
        <f>YEAR(TODAY())-' car_sales_data 1'!$F470</f>
        <v>7</v>
      </c>
    </row>
    <row r="471" ht="15.75" customHeight="1">
      <c r="A471" s="16">
        <v>44829.0</v>
      </c>
      <c r="B471" s="13" t="s">
        <v>709</v>
      </c>
      <c r="C471" s="13" t="s">
        <v>983</v>
      </c>
      <c r="D471" s="13" t="s">
        <v>6</v>
      </c>
      <c r="E471" s="13" t="s">
        <v>62</v>
      </c>
      <c r="F471" s="13">
        <v>2010.0</v>
      </c>
      <c r="G471" s="13">
        <v>13906.0</v>
      </c>
      <c r="H471" s="13">
        <v>1332.8</v>
      </c>
      <c r="I471" s="13">
        <f>' car_sales_data 1'!$G471*0.2</f>
        <v>2781.2</v>
      </c>
      <c r="J471" s="13" t="str">
        <f>TEXT(' car_sales_data 1'!$A471,"mmmm")</f>
        <v>September</v>
      </c>
      <c r="K471" s="13" t="str">
        <f>IF(' car_sales_data 1'!$G471&gt;40000,"Premium",
 IF(' car_sales_data 1'!$G471&gt;=20000,"Mid Range","Budget"))</f>
        <v>Budget</v>
      </c>
      <c r="L471" s="13">
        <f>YEAR(TODAY())-' car_sales_data 1'!$F471</f>
        <v>15</v>
      </c>
    </row>
    <row r="472" ht="15.75" customHeight="1">
      <c r="A472" s="16">
        <v>44950.0</v>
      </c>
      <c r="B472" s="13" t="s">
        <v>984</v>
      </c>
      <c r="C472" s="13" t="s">
        <v>985</v>
      </c>
      <c r="D472" s="13" t="s">
        <v>6</v>
      </c>
      <c r="E472" s="13" t="s">
        <v>70</v>
      </c>
      <c r="F472" s="13">
        <v>2011.0</v>
      </c>
      <c r="G472" s="13">
        <v>34067.0</v>
      </c>
      <c r="H472" s="13">
        <v>4337.73</v>
      </c>
      <c r="I472" s="13">
        <f>' car_sales_data 1'!$G472*0.2</f>
        <v>6813.4</v>
      </c>
      <c r="J472" s="13" t="str">
        <f>TEXT(' car_sales_data 1'!$A472,"mmmm")</f>
        <v>January</v>
      </c>
      <c r="K472" s="13" t="str">
        <f>IF(' car_sales_data 1'!$G472&gt;40000,"Premium",
 IF(' car_sales_data 1'!$G472&gt;=20000,"Mid Range","Budget"))</f>
        <v>Mid Range</v>
      </c>
      <c r="L472" s="13">
        <f>YEAR(TODAY())-' car_sales_data 1'!$F472</f>
        <v>14</v>
      </c>
    </row>
    <row r="473" ht="15.75" customHeight="1">
      <c r="A473" s="16">
        <v>44719.0</v>
      </c>
      <c r="B473" s="13" t="s">
        <v>986</v>
      </c>
      <c r="C473" s="13" t="s">
        <v>987</v>
      </c>
      <c r="D473" s="13" t="s">
        <v>8</v>
      </c>
      <c r="E473" s="13" t="s">
        <v>62</v>
      </c>
      <c r="F473" s="13">
        <v>2012.0</v>
      </c>
      <c r="G473" s="13">
        <v>42964.0</v>
      </c>
      <c r="H473" s="13">
        <v>6085.93</v>
      </c>
      <c r="I473" s="13">
        <f>' car_sales_data 1'!$G473*0.2</f>
        <v>8592.8</v>
      </c>
      <c r="J473" s="13" t="str">
        <f>TEXT(' car_sales_data 1'!$A473,"mmmm")</f>
        <v>June</v>
      </c>
      <c r="K473" s="13" t="str">
        <f>IF(' car_sales_data 1'!$G473&gt;40000,"Premium",
 IF(' car_sales_data 1'!$G473&gt;=20000,"Mid Range","Budget"))</f>
        <v>Premium</v>
      </c>
      <c r="L473" s="13">
        <f>YEAR(TODAY())-' car_sales_data 1'!$F473</f>
        <v>13</v>
      </c>
    </row>
    <row r="474" ht="15.75" customHeight="1">
      <c r="A474" s="16">
        <v>44961.0</v>
      </c>
      <c r="B474" s="13" t="s">
        <v>988</v>
      </c>
      <c r="C474" s="13" t="s">
        <v>989</v>
      </c>
      <c r="D474" s="13" t="s">
        <v>14</v>
      </c>
      <c r="E474" s="13" t="s">
        <v>70</v>
      </c>
      <c r="F474" s="13">
        <v>2013.0</v>
      </c>
      <c r="G474" s="13">
        <v>45031.0</v>
      </c>
      <c r="H474" s="13">
        <v>3397.6</v>
      </c>
      <c r="I474" s="13">
        <f>' car_sales_data 1'!$G474*0.2</f>
        <v>9006.2</v>
      </c>
      <c r="J474" s="13" t="str">
        <f>TEXT(' car_sales_data 1'!$A474,"mmmm")</f>
        <v>February</v>
      </c>
      <c r="K474" s="13" t="str">
        <f>IF(' car_sales_data 1'!$G474&gt;40000,"Premium",
 IF(' car_sales_data 1'!$G474&gt;=20000,"Mid Range","Budget"))</f>
        <v>Premium</v>
      </c>
      <c r="L474" s="13">
        <f>YEAR(TODAY())-' car_sales_data 1'!$F474</f>
        <v>12</v>
      </c>
    </row>
    <row r="475" ht="15.75" customHeight="1">
      <c r="A475" s="16">
        <v>44862.0</v>
      </c>
      <c r="B475" s="13" t="s">
        <v>990</v>
      </c>
      <c r="C475" s="13" t="s">
        <v>991</v>
      </c>
      <c r="D475" s="13" t="s">
        <v>14</v>
      </c>
      <c r="E475" s="13" t="s">
        <v>51</v>
      </c>
      <c r="F475" s="13">
        <v>2012.0</v>
      </c>
      <c r="G475" s="13">
        <v>43422.0</v>
      </c>
      <c r="H475" s="13">
        <v>3838.59</v>
      </c>
      <c r="I475" s="13">
        <f>' car_sales_data 1'!$G475*0.2</f>
        <v>8684.4</v>
      </c>
      <c r="J475" s="13" t="str">
        <f>TEXT(' car_sales_data 1'!$A475,"mmmm")</f>
        <v>October</v>
      </c>
      <c r="K475" s="13" t="str">
        <f>IF(' car_sales_data 1'!$G475&gt;40000,"Premium",
 IF(' car_sales_data 1'!$G475&gt;=20000,"Mid Range","Budget"))</f>
        <v>Premium</v>
      </c>
      <c r="L475" s="13">
        <f>YEAR(TODAY())-' car_sales_data 1'!$F475</f>
        <v>13</v>
      </c>
    </row>
    <row r="476" ht="15.75" customHeight="1">
      <c r="A476" s="16">
        <v>44946.0</v>
      </c>
      <c r="B476" s="13" t="s">
        <v>992</v>
      </c>
      <c r="C476" s="13" t="s">
        <v>993</v>
      </c>
      <c r="D476" s="13" t="s">
        <v>12</v>
      </c>
      <c r="E476" s="13" t="s">
        <v>70</v>
      </c>
      <c r="F476" s="13">
        <v>2022.0</v>
      </c>
      <c r="G476" s="13">
        <v>13530.0</v>
      </c>
      <c r="H476" s="13">
        <v>1504.67</v>
      </c>
      <c r="I476" s="13">
        <f>' car_sales_data 1'!$G476*0.2</f>
        <v>2706</v>
      </c>
      <c r="J476" s="13" t="str">
        <f>TEXT(' car_sales_data 1'!$A476,"mmmm")</f>
        <v>January</v>
      </c>
      <c r="K476" s="13" t="str">
        <f>IF(' car_sales_data 1'!$G476&gt;40000,"Premium",
 IF(' car_sales_data 1'!$G476&gt;=20000,"Mid Range","Budget"))</f>
        <v>Budget</v>
      </c>
      <c r="L476" s="13">
        <f>YEAR(TODAY())-' car_sales_data 1'!$F476</f>
        <v>3</v>
      </c>
    </row>
    <row r="477" ht="15.75" customHeight="1">
      <c r="A477" s="16">
        <v>44813.0</v>
      </c>
      <c r="B477" s="13" t="s">
        <v>994</v>
      </c>
      <c r="C477" s="13" t="s">
        <v>995</v>
      </c>
      <c r="D477" s="13" t="s">
        <v>8</v>
      </c>
      <c r="E477" s="13" t="s">
        <v>54</v>
      </c>
      <c r="F477" s="13">
        <v>2012.0</v>
      </c>
      <c r="G477" s="13">
        <v>12785.0</v>
      </c>
      <c r="H477" s="13">
        <v>961.37</v>
      </c>
      <c r="I477" s="13">
        <f>' car_sales_data 1'!$G477*0.2</f>
        <v>2557</v>
      </c>
      <c r="J477" s="13" t="str">
        <f>TEXT(' car_sales_data 1'!$A477,"mmmm")</f>
        <v>September</v>
      </c>
      <c r="K477" s="13" t="str">
        <f>IF(' car_sales_data 1'!$G477&gt;40000,"Premium",
 IF(' car_sales_data 1'!$G477&gt;=20000,"Mid Range","Budget"))</f>
        <v>Budget</v>
      </c>
      <c r="L477" s="13">
        <f>YEAR(TODAY())-' car_sales_data 1'!$F477</f>
        <v>13</v>
      </c>
    </row>
    <row r="478" ht="15.75" customHeight="1">
      <c r="A478" s="16">
        <v>44887.0</v>
      </c>
      <c r="B478" s="13" t="s">
        <v>996</v>
      </c>
      <c r="C478" s="13" t="s">
        <v>997</v>
      </c>
      <c r="D478" s="13" t="s">
        <v>12</v>
      </c>
      <c r="E478" s="13" t="s">
        <v>57</v>
      </c>
      <c r="F478" s="13">
        <v>2014.0</v>
      </c>
      <c r="G478" s="13">
        <v>24407.0</v>
      </c>
      <c r="H478" s="13">
        <v>2834.08</v>
      </c>
      <c r="I478" s="13">
        <f>' car_sales_data 1'!$G478*0.2</f>
        <v>4881.4</v>
      </c>
      <c r="J478" s="13" t="str">
        <f>TEXT(' car_sales_data 1'!$A478,"mmmm")</f>
        <v>November</v>
      </c>
      <c r="K478" s="13" t="str">
        <f>IF(' car_sales_data 1'!$G478&gt;40000,"Premium",
 IF(' car_sales_data 1'!$G478&gt;=20000,"Mid Range","Budget"))</f>
        <v>Mid Range</v>
      </c>
      <c r="L478" s="13">
        <f>YEAR(TODAY())-' car_sales_data 1'!$F478</f>
        <v>11</v>
      </c>
    </row>
    <row r="479" ht="15.75" customHeight="1">
      <c r="A479" s="16">
        <v>44763.0</v>
      </c>
      <c r="B479" s="13" t="s">
        <v>998</v>
      </c>
      <c r="C479" s="13" t="s">
        <v>999</v>
      </c>
      <c r="D479" s="13" t="s">
        <v>14</v>
      </c>
      <c r="E479" s="13" t="s">
        <v>54</v>
      </c>
      <c r="F479" s="13">
        <v>2014.0</v>
      </c>
      <c r="G479" s="13">
        <v>46329.0</v>
      </c>
      <c r="H479" s="13">
        <v>2485.77</v>
      </c>
      <c r="I479" s="13">
        <f>' car_sales_data 1'!$G479*0.2</f>
        <v>9265.8</v>
      </c>
      <c r="J479" s="13" t="str">
        <f>TEXT(' car_sales_data 1'!$A479,"mmmm")</f>
        <v>July</v>
      </c>
      <c r="K479" s="13" t="str">
        <f>IF(' car_sales_data 1'!$G479&gt;40000,"Premium",
 IF(' car_sales_data 1'!$G479&gt;=20000,"Mid Range","Budget"))</f>
        <v>Premium</v>
      </c>
      <c r="L479" s="13">
        <f>YEAR(TODAY())-' car_sales_data 1'!$F479</f>
        <v>11</v>
      </c>
    </row>
    <row r="480" ht="15.75" customHeight="1">
      <c r="A480" s="16">
        <v>44927.0</v>
      </c>
      <c r="B480" s="13" t="s">
        <v>1000</v>
      </c>
      <c r="C480" s="13" t="s">
        <v>1001</v>
      </c>
      <c r="D480" s="13" t="s">
        <v>10</v>
      </c>
      <c r="E480" s="13" t="s">
        <v>51</v>
      </c>
      <c r="F480" s="13">
        <v>2013.0</v>
      </c>
      <c r="G480" s="13">
        <v>20067.0</v>
      </c>
      <c r="H480" s="13">
        <v>2972.97</v>
      </c>
      <c r="I480" s="13">
        <f>' car_sales_data 1'!$G480*0.2</f>
        <v>4013.4</v>
      </c>
      <c r="J480" s="13" t="str">
        <f>TEXT(' car_sales_data 1'!$A480,"mmmm")</f>
        <v>January</v>
      </c>
      <c r="K480" s="13" t="str">
        <f>IF(' car_sales_data 1'!$G480&gt;40000,"Premium",
 IF(' car_sales_data 1'!$G480&gt;=20000,"Mid Range","Budget"))</f>
        <v>Mid Range</v>
      </c>
      <c r="L480" s="13">
        <f>YEAR(TODAY())-' car_sales_data 1'!$F480</f>
        <v>12</v>
      </c>
    </row>
    <row r="481" ht="15.75" customHeight="1">
      <c r="A481" s="16">
        <v>44911.0</v>
      </c>
      <c r="B481" s="13" t="s">
        <v>1002</v>
      </c>
      <c r="C481" s="13" t="s">
        <v>1003</v>
      </c>
      <c r="D481" s="13" t="s">
        <v>12</v>
      </c>
      <c r="E481" s="13" t="s">
        <v>54</v>
      </c>
      <c r="F481" s="13">
        <v>2014.0</v>
      </c>
      <c r="G481" s="13">
        <v>21084.0</v>
      </c>
      <c r="H481" s="13">
        <v>1126.4</v>
      </c>
      <c r="I481" s="13">
        <f>' car_sales_data 1'!$G481*0.2</f>
        <v>4216.8</v>
      </c>
      <c r="J481" s="13" t="str">
        <f>TEXT(' car_sales_data 1'!$A481,"mmmm")</f>
        <v>December</v>
      </c>
      <c r="K481" s="13" t="str">
        <f>IF(' car_sales_data 1'!$G481&gt;40000,"Premium",
 IF(' car_sales_data 1'!$G481&gt;=20000,"Mid Range","Budget"))</f>
        <v>Mid Range</v>
      </c>
      <c r="L481" s="13">
        <f>YEAR(TODAY())-' car_sales_data 1'!$F481</f>
        <v>11</v>
      </c>
    </row>
    <row r="482" ht="15.75" customHeight="1">
      <c r="A482" s="16">
        <v>45011.0</v>
      </c>
      <c r="B482" s="13" t="s">
        <v>1004</v>
      </c>
      <c r="C482" s="13" t="s">
        <v>1005</v>
      </c>
      <c r="D482" s="13" t="s">
        <v>6</v>
      </c>
      <c r="E482" s="13" t="s">
        <v>54</v>
      </c>
      <c r="F482" s="13">
        <v>2010.0</v>
      </c>
      <c r="G482" s="13">
        <v>25761.0</v>
      </c>
      <c r="H482" s="13">
        <v>3313.79</v>
      </c>
      <c r="I482" s="13">
        <f>' car_sales_data 1'!$G482*0.2</f>
        <v>5152.2</v>
      </c>
      <c r="J482" s="13" t="str">
        <f>TEXT(' car_sales_data 1'!$A482,"mmmm")</f>
        <v>March</v>
      </c>
      <c r="K482" s="13" t="str">
        <f>IF(' car_sales_data 1'!$G482&gt;40000,"Premium",
 IF(' car_sales_data 1'!$G482&gt;=20000,"Mid Range","Budget"))</f>
        <v>Mid Range</v>
      </c>
      <c r="L482" s="13">
        <f>YEAR(TODAY())-' car_sales_data 1'!$F482</f>
        <v>15</v>
      </c>
    </row>
    <row r="483" ht="15.75" customHeight="1">
      <c r="A483" s="16">
        <v>44687.0</v>
      </c>
      <c r="B483" s="13" t="s">
        <v>1006</v>
      </c>
      <c r="C483" s="13" t="s">
        <v>1007</v>
      </c>
      <c r="D483" s="13" t="s">
        <v>10</v>
      </c>
      <c r="E483" s="13" t="s">
        <v>51</v>
      </c>
      <c r="F483" s="13">
        <v>2022.0</v>
      </c>
      <c r="G483" s="13">
        <v>30977.0</v>
      </c>
      <c r="H483" s="13">
        <v>3470.57</v>
      </c>
      <c r="I483" s="13">
        <f>' car_sales_data 1'!$G483*0.2</f>
        <v>6195.4</v>
      </c>
      <c r="J483" s="13" t="str">
        <f>TEXT(' car_sales_data 1'!$A483,"mmmm")</f>
        <v>May</v>
      </c>
      <c r="K483" s="13" t="str">
        <f>IF(' car_sales_data 1'!$G483&gt;40000,"Premium",
 IF(' car_sales_data 1'!$G483&gt;=20000,"Mid Range","Budget"))</f>
        <v>Mid Range</v>
      </c>
      <c r="L483" s="13">
        <f>YEAR(TODAY())-' car_sales_data 1'!$F483</f>
        <v>3</v>
      </c>
    </row>
    <row r="484" ht="15.75" customHeight="1">
      <c r="A484" s="16">
        <v>44973.0</v>
      </c>
      <c r="B484" s="13" t="s">
        <v>1008</v>
      </c>
      <c r="C484" s="13" t="s">
        <v>1009</v>
      </c>
      <c r="D484" s="13" t="s">
        <v>8</v>
      </c>
      <c r="E484" s="13" t="s">
        <v>62</v>
      </c>
      <c r="F484" s="13">
        <v>2012.0</v>
      </c>
      <c r="G484" s="13">
        <v>15083.0</v>
      </c>
      <c r="H484" s="13">
        <v>1549.75</v>
      </c>
      <c r="I484" s="13">
        <f>' car_sales_data 1'!$G484*0.2</f>
        <v>3016.6</v>
      </c>
      <c r="J484" s="13" t="str">
        <f>TEXT(' car_sales_data 1'!$A484,"mmmm")</f>
        <v>February</v>
      </c>
      <c r="K484" s="13" t="str">
        <f>IF(' car_sales_data 1'!$G484&gt;40000,"Premium",
 IF(' car_sales_data 1'!$G484&gt;=20000,"Mid Range","Budget"))</f>
        <v>Budget</v>
      </c>
      <c r="L484" s="13">
        <f>YEAR(TODAY())-' car_sales_data 1'!$F484</f>
        <v>13</v>
      </c>
    </row>
    <row r="485" ht="15.75" customHeight="1">
      <c r="A485" s="16">
        <v>44745.0</v>
      </c>
      <c r="B485" s="13" t="s">
        <v>1010</v>
      </c>
      <c r="C485" s="13" t="s">
        <v>1011</v>
      </c>
      <c r="D485" s="13" t="s">
        <v>14</v>
      </c>
      <c r="E485" s="13" t="s">
        <v>57</v>
      </c>
      <c r="F485" s="13">
        <v>2022.0</v>
      </c>
      <c r="G485" s="13">
        <v>29071.0</v>
      </c>
      <c r="H485" s="13">
        <v>3438.71</v>
      </c>
      <c r="I485" s="13">
        <f>' car_sales_data 1'!$G485*0.2</f>
        <v>5814.2</v>
      </c>
      <c r="J485" s="13" t="str">
        <f>TEXT(' car_sales_data 1'!$A485,"mmmm")</f>
        <v>July</v>
      </c>
      <c r="K485" s="13" t="str">
        <f>IF(' car_sales_data 1'!$G485&gt;40000,"Premium",
 IF(' car_sales_data 1'!$G485&gt;=20000,"Mid Range","Budget"))</f>
        <v>Mid Range</v>
      </c>
      <c r="L485" s="13">
        <f>YEAR(TODAY())-' car_sales_data 1'!$F485</f>
        <v>3</v>
      </c>
    </row>
    <row r="486" ht="15.75" customHeight="1">
      <c r="A486" s="16">
        <v>45043.0</v>
      </c>
      <c r="B486" s="13" t="s">
        <v>1012</v>
      </c>
      <c r="C486" s="13" t="s">
        <v>1013</v>
      </c>
      <c r="D486" s="13" t="s">
        <v>8</v>
      </c>
      <c r="E486" s="13" t="s">
        <v>62</v>
      </c>
      <c r="F486" s="13">
        <v>2011.0</v>
      </c>
      <c r="G486" s="13">
        <v>32373.0</v>
      </c>
      <c r="H486" s="13">
        <v>2893.08</v>
      </c>
      <c r="I486" s="13">
        <f>' car_sales_data 1'!$G486*0.2</f>
        <v>6474.6</v>
      </c>
      <c r="J486" s="13" t="str">
        <f>TEXT(' car_sales_data 1'!$A486,"mmmm")</f>
        <v>April</v>
      </c>
      <c r="K486" s="13" t="str">
        <f>IF(' car_sales_data 1'!$G486&gt;40000,"Premium",
 IF(' car_sales_data 1'!$G486&gt;=20000,"Mid Range","Budget"))</f>
        <v>Mid Range</v>
      </c>
      <c r="L486" s="13">
        <f>YEAR(TODAY())-' car_sales_data 1'!$F486</f>
        <v>14</v>
      </c>
    </row>
    <row r="487" ht="15.75" customHeight="1">
      <c r="A487" s="16">
        <v>44912.0</v>
      </c>
      <c r="B487" s="13" t="s">
        <v>1014</v>
      </c>
      <c r="C487" s="13" t="s">
        <v>1015</v>
      </c>
      <c r="D487" s="13" t="s">
        <v>6</v>
      </c>
      <c r="E487" s="13" t="s">
        <v>57</v>
      </c>
      <c r="F487" s="13">
        <v>2015.0</v>
      </c>
      <c r="G487" s="13">
        <v>17960.0</v>
      </c>
      <c r="H487" s="13">
        <v>1304.33</v>
      </c>
      <c r="I487" s="13">
        <f>' car_sales_data 1'!$G487*0.2</f>
        <v>3592</v>
      </c>
      <c r="J487" s="13" t="str">
        <f>TEXT(' car_sales_data 1'!$A487,"mmmm")</f>
        <v>December</v>
      </c>
      <c r="K487" s="13" t="str">
        <f>IF(' car_sales_data 1'!$G487&gt;40000,"Premium",
 IF(' car_sales_data 1'!$G487&gt;=20000,"Mid Range","Budget"))</f>
        <v>Budget</v>
      </c>
      <c r="L487" s="13">
        <f>YEAR(TODAY())-' car_sales_data 1'!$F487</f>
        <v>10</v>
      </c>
    </row>
    <row r="488" ht="15.75" customHeight="1">
      <c r="A488" s="16">
        <v>44977.0</v>
      </c>
      <c r="B488" s="13" t="s">
        <v>1016</v>
      </c>
      <c r="C488" s="13" t="s">
        <v>1017</v>
      </c>
      <c r="D488" s="13" t="s">
        <v>8</v>
      </c>
      <c r="E488" s="13" t="s">
        <v>54</v>
      </c>
      <c r="F488" s="13">
        <v>2011.0</v>
      </c>
      <c r="G488" s="13">
        <v>12386.0</v>
      </c>
      <c r="H488" s="13">
        <v>1807.59</v>
      </c>
      <c r="I488" s="13">
        <f>' car_sales_data 1'!$G488*0.2</f>
        <v>2477.2</v>
      </c>
      <c r="J488" s="13" t="str">
        <f>TEXT(' car_sales_data 1'!$A488,"mmmm")</f>
        <v>February</v>
      </c>
      <c r="K488" s="13" t="str">
        <f>IF(' car_sales_data 1'!$G488&gt;40000,"Premium",
 IF(' car_sales_data 1'!$G488&gt;=20000,"Mid Range","Budget"))</f>
        <v>Budget</v>
      </c>
      <c r="L488" s="13">
        <f>YEAR(TODAY())-' car_sales_data 1'!$F488</f>
        <v>14</v>
      </c>
    </row>
    <row r="489" ht="15.75" customHeight="1">
      <c r="A489" s="16">
        <v>44942.0</v>
      </c>
      <c r="B489" s="13" t="s">
        <v>1018</v>
      </c>
      <c r="C489" s="13" t="s">
        <v>1019</v>
      </c>
      <c r="D489" s="13" t="s">
        <v>8</v>
      </c>
      <c r="E489" s="13" t="s">
        <v>57</v>
      </c>
      <c r="F489" s="13">
        <v>2015.0</v>
      </c>
      <c r="G489" s="13">
        <v>49402.0</v>
      </c>
      <c r="H489" s="13">
        <v>2709.14</v>
      </c>
      <c r="I489" s="13">
        <f>' car_sales_data 1'!$G489*0.2</f>
        <v>9880.4</v>
      </c>
      <c r="J489" s="13" t="str">
        <f>TEXT(' car_sales_data 1'!$A489,"mmmm")</f>
        <v>January</v>
      </c>
      <c r="K489" s="13" t="str">
        <f>IF(' car_sales_data 1'!$G489&gt;40000,"Premium",
 IF(' car_sales_data 1'!$G489&gt;=20000,"Mid Range","Budget"))</f>
        <v>Premium</v>
      </c>
      <c r="L489" s="13">
        <f>YEAR(TODAY())-' car_sales_data 1'!$F489</f>
        <v>10</v>
      </c>
    </row>
    <row r="490" ht="15.75" customHeight="1">
      <c r="A490" s="16">
        <v>44917.0</v>
      </c>
      <c r="B490" s="13" t="s">
        <v>1020</v>
      </c>
      <c r="C490" s="13" t="s">
        <v>1021</v>
      </c>
      <c r="D490" s="13" t="s">
        <v>6</v>
      </c>
      <c r="E490" s="13" t="s">
        <v>70</v>
      </c>
      <c r="F490" s="13">
        <v>2016.0</v>
      </c>
      <c r="G490" s="13">
        <v>49985.0</v>
      </c>
      <c r="H490" s="13">
        <v>6643.09</v>
      </c>
      <c r="I490" s="13">
        <f>' car_sales_data 1'!$G490*0.2</f>
        <v>9997</v>
      </c>
      <c r="J490" s="13" t="str">
        <f>TEXT(' car_sales_data 1'!$A490,"mmmm")</f>
        <v>December</v>
      </c>
      <c r="K490" s="13" t="str">
        <f>IF(' car_sales_data 1'!$G490&gt;40000,"Premium",
 IF(' car_sales_data 1'!$G490&gt;=20000,"Mid Range","Budget"))</f>
        <v>Premium</v>
      </c>
      <c r="L490" s="13">
        <f>YEAR(TODAY())-' car_sales_data 1'!$F490</f>
        <v>9</v>
      </c>
    </row>
    <row r="491" ht="15.75" customHeight="1">
      <c r="A491" s="16">
        <v>44854.0</v>
      </c>
      <c r="B491" s="13" t="s">
        <v>1022</v>
      </c>
      <c r="C491" s="13" t="s">
        <v>1023</v>
      </c>
      <c r="D491" s="13" t="s">
        <v>10</v>
      </c>
      <c r="E491" s="13" t="s">
        <v>57</v>
      </c>
      <c r="F491" s="13">
        <v>2022.0</v>
      </c>
      <c r="G491" s="13">
        <v>27981.0</v>
      </c>
      <c r="H491" s="13">
        <v>2902.47</v>
      </c>
      <c r="I491" s="13">
        <f>' car_sales_data 1'!$G491*0.2</f>
        <v>5596.2</v>
      </c>
      <c r="J491" s="13" t="str">
        <f>TEXT(' car_sales_data 1'!$A491,"mmmm")</f>
        <v>October</v>
      </c>
      <c r="K491" s="13" t="str">
        <f>IF(' car_sales_data 1'!$G491&gt;40000,"Premium",
 IF(' car_sales_data 1'!$G491&gt;=20000,"Mid Range","Budget"))</f>
        <v>Mid Range</v>
      </c>
      <c r="L491" s="13">
        <f>YEAR(TODAY())-' car_sales_data 1'!$F491</f>
        <v>3</v>
      </c>
    </row>
    <row r="492" ht="15.75" customHeight="1">
      <c r="A492" s="16">
        <v>44707.0</v>
      </c>
      <c r="B492" s="13" t="s">
        <v>1024</v>
      </c>
      <c r="C492" s="13" t="s">
        <v>1025</v>
      </c>
      <c r="D492" s="13" t="s">
        <v>8</v>
      </c>
      <c r="E492" s="13" t="s">
        <v>54</v>
      </c>
      <c r="F492" s="13">
        <v>2016.0</v>
      </c>
      <c r="G492" s="13">
        <v>43773.0</v>
      </c>
      <c r="H492" s="13">
        <v>5443.09</v>
      </c>
      <c r="I492" s="13">
        <f>' car_sales_data 1'!$G492*0.2</f>
        <v>8754.6</v>
      </c>
      <c r="J492" s="13" t="str">
        <f>TEXT(' car_sales_data 1'!$A492,"mmmm")</f>
        <v>May</v>
      </c>
      <c r="K492" s="13" t="str">
        <f>IF(' car_sales_data 1'!$G492&gt;40000,"Premium",
 IF(' car_sales_data 1'!$G492&gt;=20000,"Mid Range","Budget"))</f>
        <v>Premium</v>
      </c>
      <c r="L492" s="13">
        <f>YEAR(TODAY())-' car_sales_data 1'!$F492</f>
        <v>9</v>
      </c>
    </row>
    <row r="493" ht="15.75" customHeight="1">
      <c r="A493" s="16">
        <v>44789.0</v>
      </c>
      <c r="B493" s="13" t="s">
        <v>1026</v>
      </c>
      <c r="C493" s="13" t="s">
        <v>1027</v>
      </c>
      <c r="D493" s="13" t="s">
        <v>10</v>
      </c>
      <c r="E493" s="13" t="s">
        <v>70</v>
      </c>
      <c r="F493" s="13">
        <v>2011.0</v>
      </c>
      <c r="G493" s="13">
        <v>15883.0</v>
      </c>
      <c r="H493" s="13">
        <v>1683.88</v>
      </c>
      <c r="I493" s="13">
        <f>' car_sales_data 1'!$G493*0.2</f>
        <v>3176.6</v>
      </c>
      <c r="J493" s="13" t="str">
        <f>TEXT(' car_sales_data 1'!$A493,"mmmm")</f>
        <v>August</v>
      </c>
      <c r="K493" s="13" t="str">
        <f>IF(' car_sales_data 1'!$G493&gt;40000,"Premium",
 IF(' car_sales_data 1'!$G493&gt;=20000,"Mid Range","Budget"))</f>
        <v>Budget</v>
      </c>
      <c r="L493" s="13">
        <f>YEAR(TODAY())-' car_sales_data 1'!$F493</f>
        <v>14</v>
      </c>
    </row>
    <row r="494" ht="15.75" customHeight="1">
      <c r="A494" s="16">
        <v>44845.0</v>
      </c>
      <c r="B494" s="13" t="s">
        <v>1028</v>
      </c>
      <c r="C494" s="13" t="s">
        <v>1029</v>
      </c>
      <c r="D494" s="13" t="s">
        <v>8</v>
      </c>
      <c r="E494" s="13" t="s">
        <v>57</v>
      </c>
      <c r="F494" s="13">
        <v>2010.0</v>
      </c>
      <c r="G494" s="13">
        <v>17750.0</v>
      </c>
      <c r="H494" s="13">
        <v>2211.06</v>
      </c>
      <c r="I494" s="13">
        <f>' car_sales_data 1'!$G494*0.2</f>
        <v>3550</v>
      </c>
      <c r="J494" s="13" t="str">
        <f>TEXT(' car_sales_data 1'!$A494,"mmmm")</f>
        <v>October</v>
      </c>
      <c r="K494" s="13" t="str">
        <f>IF(' car_sales_data 1'!$G494&gt;40000,"Premium",
 IF(' car_sales_data 1'!$G494&gt;=20000,"Mid Range","Budget"))</f>
        <v>Budget</v>
      </c>
      <c r="L494" s="13">
        <f>YEAR(TODAY())-' car_sales_data 1'!$F494</f>
        <v>15</v>
      </c>
    </row>
    <row r="495" ht="15.75" customHeight="1">
      <c r="A495" s="16">
        <v>44855.0</v>
      </c>
      <c r="B495" s="13" t="s">
        <v>1030</v>
      </c>
      <c r="C495" s="13" t="s">
        <v>1031</v>
      </c>
      <c r="D495" s="13" t="s">
        <v>12</v>
      </c>
      <c r="E495" s="13" t="s">
        <v>70</v>
      </c>
      <c r="F495" s="13">
        <v>2011.0</v>
      </c>
      <c r="G495" s="13">
        <v>26017.0</v>
      </c>
      <c r="H495" s="13">
        <v>2169.6</v>
      </c>
      <c r="I495" s="13">
        <f>' car_sales_data 1'!$G495*0.2</f>
        <v>5203.4</v>
      </c>
      <c r="J495" s="13" t="str">
        <f>TEXT(' car_sales_data 1'!$A495,"mmmm")</f>
        <v>October</v>
      </c>
      <c r="K495" s="13" t="str">
        <f>IF(' car_sales_data 1'!$G495&gt;40000,"Premium",
 IF(' car_sales_data 1'!$G495&gt;=20000,"Mid Range","Budget"))</f>
        <v>Mid Range</v>
      </c>
      <c r="L495" s="13">
        <f>YEAR(TODAY())-' car_sales_data 1'!$F495</f>
        <v>14</v>
      </c>
    </row>
    <row r="496" ht="15.75" customHeight="1">
      <c r="A496" s="16">
        <v>44957.0</v>
      </c>
      <c r="B496" s="13" t="s">
        <v>1032</v>
      </c>
      <c r="C496" s="13" t="s">
        <v>1033</v>
      </c>
      <c r="D496" s="13" t="s">
        <v>14</v>
      </c>
      <c r="E496" s="13" t="s">
        <v>54</v>
      </c>
      <c r="F496" s="13">
        <v>2018.0</v>
      </c>
      <c r="G496" s="13">
        <v>13871.0</v>
      </c>
      <c r="H496" s="13">
        <v>1859.32</v>
      </c>
      <c r="I496" s="13">
        <f>' car_sales_data 1'!$G496*0.2</f>
        <v>2774.2</v>
      </c>
      <c r="J496" s="13" t="str">
        <f>TEXT(' car_sales_data 1'!$A496,"mmmm")</f>
        <v>January</v>
      </c>
      <c r="K496" s="13" t="str">
        <f>IF(' car_sales_data 1'!$G496&gt;40000,"Premium",
 IF(' car_sales_data 1'!$G496&gt;=20000,"Mid Range","Budget"))</f>
        <v>Budget</v>
      </c>
      <c r="L496" s="13">
        <f>YEAR(TODAY())-' car_sales_data 1'!$F496</f>
        <v>7</v>
      </c>
    </row>
    <row r="497" ht="15.75" customHeight="1">
      <c r="A497" s="16">
        <v>44792.0</v>
      </c>
      <c r="B497" s="13" t="s">
        <v>13</v>
      </c>
      <c r="C497" s="13" t="s">
        <v>1034</v>
      </c>
      <c r="D497" s="13" t="s">
        <v>14</v>
      </c>
      <c r="E497" s="13" t="s">
        <v>70</v>
      </c>
      <c r="F497" s="13">
        <v>2012.0</v>
      </c>
      <c r="G497" s="13">
        <v>46203.0</v>
      </c>
      <c r="H497" s="13">
        <v>3134.93</v>
      </c>
      <c r="I497" s="13">
        <f>' car_sales_data 1'!$G497*0.2</f>
        <v>9240.6</v>
      </c>
      <c r="J497" s="13" t="str">
        <f>TEXT(' car_sales_data 1'!$A497,"mmmm")</f>
        <v>August</v>
      </c>
      <c r="K497" s="13" t="str">
        <f>IF(' car_sales_data 1'!$G497&gt;40000,"Premium",
 IF(' car_sales_data 1'!$G497&gt;=20000,"Mid Range","Budget"))</f>
        <v>Premium</v>
      </c>
      <c r="L497" s="13">
        <f>YEAR(TODAY())-' car_sales_data 1'!$F497</f>
        <v>13</v>
      </c>
    </row>
    <row r="498" ht="15.75" customHeight="1">
      <c r="A498" s="16">
        <v>44950.0</v>
      </c>
      <c r="B498" s="13" t="s">
        <v>1035</v>
      </c>
      <c r="C498" s="13" t="s">
        <v>1036</v>
      </c>
      <c r="D498" s="13" t="s">
        <v>8</v>
      </c>
      <c r="E498" s="13" t="s">
        <v>54</v>
      </c>
      <c r="F498" s="13">
        <v>2018.0</v>
      </c>
      <c r="G498" s="13">
        <v>29655.0</v>
      </c>
      <c r="H498" s="13">
        <v>2436.24</v>
      </c>
      <c r="I498" s="13">
        <f>' car_sales_data 1'!$G498*0.2</f>
        <v>5931</v>
      </c>
      <c r="J498" s="13" t="str">
        <f>TEXT(' car_sales_data 1'!$A498,"mmmm")</f>
        <v>January</v>
      </c>
      <c r="K498" s="13" t="str">
        <f>IF(' car_sales_data 1'!$G498&gt;40000,"Premium",
 IF(' car_sales_data 1'!$G498&gt;=20000,"Mid Range","Budget"))</f>
        <v>Mid Range</v>
      </c>
      <c r="L498" s="13">
        <f>YEAR(TODAY())-' car_sales_data 1'!$F498</f>
        <v>7</v>
      </c>
    </row>
    <row r="499" ht="15.75" customHeight="1">
      <c r="A499" s="16">
        <v>44882.0</v>
      </c>
      <c r="B499" s="13" t="s">
        <v>1037</v>
      </c>
      <c r="C499" s="13" t="s">
        <v>1038</v>
      </c>
      <c r="D499" s="13" t="s">
        <v>6</v>
      </c>
      <c r="E499" s="13" t="s">
        <v>51</v>
      </c>
      <c r="F499" s="13">
        <v>2022.0</v>
      </c>
      <c r="G499" s="13">
        <v>33110.0</v>
      </c>
      <c r="H499" s="13">
        <v>4048.89</v>
      </c>
      <c r="I499" s="13">
        <f>' car_sales_data 1'!$G499*0.2</f>
        <v>6622</v>
      </c>
      <c r="J499" s="13" t="str">
        <f>TEXT(' car_sales_data 1'!$A499,"mmmm")</f>
        <v>November</v>
      </c>
      <c r="K499" s="13" t="str">
        <f>IF(' car_sales_data 1'!$G499&gt;40000,"Premium",
 IF(' car_sales_data 1'!$G499&gt;=20000,"Mid Range","Budget"))</f>
        <v>Mid Range</v>
      </c>
      <c r="L499" s="13">
        <f>YEAR(TODAY())-' car_sales_data 1'!$F499</f>
        <v>3</v>
      </c>
    </row>
    <row r="500" ht="15.75" customHeight="1">
      <c r="A500" s="16">
        <v>44992.0</v>
      </c>
      <c r="B500" s="13" t="s">
        <v>1039</v>
      </c>
      <c r="C500" s="13" t="s">
        <v>1040</v>
      </c>
      <c r="D500" s="13" t="s">
        <v>8</v>
      </c>
      <c r="E500" s="13" t="s">
        <v>62</v>
      </c>
      <c r="F500" s="13">
        <v>2021.0</v>
      </c>
      <c r="G500" s="13">
        <v>46139.0</v>
      </c>
      <c r="H500" s="13">
        <v>5937.12</v>
      </c>
      <c r="I500" s="13">
        <f>' car_sales_data 1'!$G500*0.2</f>
        <v>9227.8</v>
      </c>
      <c r="J500" s="13" t="str">
        <f>TEXT(' car_sales_data 1'!$A500,"mmmm")</f>
        <v>March</v>
      </c>
      <c r="K500" s="13" t="str">
        <f>IF(' car_sales_data 1'!$G500&gt;40000,"Premium",
 IF(' car_sales_data 1'!$G500&gt;=20000,"Mid Range","Budget"))</f>
        <v>Premium</v>
      </c>
      <c r="L500" s="13">
        <f>YEAR(TODAY())-' car_sales_data 1'!$F500</f>
        <v>4</v>
      </c>
    </row>
    <row r="501" ht="15.75" customHeight="1">
      <c r="A501" s="16">
        <v>44954.0</v>
      </c>
      <c r="B501" s="13" t="s">
        <v>1041</v>
      </c>
      <c r="C501" s="13" t="s">
        <v>1042</v>
      </c>
      <c r="D501" s="13" t="s">
        <v>10</v>
      </c>
      <c r="E501" s="13" t="s">
        <v>54</v>
      </c>
      <c r="F501" s="13">
        <v>2022.0</v>
      </c>
      <c r="G501" s="13">
        <v>47277.0</v>
      </c>
      <c r="H501" s="13">
        <v>3336.67</v>
      </c>
      <c r="I501" s="13">
        <f>' car_sales_data 1'!$G501*0.2</f>
        <v>9455.4</v>
      </c>
      <c r="J501" s="13" t="str">
        <f>TEXT(' car_sales_data 1'!$A501,"mmmm")</f>
        <v>January</v>
      </c>
      <c r="K501" s="13" t="str">
        <f>IF(' car_sales_data 1'!$G501&gt;40000,"Premium",
 IF(' car_sales_data 1'!$G501&gt;=20000,"Mid Range","Budget"))</f>
        <v>Premium</v>
      </c>
      <c r="L501" s="13">
        <f>YEAR(TODAY())-' car_sales_data 1'!$F501</f>
        <v>3</v>
      </c>
    </row>
    <row r="502" ht="15.75" customHeight="1">
      <c r="A502" s="16">
        <v>44843.0</v>
      </c>
      <c r="B502" s="13" t="s">
        <v>1043</v>
      </c>
      <c r="C502" s="13" t="s">
        <v>1044</v>
      </c>
      <c r="D502" s="13" t="s">
        <v>6</v>
      </c>
      <c r="E502" s="13" t="s">
        <v>54</v>
      </c>
      <c r="F502" s="13">
        <v>2021.0</v>
      </c>
      <c r="G502" s="13">
        <v>14884.0</v>
      </c>
      <c r="H502" s="13">
        <v>1215.73</v>
      </c>
      <c r="I502" s="13">
        <f>' car_sales_data 1'!$G502*0.2</f>
        <v>2976.8</v>
      </c>
      <c r="J502" s="13" t="str">
        <f>TEXT(' car_sales_data 1'!$A502,"mmmm")</f>
        <v>October</v>
      </c>
      <c r="K502" s="13" t="str">
        <f>IF(' car_sales_data 1'!$G502&gt;40000,"Premium",
 IF(' car_sales_data 1'!$G502&gt;=20000,"Mid Range","Budget"))</f>
        <v>Budget</v>
      </c>
      <c r="L502" s="13">
        <f>YEAR(TODAY())-' car_sales_data 1'!$F502</f>
        <v>4</v>
      </c>
    </row>
    <row r="503" ht="15.75" customHeight="1">
      <c r="A503" s="16">
        <v>44766.0</v>
      </c>
      <c r="B503" s="13" t="s">
        <v>1045</v>
      </c>
      <c r="C503" s="13" t="s">
        <v>1046</v>
      </c>
      <c r="D503" s="13" t="s">
        <v>6</v>
      </c>
      <c r="E503" s="13" t="s">
        <v>54</v>
      </c>
      <c r="F503" s="13">
        <v>2018.0</v>
      </c>
      <c r="G503" s="13">
        <v>31163.0</v>
      </c>
      <c r="H503" s="13">
        <v>1871.56</v>
      </c>
      <c r="I503" s="13">
        <f>' car_sales_data 1'!$G503*0.2</f>
        <v>6232.6</v>
      </c>
      <c r="J503" s="13" t="str">
        <f>TEXT(' car_sales_data 1'!$A503,"mmmm")</f>
        <v>July</v>
      </c>
      <c r="K503" s="13" t="str">
        <f>IF(' car_sales_data 1'!$G503&gt;40000,"Premium",
 IF(' car_sales_data 1'!$G503&gt;=20000,"Mid Range","Budget"))</f>
        <v>Mid Range</v>
      </c>
      <c r="L503" s="13">
        <f>YEAR(TODAY())-' car_sales_data 1'!$F503</f>
        <v>7</v>
      </c>
    </row>
    <row r="504" ht="15.75" customHeight="1">
      <c r="A504" s="16">
        <v>44747.0</v>
      </c>
      <c r="B504" s="13" t="s">
        <v>1047</v>
      </c>
      <c r="C504" s="13" t="s">
        <v>1048</v>
      </c>
      <c r="D504" s="13" t="s">
        <v>14</v>
      </c>
      <c r="E504" s="13" t="s">
        <v>62</v>
      </c>
      <c r="F504" s="13">
        <v>2014.0</v>
      </c>
      <c r="G504" s="13">
        <v>13964.0</v>
      </c>
      <c r="H504" s="13">
        <v>2076.77</v>
      </c>
      <c r="I504" s="13">
        <f>' car_sales_data 1'!$G504*0.2</f>
        <v>2792.8</v>
      </c>
      <c r="J504" s="13" t="str">
        <f>TEXT(' car_sales_data 1'!$A504,"mmmm")</f>
        <v>July</v>
      </c>
      <c r="K504" s="13" t="str">
        <f>IF(' car_sales_data 1'!$G504&gt;40000,"Premium",
 IF(' car_sales_data 1'!$G504&gt;=20000,"Mid Range","Budget"))</f>
        <v>Budget</v>
      </c>
      <c r="L504" s="13">
        <f>YEAR(TODAY())-' car_sales_data 1'!$F504</f>
        <v>11</v>
      </c>
    </row>
    <row r="505" ht="15.75" customHeight="1">
      <c r="A505" s="16">
        <v>44813.0</v>
      </c>
      <c r="B505" s="13" t="s">
        <v>1049</v>
      </c>
      <c r="C505" s="13" t="s">
        <v>1050</v>
      </c>
      <c r="D505" s="13" t="s">
        <v>14</v>
      </c>
      <c r="E505" s="13" t="s">
        <v>57</v>
      </c>
      <c r="F505" s="13">
        <v>2018.0</v>
      </c>
      <c r="G505" s="13">
        <v>46507.0</v>
      </c>
      <c r="H505" s="13">
        <v>6787.87</v>
      </c>
      <c r="I505" s="13">
        <f>' car_sales_data 1'!$G505*0.2</f>
        <v>9301.4</v>
      </c>
      <c r="J505" s="13" t="str">
        <f>TEXT(' car_sales_data 1'!$A505,"mmmm")</f>
        <v>September</v>
      </c>
      <c r="K505" s="13" t="str">
        <f>IF(' car_sales_data 1'!$G505&gt;40000,"Premium",
 IF(' car_sales_data 1'!$G505&gt;=20000,"Mid Range","Budget"))</f>
        <v>Premium</v>
      </c>
      <c r="L505" s="13">
        <f>YEAR(TODAY())-' car_sales_data 1'!$F505</f>
        <v>7</v>
      </c>
    </row>
    <row r="506" ht="15.75" customHeight="1">
      <c r="A506" s="16">
        <v>45041.0</v>
      </c>
      <c r="B506" s="13" t="s">
        <v>1051</v>
      </c>
      <c r="C506" s="13" t="s">
        <v>1052</v>
      </c>
      <c r="D506" s="13" t="s">
        <v>6</v>
      </c>
      <c r="E506" s="13" t="s">
        <v>70</v>
      </c>
      <c r="F506" s="13">
        <v>2017.0</v>
      </c>
      <c r="G506" s="13">
        <v>29602.0</v>
      </c>
      <c r="H506" s="13">
        <v>2336.99</v>
      </c>
      <c r="I506" s="13">
        <f>' car_sales_data 1'!$G506*0.2</f>
        <v>5920.4</v>
      </c>
      <c r="J506" s="13" t="str">
        <f>TEXT(' car_sales_data 1'!$A506,"mmmm")</f>
        <v>April</v>
      </c>
      <c r="K506" s="13" t="str">
        <f>IF(' car_sales_data 1'!$G506&gt;40000,"Premium",
 IF(' car_sales_data 1'!$G506&gt;=20000,"Mid Range","Budget"))</f>
        <v>Mid Range</v>
      </c>
      <c r="L506" s="13">
        <f>YEAR(TODAY())-' car_sales_data 1'!$F506</f>
        <v>8</v>
      </c>
    </row>
    <row r="507" ht="15.75" customHeight="1">
      <c r="A507" s="16">
        <v>44719.0</v>
      </c>
      <c r="B507" s="13" t="s">
        <v>1053</v>
      </c>
      <c r="C507" s="13" t="s">
        <v>1054</v>
      </c>
      <c r="D507" s="13" t="s">
        <v>10</v>
      </c>
      <c r="E507" s="13" t="s">
        <v>70</v>
      </c>
      <c r="F507" s="13">
        <v>2014.0</v>
      </c>
      <c r="G507" s="13">
        <v>25555.0</v>
      </c>
      <c r="H507" s="13">
        <v>2383.13</v>
      </c>
      <c r="I507" s="13">
        <f>' car_sales_data 1'!$G507*0.2</f>
        <v>5111</v>
      </c>
      <c r="J507" s="13" t="str">
        <f>TEXT(' car_sales_data 1'!$A507,"mmmm")</f>
        <v>June</v>
      </c>
      <c r="K507" s="13" t="str">
        <f>IF(' car_sales_data 1'!$G507&gt;40000,"Premium",
 IF(' car_sales_data 1'!$G507&gt;=20000,"Mid Range","Budget"))</f>
        <v>Mid Range</v>
      </c>
      <c r="L507" s="13">
        <f>YEAR(TODAY())-' car_sales_data 1'!$F507</f>
        <v>11</v>
      </c>
    </row>
    <row r="508" ht="15.75" customHeight="1">
      <c r="A508" s="16">
        <v>44816.0</v>
      </c>
      <c r="B508" s="13" t="s">
        <v>1055</v>
      </c>
      <c r="C508" s="13" t="s">
        <v>1056</v>
      </c>
      <c r="D508" s="13" t="s">
        <v>14</v>
      </c>
      <c r="E508" s="13" t="s">
        <v>57</v>
      </c>
      <c r="F508" s="13">
        <v>2019.0</v>
      </c>
      <c r="G508" s="13">
        <v>24389.0</v>
      </c>
      <c r="H508" s="13">
        <v>2319.34</v>
      </c>
      <c r="I508" s="13">
        <f>' car_sales_data 1'!$G508*0.2</f>
        <v>4877.8</v>
      </c>
      <c r="J508" s="13" t="str">
        <f>TEXT(' car_sales_data 1'!$A508,"mmmm")</f>
        <v>September</v>
      </c>
      <c r="K508" s="13" t="str">
        <f>IF(' car_sales_data 1'!$G508&gt;40000,"Premium",
 IF(' car_sales_data 1'!$G508&gt;=20000,"Mid Range","Budget"))</f>
        <v>Mid Range</v>
      </c>
      <c r="L508" s="13">
        <f>YEAR(TODAY())-' car_sales_data 1'!$F508</f>
        <v>6</v>
      </c>
    </row>
    <row r="509" ht="15.75" customHeight="1">
      <c r="A509" s="16">
        <v>44852.0</v>
      </c>
      <c r="B509" s="13" t="s">
        <v>1057</v>
      </c>
      <c r="C509" s="13" t="s">
        <v>1058</v>
      </c>
      <c r="D509" s="13" t="s">
        <v>10</v>
      </c>
      <c r="E509" s="13" t="s">
        <v>62</v>
      </c>
      <c r="F509" s="13">
        <v>2015.0</v>
      </c>
      <c r="G509" s="13">
        <v>37500.0</v>
      </c>
      <c r="H509" s="13">
        <v>3892.49</v>
      </c>
      <c r="I509" s="13">
        <f>' car_sales_data 1'!$G509*0.2</f>
        <v>7500</v>
      </c>
      <c r="J509" s="13" t="str">
        <f>TEXT(' car_sales_data 1'!$A509,"mmmm")</f>
        <v>October</v>
      </c>
      <c r="K509" s="13" t="str">
        <f>IF(' car_sales_data 1'!$G509&gt;40000,"Premium",
 IF(' car_sales_data 1'!$G509&gt;=20000,"Mid Range","Budget"))</f>
        <v>Mid Range</v>
      </c>
      <c r="L509" s="13">
        <f>YEAR(TODAY())-' car_sales_data 1'!$F509</f>
        <v>10</v>
      </c>
    </row>
    <row r="510" ht="15.75" customHeight="1">
      <c r="A510" s="16">
        <v>44747.0</v>
      </c>
      <c r="B510" s="13" t="s">
        <v>1059</v>
      </c>
      <c r="C510" s="13" t="s">
        <v>1060</v>
      </c>
      <c r="D510" s="13" t="s">
        <v>12</v>
      </c>
      <c r="E510" s="13" t="s">
        <v>62</v>
      </c>
      <c r="F510" s="13">
        <v>2016.0</v>
      </c>
      <c r="G510" s="13">
        <v>24173.0</v>
      </c>
      <c r="H510" s="13">
        <v>2201.66</v>
      </c>
      <c r="I510" s="13">
        <f>' car_sales_data 1'!$G510*0.2</f>
        <v>4834.6</v>
      </c>
      <c r="J510" s="13" t="str">
        <f>TEXT(' car_sales_data 1'!$A510,"mmmm")</f>
        <v>July</v>
      </c>
      <c r="K510" s="13" t="str">
        <f>IF(' car_sales_data 1'!$G510&gt;40000,"Premium",
 IF(' car_sales_data 1'!$G510&gt;=20000,"Mid Range","Budget"))</f>
        <v>Mid Range</v>
      </c>
      <c r="L510" s="13">
        <f>YEAR(TODAY())-' car_sales_data 1'!$F510</f>
        <v>9</v>
      </c>
    </row>
    <row r="511" ht="15.75" customHeight="1">
      <c r="A511" s="16">
        <v>44913.0</v>
      </c>
      <c r="B511" s="13" t="s">
        <v>1061</v>
      </c>
      <c r="C511" s="13" t="s">
        <v>1062</v>
      </c>
      <c r="D511" s="13" t="s">
        <v>8</v>
      </c>
      <c r="E511" s="13" t="s">
        <v>57</v>
      </c>
      <c r="F511" s="13">
        <v>2018.0</v>
      </c>
      <c r="G511" s="13">
        <v>48905.0</v>
      </c>
      <c r="H511" s="13">
        <v>5900.54</v>
      </c>
      <c r="I511" s="13">
        <f>' car_sales_data 1'!$G511*0.2</f>
        <v>9781</v>
      </c>
      <c r="J511" s="13" t="str">
        <f>TEXT(' car_sales_data 1'!$A511,"mmmm")</f>
        <v>December</v>
      </c>
      <c r="K511" s="13" t="str">
        <f>IF(' car_sales_data 1'!$G511&gt;40000,"Premium",
 IF(' car_sales_data 1'!$G511&gt;=20000,"Mid Range","Budget"))</f>
        <v>Premium</v>
      </c>
      <c r="L511" s="13">
        <f>YEAR(TODAY())-' car_sales_data 1'!$F511</f>
        <v>7</v>
      </c>
    </row>
    <row r="512" ht="15.75" customHeight="1">
      <c r="A512" s="16">
        <v>44763.0</v>
      </c>
      <c r="B512" s="13" t="s">
        <v>1063</v>
      </c>
      <c r="C512" s="13" t="s">
        <v>1064</v>
      </c>
      <c r="D512" s="13" t="s">
        <v>6</v>
      </c>
      <c r="E512" s="13" t="s">
        <v>57</v>
      </c>
      <c r="F512" s="13">
        <v>2017.0</v>
      </c>
      <c r="G512" s="13">
        <v>13097.0</v>
      </c>
      <c r="H512" s="13">
        <v>1312.76</v>
      </c>
      <c r="I512" s="13">
        <f>' car_sales_data 1'!$G512*0.2</f>
        <v>2619.4</v>
      </c>
      <c r="J512" s="13" t="str">
        <f>TEXT(' car_sales_data 1'!$A512,"mmmm")</f>
        <v>July</v>
      </c>
      <c r="K512" s="13" t="str">
        <f>IF(' car_sales_data 1'!$G512&gt;40000,"Premium",
 IF(' car_sales_data 1'!$G512&gt;=20000,"Mid Range","Budget"))</f>
        <v>Budget</v>
      </c>
      <c r="L512" s="13">
        <f>YEAR(TODAY())-' car_sales_data 1'!$F512</f>
        <v>8</v>
      </c>
    </row>
    <row r="513" ht="15.75" customHeight="1">
      <c r="A513" s="16">
        <v>44949.0</v>
      </c>
      <c r="B513" s="13" t="s">
        <v>1065</v>
      </c>
      <c r="C513" s="13" t="s">
        <v>1066</v>
      </c>
      <c r="D513" s="13" t="s">
        <v>10</v>
      </c>
      <c r="E513" s="13" t="s">
        <v>70</v>
      </c>
      <c r="F513" s="13">
        <v>2015.0</v>
      </c>
      <c r="G513" s="13">
        <v>39430.0</v>
      </c>
      <c r="H513" s="13">
        <v>3310.73</v>
      </c>
      <c r="I513" s="13">
        <f>' car_sales_data 1'!$G513*0.2</f>
        <v>7886</v>
      </c>
      <c r="J513" s="13" t="str">
        <f>TEXT(' car_sales_data 1'!$A513,"mmmm")</f>
        <v>January</v>
      </c>
      <c r="K513" s="13" t="str">
        <f>IF(' car_sales_data 1'!$G513&gt;40000,"Premium",
 IF(' car_sales_data 1'!$G513&gt;=20000,"Mid Range","Budget"))</f>
        <v>Mid Range</v>
      </c>
      <c r="L513" s="13">
        <f>YEAR(TODAY())-' car_sales_data 1'!$F513</f>
        <v>10</v>
      </c>
    </row>
    <row r="514" ht="15.75" customHeight="1">
      <c r="A514" s="16">
        <v>44936.0</v>
      </c>
      <c r="B514" s="13" t="s">
        <v>1067</v>
      </c>
      <c r="C514" s="13" t="s">
        <v>1068</v>
      </c>
      <c r="D514" s="13" t="s">
        <v>6</v>
      </c>
      <c r="E514" s="13" t="s">
        <v>57</v>
      </c>
      <c r="F514" s="13">
        <v>2014.0</v>
      </c>
      <c r="G514" s="13">
        <v>16606.0</v>
      </c>
      <c r="H514" s="13">
        <v>1950.8</v>
      </c>
      <c r="I514" s="13">
        <f>' car_sales_data 1'!$G514*0.2</f>
        <v>3321.2</v>
      </c>
      <c r="J514" s="13" t="str">
        <f>TEXT(' car_sales_data 1'!$A514,"mmmm")</f>
        <v>January</v>
      </c>
      <c r="K514" s="13" t="str">
        <f>IF(' car_sales_data 1'!$G514&gt;40000,"Premium",
 IF(' car_sales_data 1'!$G514&gt;=20000,"Mid Range","Budget"))</f>
        <v>Budget</v>
      </c>
      <c r="L514" s="13">
        <f>YEAR(TODAY())-' car_sales_data 1'!$F514</f>
        <v>11</v>
      </c>
    </row>
    <row r="515" ht="15.75" customHeight="1">
      <c r="A515" s="16">
        <v>45016.0</v>
      </c>
      <c r="B515" s="13" t="s">
        <v>1069</v>
      </c>
      <c r="C515" s="13" t="s">
        <v>1070</v>
      </c>
      <c r="D515" s="13" t="s">
        <v>6</v>
      </c>
      <c r="E515" s="13" t="s">
        <v>51</v>
      </c>
      <c r="F515" s="13">
        <v>2012.0</v>
      </c>
      <c r="G515" s="13">
        <v>34902.0</v>
      </c>
      <c r="H515" s="13">
        <v>1919.9</v>
      </c>
      <c r="I515" s="13">
        <f>' car_sales_data 1'!$G515*0.2</f>
        <v>6980.4</v>
      </c>
      <c r="J515" s="13" t="str">
        <f>TEXT(' car_sales_data 1'!$A515,"mmmm")</f>
        <v>March</v>
      </c>
      <c r="K515" s="13" t="str">
        <f>IF(' car_sales_data 1'!$G515&gt;40000,"Premium",
 IF(' car_sales_data 1'!$G515&gt;=20000,"Mid Range","Budget"))</f>
        <v>Mid Range</v>
      </c>
      <c r="L515" s="13">
        <f>YEAR(TODAY())-' car_sales_data 1'!$F515</f>
        <v>13</v>
      </c>
    </row>
    <row r="516" ht="15.75" customHeight="1">
      <c r="A516" s="16">
        <v>44917.0</v>
      </c>
      <c r="B516" s="13" t="s">
        <v>1071</v>
      </c>
      <c r="C516" s="13" t="s">
        <v>1072</v>
      </c>
      <c r="D516" s="13" t="s">
        <v>8</v>
      </c>
      <c r="E516" s="13" t="s">
        <v>70</v>
      </c>
      <c r="F516" s="13">
        <v>2014.0</v>
      </c>
      <c r="G516" s="13">
        <v>38345.0</v>
      </c>
      <c r="H516" s="13">
        <v>4789.79</v>
      </c>
      <c r="I516" s="13">
        <f>' car_sales_data 1'!$G516*0.2</f>
        <v>7669</v>
      </c>
      <c r="J516" s="13" t="str">
        <f>TEXT(' car_sales_data 1'!$A516,"mmmm")</f>
        <v>December</v>
      </c>
      <c r="K516" s="13" t="str">
        <f>IF(' car_sales_data 1'!$G516&gt;40000,"Premium",
 IF(' car_sales_data 1'!$G516&gt;=20000,"Mid Range","Budget"))</f>
        <v>Mid Range</v>
      </c>
      <c r="L516" s="13">
        <f>YEAR(TODAY())-' car_sales_data 1'!$F516</f>
        <v>11</v>
      </c>
    </row>
    <row r="517" ht="15.75" customHeight="1">
      <c r="A517" s="16">
        <v>44684.0</v>
      </c>
      <c r="B517" s="13" t="s">
        <v>1073</v>
      </c>
      <c r="C517" s="13" t="s">
        <v>1074</v>
      </c>
      <c r="D517" s="13" t="s">
        <v>12</v>
      </c>
      <c r="E517" s="13" t="s">
        <v>51</v>
      </c>
      <c r="F517" s="13">
        <v>2015.0</v>
      </c>
      <c r="G517" s="13">
        <v>28962.0</v>
      </c>
      <c r="H517" s="13">
        <v>3023.92</v>
      </c>
      <c r="I517" s="13">
        <f>' car_sales_data 1'!$G517*0.2</f>
        <v>5792.4</v>
      </c>
      <c r="J517" s="13" t="str">
        <f>TEXT(' car_sales_data 1'!$A517,"mmmm")</f>
        <v>May</v>
      </c>
      <c r="K517" s="13" t="str">
        <f>IF(' car_sales_data 1'!$G517&gt;40000,"Premium",
 IF(' car_sales_data 1'!$G517&gt;=20000,"Mid Range","Budget"))</f>
        <v>Mid Range</v>
      </c>
      <c r="L517" s="13">
        <f>YEAR(TODAY())-' car_sales_data 1'!$F517</f>
        <v>10</v>
      </c>
    </row>
    <row r="518" ht="15.75" customHeight="1">
      <c r="A518" s="16">
        <v>44953.0</v>
      </c>
      <c r="B518" s="13" t="s">
        <v>1075</v>
      </c>
      <c r="C518" s="13" t="s">
        <v>1076</v>
      </c>
      <c r="D518" s="13" t="s">
        <v>8</v>
      </c>
      <c r="E518" s="13" t="s">
        <v>57</v>
      </c>
      <c r="F518" s="13">
        <v>2022.0</v>
      </c>
      <c r="G518" s="13">
        <v>38622.0</v>
      </c>
      <c r="H518" s="13">
        <v>2519.07</v>
      </c>
      <c r="I518" s="13">
        <f>' car_sales_data 1'!$G518*0.2</f>
        <v>7724.4</v>
      </c>
      <c r="J518" s="13" t="str">
        <f>TEXT(' car_sales_data 1'!$A518,"mmmm")</f>
        <v>January</v>
      </c>
      <c r="K518" s="13" t="str">
        <f>IF(' car_sales_data 1'!$G518&gt;40000,"Premium",
 IF(' car_sales_data 1'!$G518&gt;=20000,"Mid Range","Budget"))</f>
        <v>Mid Range</v>
      </c>
      <c r="L518" s="13">
        <f>YEAR(TODAY())-' car_sales_data 1'!$F518</f>
        <v>3</v>
      </c>
    </row>
    <row r="519" ht="15.75" customHeight="1">
      <c r="A519" s="16">
        <v>44939.0</v>
      </c>
      <c r="B519" s="13" t="s">
        <v>1077</v>
      </c>
      <c r="C519" s="13" t="s">
        <v>1078</v>
      </c>
      <c r="D519" s="13" t="s">
        <v>6</v>
      </c>
      <c r="E519" s="13" t="s">
        <v>57</v>
      </c>
      <c r="F519" s="13">
        <v>2012.0</v>
      </c>
      <c r="G519" s="13">
        <v>16242.0</v>
      </c>
      <c r="H519" s="13">
        <v>1520.27</v>
      </c>
      <c r="I519" s="13">
        <f>' car_sales_data 1'!$G519*0.2</f>
        <v>3248.4</v>
      </c>
      <c r="J519" s="13" t="str">
        <f>TEXT(' car_sales_data 1'!$A519,"mmmm")</f>
        <v>January</v>
      </c>
      <c r="K519" s="13" t="str">
        <f>IF(' car_sales_data 1'!$G519&gt;40000,"Premium",
 IF(' car_sales_data 1'!$G519&gt;=20000,"Mid Range","Budget"))</f>
        <v>Budget</v>
      </c>
      <c r="L519" s="13">
        <f>YEAR(TODAY())-' car_sales_data 1'!$F519</f>
        <v>13</v>
      </c>
    </row>
    <row r="520" ht="15.75" customHeight="1">
      <c r="A520" s="16">
        <v>44697.0</v>
      </c>
      <c r="B520" s="13" t="s">
        <v>1079</v>
      </c>
      <c r="C520" s="13" t="s">
        <v>1080</v>
      </c>
      <c r="D520" s="13" t="s">
        <v>14</v>
      </c>
      <c r="E520" s="13" t="s">
        <v>54</v>
      </c>
      <c r="F520" s="13">
        <v>2018.0</v>
      </c>
      <c r="G520" s="13">
        <v>44409.0</v>
      </c>
      <c r="H520" s="13">
        <v>4311.93</v>
      </c>
      <c r="I520" s="13">
        <f>' car_sales_data 1'!$G520*0.2</f>
        <v>8881.8</v>
      </c>
      <c r="J520" s="13" t="str">
        <f>TEXT(' car_sales_data 1'!$A520,"mmmm")</f>
        <v>May</v>
      </c>
      <c r="K520" s="13" t="str">
        <f>IF(' car_sales_data 1'!$G520&gt;40000,"Premium",
 IF(' car_sales_data 1'!$G520&gt;=20000,"Mid Range","Budget"))</f>
        <v>Premium</v>
      </c>
      <c r="L520" s="13">
        <f>YEAR(TODAY())-' car_sales_data 1'!$F520</f>
        <v>7</v>
      </c>
    </row>
    <row r="521" ht="15.75" customHeight="1">
      <c r="A521" s="16">
        <v>44884.0</v>
      </c>
      <c r="B521" s="13" t="s">
        <v>1081</v>
      </c>
      <c r="C521" s="13" t="s">
        <v>1082</v>
      </c>
      <c r="D521" s="13" t="s">
        <v>14</v>
      </c>
      <c r="E521" s="13" t="s">
        <v>51</v>
      </c>
      <c r="F521" s="13">
        <v>2012.0</v>
      </c>
      <c r="G521" s="13">
        <v>28391.0</v>
      </c>
      <c r="H521" s="13">
        <v>3477.08</v>
      </c>
      <c r="I521" s="13">
        <f>' car_sales_data 1'!$G521*0.2</f>
        <v>5678.2</v>
      </c>
      <c r="J521" s="13" t="str">
        <f>TEXT(' car_sales_data 1'!$A521,"mmmm")</f>
        <v>November</v>
      </c>
      <c r="K521" s="13" t="str">
        <f>IF(' car_sales_data 1'!$G521&gt;40000,"Premium",
 IF(' car_sales_data 1'!$G521&gt;=20000,"Mid Range","Budget"))</f>
        <v>Mid Range</v>
      </c>
      <c r="L521" s="13">
        <f>YEAR(TODAY())-' car_sales_data 1'!$F521</f>
        <v>13</v>
      </c>
    </row>
    <row r="522" ht="15.75" customHeight="1">
      <c r="A522" s="16">
        <v>44707.0</v>
      </c>
      <c r="B522" s="13" t="s">
        <v>1083</v>
      </c>
      <c r="C522" s="13" t="s">
        <v>1084</v>
      </c>
      <c r="D522" s="13" t="s">
        <v>12</v>
      </c>
      <c r="E522" s="13" t="s">
        <v>54</v>
      </c>
      <c r="F522" s="13">
        <v>2014.0</v>
      </c>
      <c r="G522" s="13">
        <v>39059.0</v>
      </c>
      <c r="H522" s="13">
        <v>3379.49</v>
      </c>
      <c r="I522" s="13">
        <f>' car_sales_data 1'!$G522*0.2</f>
        <v>7811.8</v>
      </c>
      <c r="J522" s="13" t="str">
        <f>TEXT(' car_sales_data 1'!$A522,"mmmm")</f>
        <v>May</v>
      </c>
      <c r="K522" s="13" t="str">
        <f>IF(' car_sales_data 1'!$G522&gt;40000,"Premium",
 IF(' car_sales_data 1'!$G522&gt;=20000,"Mid Range","Budget"))</f>
        <v>Mid Range</v>
      </c>
      <c r="L522" s="13">
        <f>YEAR(TODAY())-' car_sales_data 1'!$F522</f>
        <v>11</v>
      </c>
    </row>
    <row r="523" ht="15.75" customHeight="1">
      <c r="A523" s="16">
        <v>44914.0</v>
      </c>
      <c r="B523" s="13" t="s">
        <v>1085</v>
      </c>
      <c r="C523" s="13" t="s">
        <v>1086</v>
      </c>
      <c r="D523" s="13" t="s">
        <v>8</v>
      </c>
      <c r="E523" s="13" t="s">
        <v>57</v>
      </c>
      <c r="F523" s="13">
        <v>2012.0</v>
      </c>
      <c r="G523" s="13">
        <v>38980.0</v>
      </c>
      <c r="H523" s="13">
        <v>2040.51</v>
      </c>
      <c r="I523" s="13">
        <f>' car_sales_data 1'!$G523*0.2</f>
        <v>7796</v>
      </c>
      <c r="J523" s="13" t="str">
        <f>TEXT(' car_sales_data 1'!$A523,"mmmm")</f>
        <v>December</v>
      </c>
      <c r="K523" s="13" t="str">
        <f>IF(' car_sales_data 1'!$G523&gt;40000,"Premium",
 IF(' car_sales_data 1'!$G523&gt;=20000,"Mid Range","Budget"))</f>
        <v>Mid Range</v>
      </c>
      <c r="L523" s="13">
        <f>YEAR(TODAY())-' car_sales_data 1'!$F523</f>
        <v>13</v>
      </c>
    </row>
    <row r="524" ht="15.75" customHeight="1">
      <c r="A524" s="16">
        <v>44821.0</v>
      </c>
      <c r="B524" s="13" t="s">
        <v>1087</v>
      </c>
      <c r="C524" s="13" t="s">
        <v>1088</v>
      </c>
      <c r="D524" s="13" t="s">
        <v>10</v>
      </c>
      <c r="E524" s="13" t="s">
        <v>70</v>
      </c>
      <c r="F524" s="13">
        <v>2020.0</v>
      </c>
      <c r="G524" s="13">
        <v>10301.0</v>
      </c>
      <c r="H524" s="13">
        <v>1362.96</v>
      </c>
      <c r="I524" s="13">
        <f>' car_sales_data 1'!$G524*0.2</f>
        <v>2060.2</v>
      </c>
      <c r="J524" s="13" t="str">
        <f>TEXT(' car_sales_data 1'!$A524,"mmmm")</f>
        <v>September</v>
      </c>
      <c r="K524" s="13" t="str">
        <f>IF(' car_sales_data 1'!$G524&gt;40000,"Premium",
 IF(' car_sales_data 1'!$G524&gt;=20000,"Mid Range","Budget"))</f>
        <v>Budget</v>
      </c>
      <c r="L524" s="13">
        <f>YEAR(TODAY())-' car_sales_data 1'!$F524</f>
        <v>5</v>
      </c>
    </row>
    <row r="525" ht="15.75" customHeight="1">
      <c r="A525" s="16">
        <v>44885.0</v>
      </c>
      <c r="B525" s="13" t="s">
        <v>1089</v>
      </c>
      <c r="C525" s="13" t="s">
        <v>1090</v>
      </c>
      <c r="D525" s="13" t="s">
        <v>12</v>
      </c>
      <c r="E525" s="13" t="s">
        <v>57</v>
      </c>
      <c r="F525" s="13">
        <v>2021.0</v>
      </c>
      <c r="G525" s="13">
        <v>11516.0</v>
      </c>
      <c r="H525" s="13">
        <v>933.21</v>
      </c>
      <c r="I525" s="13">
        <f>' car_sales_data 1'!$G525*0.2</f>
        <v>2303.2</v>
      </c>
      <c r="J525" s="13" t="str">
        <f>TEXT(' car_sales_data 1'!$A525,"mmmm")</f>
        <v>November</v>
      </c>
      <c r="K525" s="13" t="str">
        <f>IF(' car_sales_data 1'!$G525&gt;40000,"Premium",
 IF(' car_sales_data 1'!$G525&gt;=20000,"Mid Range","Budget"))</f>
        <v>Budget</v>
      </c>
      <c r="L525" s="13">
        <f>YEAR(TODAY())-' car_sales_data 1'!$F525</f>
        <v>4</v>
      </c>
    </row>
    <row r="526" ht="15.75" customHeight="1">
      <c r="A526" s="16">
        <v>44921.0</v>
      </c>
      <c r="B526" s="13" t="s">
        <v>1091</v>
      </c>
      <c r="C526" s="13" t="s">
        <v>1092</v>
      </c>
      <c r="D526" s="13" t="s">
        <v>14</v>
      </c>
      <c r="E526" s="13" t="s">
        <v>54</v>
      </c>
      <c r="F526" s="13">
        <v>2017.0</v>
      </c>
      <c r="G526" s="13">
        <v>32964.0</v>
      </c>
      <c r="H526" s="13">
        <v>3771.75</v>
      </c>
      <c r="I526" s="13">
        <f>' car_sales_data 1'!$G526*0.2</f>
        <v>6592.8</v>
      </c>
      <c r="J526" s="13" t="str">
        <f>TEXT(' car_sales_data 1'!$A526,"mmmm")</f>
        <v>December</v>
      </c>
      <c r="K526" s="13" t="str">
        <f>IF(' car_sales_data 1'!$G526&gt;40000,"Premium",
 IF(' car_sales_data 1'!$G526&gt;=20000,"Mid Range","Budget"))</f>
        <v>Mid Range</v>
      </c>
      <c r="L526" s="13">
        <f>YEAR(TODAY())-' car_sales_data 1'!$F526</f>
        <v>8</v>
      </c>
    </row>
    <row r="527" ht="15.75" customHeight="1">
      <c r="A527" s="16">
        <v>44907.0</v>
      </c>
      <c r="B527" s="13" t="s">
        <v>1093</v>
      </c>
      <c r="C527" s="13" t="s">
        <v>1094</v>
      </c>
      <c r="D527" s="13" t="s">
        <v>6</v>
      </c>
      <c r="E527" s="13" t="s">
        <v>54</v>
      </c>
      <c r="F527" s="13">
        <v>2021.0</v>
      </c>
      <c r="G527" s="13">
        <v>29337.0</v>
      </c>
      <c r="H527" s="13">
        <v>4196.49</v>
      </c>
      <c r="I527" s="13">
        <f>' car_sales_data 1'!$G527*0.2</f>
        <v>5867.4</v>
      </c>
      <c r="J527" s="13" t="str">
        <f>TEXT(' car_sales_data 1'!$A527,"mmmm")</f>
        <v>December</v>
      </c>
      <c r="K527" s="13" t="str">
        <f>IF(' car_sales_data 1'!$G527&gt;40000,"Premium",
 IF(' car_sales_data 1'!$G527&gt;=20000,"Mid Range","Budget"))</f>
        <v>Mid Range</v>
      </c>
      <c r="L527" s="13">
        <f>YEAR(TODAY())-' car_sales_data 1'!$F527</f>
        <v>4</v>
      </c>
    </row>
    <row r="528" ht="15.75" customHeight="1">
      <c r="A528" s="16">
        <v>44943.0</v>
      </c>
      <c r="B528" s="13" t="s">
        <v>1095</v>
      </c>
      <c r="C528" s="13" t="s">
        <v>1096</v>
      </c>
      <c r="D528" s="13" t="s">
        <v>8</v>
      </c>
      <c r="E528" s="13" t="s">
        <v>54</v>
      </c>
      <c r="F528" s="13">
        <v>2013.0</v>
      </c>
      <c r="G528" s="13">
        <v>24961.0</v>
      </c>
      <c r="H528" s="13">
        <v>3565.0</v>
      </c>
      <c r="I528" s="13">
        <f>' car_sales_data 1'!$G528*0.2</f>
        <v>4992.2</v>
      </c>
      <c r="J528" s="13" t="str">
        <f>TEXT(' car_sales_data 1'!$A528,"mmmm")</f>
        <v>January</v>
      </c>
      <c r="K528" s="13" t="str">
        <f>IF(' car_sales_data 1'!$G528&gt;40000,"Premium",
 IF(' car_sales_data 1'!$G528&gt;=20000,"Mid Range","Budget"))</f>
        <v>Mid Range</v>
      </c>
      <c r="L528" s="13">
        <f>YEAR(TODAY())-' car_sales_data 1'!$F528</f>
        <v>12</v>
      </c>
    </row>
    <row r="529" ht="15.75" customHeight="1">
      <c r="A529" s="16">
        <v>44835.0</v>
      </c>
      <c r="B529" s="13" t="s">
        <v>1097</v>
      </c>
      <c r="C529" s="13" t="s">
        <v>1098</v>
      </c>
      <c r="D529" s="13" t="s">
        <v>8</v>
      </c>
      <c r="E529" s="13" t="s">
        <v>51</v>
      </c>
      <c r="F529" s="13">
        <v>2022.0</v>
      </c>
      <c r="G529" s="13">
        <v>45546.0</v>
      </c>
      <c r="H529" s="13">
        <v>3575.36</v>
      </c>
      <c r="I529" s="13">
        <f>' car_sales_data 1'!$G529*0.2</f>
        <v>9109.2</v>
      </c>
      <c r="J529" s="13" t="str">
        <f>TEXT(' car_sales_data 1'!$A529,"mmmm")</f>
        <v>October</v>
      </c>
      <c r="K529" s="13" t="str">
        <f>IF(' car_sales_data 1'!$G529&gt;40000,"Premium",
 IF(' car_sales_data 1'!$G529&gt;=20000,"Mid Range","Budget"))</f>
        <v>Premium</v>
      </c>
      <c r="L529" s="13">
        <f>YEAR(TODAY())-' car_sales_data 1'!$F529</f>
        <v>3</v>
      </c>
    </row>
    <row r="530" ht="15.75" customHeight="1">
      <c r="A530" s="16">
        <v>44975.0</v>
      </c>
      <c r="B530" s="13" t="s">
        <v>1099</v>
      </c>
      <c r="C530" s="13" t="s">
        <v>1100</v>
      </c>
      <c r="D530" s="13" t="s">
        <v>10</v>
      </c>
      <c r="E530" s="13" t="s">
        <v>62</v>
      </c>
      <c r="F530" s="13">
        <v>2019.0</v>
      </c>
      <c r="G530" s="13">
        <v>13702.0</v>
      </c>
      <c r="H530" s="13">
        <v>1547.91</v>
      </c>
      <c r="I530" s="13">
        <f>' car_sales_data 1'!$G530*0.2</f>
        <v>2740.4</v>
      </c>
      <c r="J530" s="13" t="str">
        <f>TEXT(' car_sales_data 1'!$A530,"mmmm")</f>
        <v>February</v>
      </c>
      <c r="K530" s="13" t="str">
        <f>IF(' car_sales_data 1'!$G530&gt;40000,"Premium",
 IF(' car_sales_data 1'!$G530&gt;=20000,"Mid Range","Budget"))</f>
        <v>Budget</v>
      </c>
      <c r="L530" s="13">
        <f>YEAR(TODAY())-' car_sales_data 1'!$F530</f>
        <v>6</v>
      </c>
    </row>
    <row r="531" ht="15.75" customHeight="1">
      <c r="A531" s="16">
        <v>44708.0</v>
      </c>
      <c r="B531" s="13" t="s">
        <v>1101</v>
      </c>
      <c r="C531" s="13" t="s">
        <v>1102</v>
      </c>
      <c r="D531" s="13" t="s">
        <v>12</v>
      </c>
      <c r="E531" s="13" t="s">
        <v>54</v>
      </c>
      <c r="F531" s="13">
        <v>2020.0</v>
      </c>
      <c r="G531" s="13">
        <v>24728.0</v>
      </c>
      <c r="H531" s="13">
        <v>1587.42</v>
      </c>
      <c r="I531" s="13">
        <f>' car_sales_data 1'!$G531*0.2</f>
        <v>4945.6</v>
      </c>
      <c r="J531" s="13" t="str">
        <f>TEXT(' car_sales_data 1'!$A531,"mmmm")</f>
        <v>May</v>
      </c>
      <c r="K531" s="13" t="str">
        <f>IF(' car_sales_data 1'!$G531&gt;40000,"Premium",
 IF(' car_sales_data 1'!$G531&gt;=20000,"Mid Range","Budget"))</f>
        <v>Mid Range</v>
      </c>
      <c r="L531" s="13">
        <f>YEAR(TODAY())-' car_sales_data 1'!$F531</f>
        <v>5</v>
      </c>
    </row>
    <row r="532" ht="15.75" customHeight="1">
      <c r="A532" s="16">
        <v>45002.0</v>
      </c>
      <c r="B532" s="13" t="s">
        <v>1103</v>
      </c>
      <c r="C532" s="13" t="s">
        <v>1104</v>
      </c>
      <c r="D532" s="13" t="s">
        <v>8</v>
      </c>
      <c r="E532" s="13" t="s">
        <v>54</v>
      </c>
      <c r="F532" s="13">
        <v>2011.0</v>
      </c>
      <c r="G532" s="13">
        <v>46299.0</v>
      </c>
      <c r="H532" s="13">
        <v>4005.0</v>
      </c>
      <c r="I532" s="13">
        <f>' car_sales_data 1'!$G532*0.2</f>
        <v>9259.8</v>
      </c>
      <c r="J532" s="13" t="str">
        <f>TEXT(' car_sales_data 1'!$A532,"mmmm")</f>
        <v>March</v>
      </c>
      <c r="K532" s="13" t="str">
        <f>IF(' car_sales_data 1'!$G532&gt;40000,"Premium",
 IF(' car_sales_data 1'!$G532&gt;=20000,"Mid Range","Budget"))</f>
        <v>Premium</v>
      </c>
      <c r="L532" s="13">
        <f>YEAR(TODAY())-' car_sales_data 1'!$F532</f>
        <v>14</v>
      </c>
    </row>
    <row r="533" ht="15.75" customHeight="1">
      <c r="A533" s="16">
        <v>44869.0</v>
      </c>
      <c r="B533" s="13" t="s">
        <v>1105</v>
      </c>
      <c r="C533" s="13" t="s">
        <v>1106</v>
      </c>
      <c r="D533" s="13" t="s">
        <v>8</v>
      </c>
      <c r="E533" s="13" t="s">
        <v>54</v>
      </c>
      <c r="F533" s="13">
        <v>2015.0</v>
      </c>
      <c r="G533" s="13">
        <v>43704.0</v>
      </c>
      <c r="H533" s="13">
        <v>5355.57</v>
      </c>
      <c r="I533" s="13">
        <f>' car_sales_data 1'!$G533*0.2</f>
        <v>8740.8</v>
      </c>
      <c r="J533" s="13" t="str">
        <f>TEXT(' car_sales_data 1'!$A533,"mmmm")</f>
        <v>November</v>
      </c>
      <c r="K533" s="13" t="str">
        <f>IF(' car_sales_data 1'!$G533&gt;40000,"Premium",
 IF(' car_sales_data 1'!$G533&gt;=20000,"Mid Range","Budget"))</f>
        <v>Premium</v>
      </c>
      <c r="L533" s="13">
        <f>YEAR(TODAY())-' car_sales_data 1'!$F533</f>
        <v>10</v>
      </c>
    </row>
    <row r="534" ht="15.75" customHeight="1">
      <c r="A534" s="16">
        <v>44983.0</v>
      </c>
      <c r="B534" s="13" t="s">
        <v>1107</v>
      </c>
      <c r="C534" s="13" t="s">
        <v>1108</v>
      </c>
      <c r="D534" s="13" t="s">
        <v>12</v>
      </c>
      <c r="E534" s="13" t="s">
        <v>54</v>
      </c>
      <c r="F534" s="13">
        <v>2011.0</v>
      </c>
      <c r="G534" s="13">
        <v>21302.0</v>
      </c>
      <c r="H534" s="13">
        <v>1962.51</v>
      </c>
      <c r="I534" s="13">
        <f>' car_sales_data 1'!$G534*0.2</f>
        <v>4260.4</v>
      </c>
      <c r="J534" s="13" t="str">
        <f>TEXT(' car_sales_data 1'!$A534,"mmmm")</f>
        <v>February</v>
      </c>
      <c r="K534" s="13" t="str">
        <f>IF(' car_sales_data 1'!$G534&gt;40000,"Premium",
 IF(' car_sales_data 1'!$G534&gt;=20000,"Mid Range","Budget"))</f>
        <v>Mid Range</v>
      </c>
      <c r="L534" s="13">
        <f>YEAR(TODAY())-' car_sales_data 1'!$F534</f>
        <v>14</v>
      </c>
    </row>
    <row r="535" ht="15.75" customHeight="1">
      <c r="A535" s="16">
        <v>44767.0</v>
      </c>
      <c r="B535" s="13" t="s">
        <v>1109</v>
      </c>
      <c r="C535" s="13" t="s">
        <v>1110</v>
      </c>
      <c r="D535" s="13" t="s">
        <v>14</v>
      </c>
      <c r="E535" s="13" t="s">
        <v>70</v>
      </c>
      <c r="F535" s="13">
        <v>2015.0</v>
      </c>
      <c r="G535" s="13">
        <v>31973.0</v>
      </c>
      <c r="H535" s="13">
        <v>2850.61</v>
      </c>
      <c r="I535" s="13">
        <f>' car_sales_data 1'!$G535*0.2</f>
        <v>6394.6</v>
      </c>
      <c r="J535" s="13" t="str">
        <f>TEXT(' car_sales_data 1'!$A535,"mmmm")</f>
        <v>July</v>
      </c>
      <c r="K535" s="13" t="str">
        <f>IF(' car_sales_data 1'!$G535&gt;40000,"Premium",
 IF(' car_sales_data 1'!$G535&gt;=20000,"Mid Range","Budget"))</f>
        <v>Mid Range</v>
      </c>
      <c r="L535" s="13">
        <f>YEAR(TODAY())-' car_sales_data 1'!$F535</f>
        <v>10</v>
      </c>
    </row>
    <row r="536" ht="15.75" customHeight="1">
      <c r="A536" s="16">
        <v>44694.0</v>
      </c>
      <c r="B536" s="13" t="s">
        <v>1111</v>
      </c>
      <c r="C536" s="13" t="s">
        <v>1112</v>
      </c>
      <c r="D536" s="13" t="s">
        <v>6</v>
      </c>
      <c r="E536" s="13" t="s">
        <v>54</v>
      </c>
      <c r="F536" s="13">
        <v>2021.0</v>
      </c>
      <c r="G536" s="13">
        <v>37032.0</v>
      </c>
      <c r="H536" s="13">
        <v>3251.22</v>
      </c>
      <c r="I536" s="13">
        <f>' car_sales_data 1'!$G536*0.2</f>
        <v>7406.4</v>
      </c>
      <c r="J536" s="13" t="str">
        <f>TEXT(' car_sales_data 1'!$A536,"mmmm")</f>
        <v>May</v>
      </c>
      <c r="K536" s="13" t="str">
        <f>IF(' car_sales_data 1'!$G536&gt;40000,"Premium",
 IF(' car_sales_data 1'!$G536&gt;=20000,"Mid Range","Budget"))</f>
        <v>Mid Range</v>
      </c>
      <c r="L536" s="13">
        <f>YEAR(TODAY())-' car_sales_data 1'!$F536</f>
        <v>4</v>
      </c>
    </row>
    <row r="537" ht="15.75" customHeight="1">
      <c r="A537" s="16">
        <v>44999.0</v>
      </c>
      <c r="B537" s="13" t="s">
        <v>1113</v>
      </c>
      <c r="C537" s="13" t="s">
        <v>1114</v>
      </c>
      <c r="D537" s="13" t="s">
        <v>14</v>
      </c>
      <c r="E537" s="13" t="s">
        <v>70</v>
      </c>
      <c r="F537" s="13">
        <v>2019.0</v>
      </c>
      <c r="G537" s="13">
        <v>24771.0</v>
      </c>
      <c r="H537" s="13">
        <v>2382.37</v>
      </c>
      <c r="I537" s="13">
        <f>' car_sales_data 1'!$G537*0.2</f>
        <v>4954.2</v>
      </c>
      <c r="J537" s="13" t="str">
        <f>TEXT(' car_sales_data 1'!$A537,"mmmm")</f>
        <v>March</v>
      </c>
      <c r="K537" s="13" t="str">
        <f>IF(' car_sales_data 1'!$G537&gt;40000,"Premium",
 IF(' car_sales_data 1'!$G537&gt;=20000,"Mid Range","Budget"))</f>
        <v>Mid Range</v>
      </c>
      <c r="L537" s="13">
        <f>YEAR(TODAY())-' car_sales_data 1'!$F537</f>
        <v>6</v>
      </c>
    </row>
    <row r="538" ht="15.75" customHeight="1">
      <c r="A538" s="16">
        <v>44699.0</v>
      </c>
      <c r="B538" s="13" t="s">
        <v>1115</v>
      </c>
      <c r="C538" s="13" t="s">
        <v>1116</v>
      </c>
      <c r="D538" s="13" t="s">
        <v>12</v>
      </c>
      <c r="E538" s="13" t="s">
        <v>57</v>
      </c>
      <c r="F538" s="13">
        <v>2022.0</v>
      </c>
      <c r="G538" s="13">
        <v>21629.0</v>
      </c>
      <c r="H538" s="13">
        <v>2927.72</v>
      </c>
      <c r="I538" s="13">
        <f>' car_sales_data 1'!$G538*0.2</f>
        <v>4325.8</v>
      </c>
      <c r="J538" s="13" t="str">
        <f>TEXT(' car_sales_data 1'!$A538,"mmmm")</f>
        <v>May</v>
      </c>
      <c r="K538" s="13" t="str">
        <f>IF(' car_sales_data 1'!$G538&gt;40000,"Premium",
 IF(' car_sales_data 1'!$G538&gt;=20000,"Mid Range","Budget"))</f>
        <v>Mid Range</v>
      </c>
      <c r="L538" s="13">
        <f>YEAR(TODAY())-' car_sales_data 1'!$F538</f>
        <v>3</v>
      </c>
    </row>
    <row r="539" ht="15.75" customHeight="1">
      <c r="A539" s="16">
        <v>44725.0</v>
      </c>
      <c r="B539" s="13" t="s">
        <v>1117</v>
      </c>
      <c r="C539" s="13" t="s">
        <v>1118</v>
      </c>
      <c r="D539" s="13" t="s">
        <v>10</v>
      </c>
      <c r="E539" s="13" t="s">
        <v>62</v>
      </c>
      <c r="F539" s="13">
        <v>2016.0</v>
      </c>
      <c r="G539" s="13">
        <v>22495.0</v>
      </c>
      <c r="H539" s="13">
        <v>2843.5</v>
      </c>
      <c r="I539" s="13">
        <f>' car_sales_data 1'!$G539*0.2</f>
        <v>4499</v>
      </c>
      <c r="J539" s="13" t="str">
        <f>TEXT(' car_sales_data 1'!$A539,"mmmm")</f>
        <v>June</v>
      </c>
      <c r="K539" s="13" t="str">
        <f>IF(' car_sales_data 1'!$G539&gt;40000,"Premium",
 IF(' car_sales_data 1'!$G539&gt;=20000,"Mid Range","Budget"))</f>
        <v>Mid Range</v>
      </c>
      <c r="L539" s="13">
        <f>YEAR(TODAY())-' car_sales_data 1'!$F539</f>
        <v>9</v>
      </c>
    </row>
    <row r="540" ht="15.75" customHeight="1">
      <c r="A540" s="16">
        <v>45010.0</v>
      </c>
      <c r="B540" s="13" t="s">
        <v>1119</v>
      </c>
      <c r="C540" s="13" t="s">
        <v>1120</v>
      </c>
      <c r="D540" s="13" t="s">
        <v>12</v>
      </c>
      <c r="E540" s="13" t="s">
        <v>54</v>
      </c>
      <c r="F540" s="13">
        <v>2021.0</v>
      </c>
      <c r="G540" s="13">
        <v>46775.0</v>
      </c>
      <c r="H540" s="13">
        <v>6002.41</v>
      </c>
      <c r="I540" s="13">
        <f>' car_sales_data 1'!$G540*0.2</f>
        <v>9355</v>
      </c>
      <c r="J540" s="13" t="str">
        <f>TEXT(' car_sales_data 1'!$A540,"mmmm")</f>
        <v>March</v>
      </c>
      <c r="K540" s="13" t="str">
        <f>IF(' car_sales_data 1'!$G540&gt;40000,"Premium",
 IF(' car_sales_data 1'!$G540&gt;=20000,"Mid Range","Budget"))</f>
        <v>Premium</v>
      </c>
      <c r="L540" s="13">
        <f>YEAR(TODAY())-' car_sales_data 1'!$F540</f>
        <v>4</v>
      </c>
    </row>
    <row r="541" ht="15.75" customHeight="1">
      <c r="A541" s="16">
        <v>44978.0</v>
      </c>
      <c r="B541" s="13" t="s">
        <v>1121</v>
      </c>
      <c r="C541" s="13" t="s">
        <v>1122</v>
      </c>
      <c r="D541" s="13" t="s">
        <v>8</v>
      </c>
      <c r="E541" s="13" t="s">
        <v>62</v>
      </c>
      <c r="F541" s="13">
        <v>2018.0</v>
      </c>
      <c r="G541" s="13">
        <v>27140.0</v>
      </c>
      <c r="H541" s="13">
        <v>3571.78</v>
      </c>
      <c r="I541" s="13">
        <f>' car_sales_data 1'!$G541*0.2</f>
        <v>5428</v>
      </c>
      <c r="J541" s="13" t="str">
        <f>TEXT(' car_sales_data 1'!$A541,"mmmm")</f>
        <v>February</v>
      </c>
      <c r="K541" s="13" t="str">
        <f>IF(' car_sales_data 1'!$G541&gt;40000,"Premium",
 IF(' car_sales_data 1'!$G541&gt;=20000,"Mid Range","Budget"))</f>
        <v>Mid Range</v>
      </c>
      <c r="L541" s="13">
        <f>YEAR(TODAY())-' car_sales_data 1'!$F541</f>
        <v>7</v>
      </c>
    </row>
    <row r="542" ht="15.75" customHeight="1">
      <c r="A542" s="16">
        <v>45029.0</v>
      </c>
      <c r="B542" s="13" t="s">
        <v>1123</v>
      </c>
      <c r="C542" s="13" t="s">
        <v>1124</v>
      </c>
      <c r="D542" s="13" t="s">
        <v>12</v>
      </c>
      <c r="E542" s="13" t="s">
        <v>54</v>
      </c>
      <c r="F542" s="13">
        <v>2017.0</v>
      </c>
      <c r="G542" s="13">
        <v>47252.0</v>
      </c>
      <c r="H542" s="13">
        <v>5190.1</v>
      </c>
      <c r="I542" s="13">
        <f>' car_sales_data 1'!$G542*0.2</f>
        <v>9450.4</v>
      </c>
      <c r="J542" s="13" t="str">
        <f>TEXT(' car_sales_data 1'!$A542,"mmmm")</f>
        <v>April</v>
      </c>
      <c r="K542" s="13" t="str">
        <f>IF(' car_sales_data 1'!$G542&gt;40000,"Premium",
 IF(' car_sales_data 1'!$G542&gt;=20000,"Mid Range","Budget"))</f>
        <v>Premium</v>
      </c>
      <c r="L542" s="13">
        <f>YEAR(TODAY())-' car_sales_data 1'!$F542</f>
        <v>8</v>
      </c>
    </row>
    <row r="543" ht="15.75" customHeight="1">
      <c r="A543" s="16">
        <v>45029.0</v>
      </c>
      <c r="B543" s="13" t="s">
        <v>1125</v>
      </c>
      <c r="C543" s="13" t="s">
        <v>1126</v>
      </c>
      <c r="D543" s="13" t="s">
        <v>10</v>
      </c>
      <c r="E543" s="13" t="s">
        <v>54</v>
      </c>
      <c r="F543" s="13">
        <v>2016.0</v>
      </c>
      <c r="G543" s="13">
        <v>20032.0</v>
      </c>
      <c r="H543" s="13">
        <v>1192.71</v>
      </c>
      <c r="I543" s="13">
        <f>' car_sales_data 1'!$G543*0.2</f>
        <v>4006.4</v>
      </c>
      <c r="J543" s="13" t="str">
        <f>TEXT(' car_sales_data 1'!$A543,"mmmm")</f>
        <v>April</v>
      </c>
      <c r="K543" s="13" t="str">
        <f>IF(' car_sales_data 1'!$G543&gt;40000,"Premium",
 IF(' car_sales_data 1'!$G543&gt;=20000,"Mid Range","Budget"))</f>
        <v>Mid Range</v>
      </c>
      <c r="L543" s="13">
        <f>YEAR(TODAY())-' car_sales_data 1'!$F543</f>
        <v>9</v>
      </c>
    </row>
    <row r="544" ht="15.75" customHeight="1">
      <c r="A544" s="16">
        <v>44897.0</v>
      </c>
      <c r="B544" s="13" t="s">
        <v>1127</v>
      </c>
      <c r="C544" s="13" t="s">
        <v>1128</v>
      </c>
      <c r="D544" s="13" t="s">
        <v>8</v>
      </c>
      <c r="E544" s="13" t="s">
        <v>57</v>
      </c>
      <c r="F544" s="13">
        <v>2015.0</v>
      </c>
      <c r="G544" s="13">
        <v>10684.0</v>
      </c>
      <c r="H544" s="13">
        <v>1510.08</v>
      </c>
      <c r="I544" s="13">
        <f>' car_sales_data 1'!$G544*0.2</f>
        <v>2136.8</v>
      </c>
      <c r="J544" s="13" t="str">
        <f>TEXT(' car_sales_data 1'!$A544,"mmmm")</f>
        <v>December</v>
      </c>
      <c r="K544" s="13" t="str">
        <f>IF(' car_sales_data 1'!$G544&gt;40000,"Premium",
 IF(' car_sales_data 1'!$G544&gt;=20000,"Mid Range","Budget"))</f>
        <v>Budget</v>
      </c>
      <c r="L544" s="13">
        <f>YEAR(TODAY())-' car_sales_data 1'!$F544</f>
        <v>10</v>
      </c>
    </row>
    <row r="545" ht="15.75" customHeight="1">
      <c r="A545" s="16">
        <v>44923.0</v>
      </c>
      <c r="B545" s="13" t="s">
        <v>1129</v>
      </c>
      <c r="C545" s="13" t="s">
        <v>1021</v>
      </c>
      <c r="D545" s="13" t="s">
        <v>8</v>
      </c>
      <c r="E545" s="13" t="s">
        <v>51</v>
      </c>
      <c r="F545" s="13">
        <v>2018.0</v>
      </c>
      <c r="G545" s="13">
        <v>31592.0</v>
      </c>
      <c r="H545" s="13">
        <v>3042.93</v>
      </c>
      <c r="I545" s="13">
        <f>' car_sales_data 1'!$G545*0.2</f>
        <v>6318.4</v>
      </c>
      <c r="J545" s="13" t="str">
        <f>TEXT(' car_sales_data 1'!$A545,"mmmm")</f>
        <v>December</v>
      </c>
      <c r="K545" s="13" t="str">
        <f>IF(' car_sales_data 1'!$G545&gt;40000,"Premium",
 IF(' car_sales_data 1'!$G545&gt;=20000,"Mid Range","Budget"))</f>
        <v>Mid Range</v>
      </c>
      <c r="L545" s="13">
        <f>YEAR(TODAY())-' car_sales_data 1'!$F545</f>
        <v>7</v>
      </c>
    </row>
    <row r="546" ht="15.75" customHeight="1">
      <c r="A546" s="16">
        <v>44886.0</v>
      </c>
      <c r="B546" s="13" t="s">
        <v>1130</v>
      </c>
      <c r="C546" s="13" t="s">
        <v>1131</v>
      </c>
      <c r="D546" s="13" t="s">
        <v>12</v>
      </c>
      <c r="E546" s="13" t="s">
        <v>70</v>
      </c>
      <c r="F546" s="13">
        <v>2012.0</v>
      </c>
      <c r="G546" s="13">
        <v>40501.0</v>
      </c>
      <c r="H546" s="13">
        <v>3983.06</v>
      </c>
      <c r="I546" s="13">
        <f>' car_sales_data 1'!$G546*0.2</f>
        <v>8100.2</v>
      </c>
      <c r="J546" s="13" t="str">
        <f>TEXT(' car_sales_data 1'!$A546,"mmmm")</f>
        <v>November</v>
      </c>
      <c r="K546" s="13" t="str">
        <f>IF(' car_sales_data 1'!$G546&gt;40000,"Premium",
 IF(' car_sales_data 1'!$G546&gt;=20000,"Mid Range","Budget"))</f>
        <v>Premium</v>
      </c>
      <c r="L546" s="13">
        <f>YEAR(TODAY())-' car_sales_data 1'!$F546</f>
        <v>13</v>
      </c>
    </row>
    <row r="547" ht="15.75" customHeight="1">
      <c r="A547" s="16">
        <v>44790.0</v>
      </c>
      <c r="B547" s="13" t="s">
        <v>1132</v>
      </c>
      <c r="C547" s="13" t="s">
        <v>1133</v>
      </c>
      <c r="D547" s="13" t="s">
        <v>6</v>
      </c>
      <c r="E547" s="13" t="s">
        <v>57</v>
      </c>
      <c r="F547" s="13">
        <v>2020.0</v>
      </c>
      <c r="G547" s="13">
        <v>37942.0</v>
      </c>
      <c r="H547" s="13">
        <v>3177.25</v>
      </c>
      <c r="I547" s="13">
        <f>' car_sales_data 1'!$G547*0.2</f>
        <v>7588.4</v>
      </c>
      <c r="J547" s="13" t="str">
        <f>TEXT(' car_sales_data 1'!$A547,"mmmm")</f>
        <v>August</v>
      </c>
      <c r="K547" s="13" t="str">
        <f>IF(' car_sales_data 1'!$G547&gt;40000,"Premium",
 IF(' car_sales_data 1'!$G547&gt;=20000,"Mid Range","Budget"))</f>
        <v>Mid Range</v>
      </c>
      <c r="L547" s="13">
        <f>YEAR(TODAY())-' car_sales_data 1'!$F547</f>
        <v>5</v>
      </c>
    </row>
    <row r="548" ht="15.75" customHeight="1">
      <c r="A548" s="16">
        <v>44950.0</v>
      </c>
      <c r="B548" s="13" t="s">
        <v>1134</v>
      </c>
      <c r="C548" s="13" t="s">
        <v>1135</v>
      </c>
      <c r="D548" s="13" t="s">
        <v>14</v>
      </c>
      <c r="E548" s="13" t="s">
        <v>62</v>
      </c>
      <c r="F548" s="13">
        <v>2012.0</v>
      </c>
      <c r="G548" s="13">
        <v>43942.0</v>
      </c>
      <c r="H548" s="13">
        <v>2838.05</v>
      </c>
      <c r="I548" s="13">
        <f>' car_sales_data 1'!$G548*0.2</f>
        <v>8788.4</v>
      </c>
      <c r="J548" s="13" t="str">
        <f>TEXT(' car_sales_data 1'!$A548,"mmmm")</f>
        <v>January</v>
      </c>
      <c r="K548" s="13" t="str">
        <f>IF(' car_sales_data 1'!$G548&gt;40000,"Premium",
 IF(' car_sales_data 1'!$G548&gt;=20000,"Mid Range","Budget"))</f>
        <v>Premium</v>
      </c>
      <c r="L548" s="13">
        <f>YEAR(TODAY())-' car_sales_data 1'!$F548</f>
        <v>13</v>
      </c>
    </row>
    <row r="549" ht="15.75" customHeight="1">
      <c r="A549" s="16">
        <v>44954.0</v>
      </c>
      <c r="B549" s="13" t="s">
        <v>1136</v>
      </c>
      <c r="C549" s="13" t="s">
        <v>1137</v>
      </c>
      <c r="D549" s="13" t="s">
        <v>6</v>
      </c>
      <c r="E549" s="13" t="s">
        <v>70</v>
      </c>
      <c r="F549" s="13">
        <v>2010.0</v>
      </c>
      <c r="G549" s="13">
        <v>35786.0</v>
      </c>
      <c r="H549" s="13">
        <v>3204.31</v>
      </c>
      <c r="I549" s="13">
        <f>' car_sales_data 1'!$G549*0.2</f>
        <v>7157.2</v>
      </c>
      <c r="J549" s="13" t="str">
        <f>TEXT(' car_sales_data 1'!$A549,"mmmm")</f>
        <v>January</v>
      </c>
      <c r="K549" s="13" t="str">
        <f>IF(' car_sales_data 1'!$G549&gt;40000,"Premium",
 IF(' car_sales_data 1'!$G549&gt;=20000,"Mid Range","Budget"))</f>
        <v>Mid Range</v>
      </c>
      <c r="L549" s="13">
        <f>YEAR(TODAY())-' car_sales_data 1'!$F549</f>
        <v>15</v>
      </c>
    </row>
    <row r="550" ht="15.75" customHeight="1">
      <c r="A550" s="16">
        <v>44692.0</v>
      </c>
      <c r="B550" s="13" t="s">
        <v>1138</v>
      </c>
      <c r="C550" s="13" t="s">
        <v>1139</v>
      </c>
      <c r="D550" s="13" t="s">
        <v>8</v>
      </c>
      <c r="E550" s="13" t="s">
        <v>70</v>
      </c>
      <c r="F550" s="13">
        <v>2022.0</v>
      </c>
      <c r="G550" s="13">
        <v>22488.0</v>
      </c>
      <c r="H550" s="13">
        <v>1488.24</v>
      </c>
      <c r="I550" s="13">
        <f>' car_sales_data 1'!$G550*0.2</f>
        <v>4497.6</v>
      </c>
      <c r="J550" s="13" t="str">
        <f>TEXT(' car_sales_data 1'!$A550,"mmmm")</f>
        <v>May</v>
      </c>
      <c r="K550" s="13" t="str">
        <f>IF(' car_sales_data 1'!$G550&gt;40000,"Premium",
 IF(' car_sales_data 1'!$G550&gt;=20000,"Mid Range","Budget"))</f>
        <v>Mid Range</v>
      </c>
      <c r="L550" s="13">
        <f>YEAR(TODAY())-' car_sales_data 1'!$F550</f>
        <v>3</v>
      </c>
    </row>
    <row r="551" ht="15.75" customHeight="1">
      <c r="A551" s="16">
        <v>44894.0</v>
      </c>
      <c r="B551" s="13" t="s">
        <v>1140</v>
      </c>
      <c r="C551" s="13" t="s">
        <v>1141</v>
      </c>
      <c r="D551" s="13" t="s">
        <v>10</v>
      </c>
      <c r="E551" s="13" t="s">
        <v>70</v>
      </c>
      <c r="F551" s="13">
        <v>2015.0</v>
      </c>
      <c r="G551" s="13">
        <v>24124.0</v>
      </c>
      <c r="H551" s="13">
        <v>2649.16</v>
      </c>
      <c r="I551" s="13">
        <f>' car_sales_data 1'!$G551*0.2</f>
        <v>4824.8</v>
      </c>
      <c r="J551" s="13" t="str">
        <f>TEXT(' car_sales_data 1'!$A551,"mmmm")</f>
        <v>November</v>
      </c>
      <c r="K551" s="13" t="str">
        <f>IF(' car_sales_data 1'!$G551&gt;40000,"Premium",
 IF(' car_sales_data 1'!$G551&gt;=20000,"Mid Range","Budget"))</f>
        <v>Mid Range</v>
      </c>
      <c r="L551" s="13">
        <f>YEAR(TODAY())-' car_sales_data 1'!$F551</f>
        <v>10</v>
      </c>
    </row>
    <row r="552" ht="15.75" customHeight="1">
      <c r="A552" s="16">
        <v>44829.0</v>
      </c>
      <c r="B552" s="13" t="s">
        <v>1142</v>
      </c>
      <c r="C552" s="13" t="s">
        <v>1143</v>
      </c>
      <c r="D552" s="13" t="s">
        <v>8</v>
      </c>
      <c r="E552" s="13" t="s">
        <v>54</v>
      </c>
      <c r="F552" s="13">
        <v>2012.0</v>
      </c>
      <c r="G552" s="13">
        <v>19446.0</v>
      </c>
      <c r="H552" s="13">
        <v>2502.34</v>
      </c>
      <c r="I552" s="13">
        <f>' car_sales_data 1'!$G552*0.2</f>
        <v>3889.2</v>
      </c>
      <c r="J552" s="13" t="str">
        <f>TEXT(' car_sales_data 1'!$A552,"mmmm")</f>
        <v>September</v>
      </c>
      <c r="K552" s="13" t="str">
        <f>IF(' car_sales_data 1'!$G552&gt;40000,"Premium",
 IF(' car_sales_data 1'!$G552&gt;=20000,"Mid Range","Budget"))</f>
        <v>Budget</v>
      </c>
      <c r="L552" s="13">
        <f>YEAR(TODAY())-' car_sales_data 1'!$F552</f>
        <v>13</v>
      </c>
    </row>
    <row r="553" ht="15.75" customHeight="1">
      <c r="A553" s="16">
        <v>44811.0</v>
      </c>
      <c r="B553" s="13" t="s">
        <v>1144</v>
      </c>
      <c r="C553" s="13" t="s">
        <v>1145</v>
      </c>
      <c r="D553" s="13" t="s">
        <v>10</v>
      </c>
      <c r="E553" s="13" t="s">
        <v>54</v>
      </c>
      <c r="F553" s="13">
        <v>2013.0</v>
      </c>
      <c r="G553" s="13">
        <v>48419.0</v>
      </c>
      <c r="H553" s="13">
        <v>6150.09</v>
      </c>
      <c r="I553" s="13">
        <f>' car_sales_data 1'!$G553*0.2</f>
        <v>9683.8</v>
      </c>
      <c r="J553" s="13" t="str">
        <f>TEXT(' car_sales_data 1'!$A553,"mmmm")</f>
        <v>September</v>
      </c>
      <c r="K553" s="13" t="str">
        <f>IF(' car_sales_data 1'!$G553&gt;40000,"Premium",
 IF(' car_sales_data 1'!$G553&gt;=20000,"Mid Range","Budget"))</f>
        <v>Premium</v>
      </c>
      <c r="L553" s="13">
        <f>YEAR(TODAY())-' car_sales_data 1'!$F553</f>
        <v>12</v>
      </c>
    </row>
    <row r="554" ht="15.75" customHeight="1">
      <c r="A554" s="16">
        <v>45035.0</v>
      </c>
      <c r="B554" s="13" t="s">
        <v>1146</v>
      </c>
      <c r="C554" s="13" t="s">
        <v>1147</v>
      </c>
      <c r="D554" s="13" t="s">
        <v>6</v>
      </c>
      <c r="E554" s="13" t="s">
        <v>70</v>
      </c>
      <c r="F554" s="13">
        <v>2021.0</v>
      </c>
      <c r="G554" s="13">
        <v>28651.0</v>
      </c>
      <c r="H554" s="13">
        <v>2639.97</v>
      </c>
      <c r="I554" s="13">
        <f>' car_sales_data 1'!$G554*0.2</f>
        <v>5730.2</v>
      </c>
      <c r="J554" s="13" t="str">
        <f>TEXT(' car_sales_data 1'!$A554,"mmmm")</f>
        <v>April</v>
      </c>
      <c r="K554" s="13" t="str">
        <f>IF(' car_sales_data 1'!$G554&gt;40000,"Premium",
 IF(' car_sales_data 1'!$G554&gt;=20000,"Mid Range","Budget"))</f>
        <v>Mid Range</v>
      </c>
      <c r="L554" s="13">
        <f>YEAR(TODAY())-' car_sales_data 1'!$F554</f>
        <v>4</v>
      </c>
    </row>
    <row r="555" ht="15.75" customHeight="1">
      <c r="A555" s="16">
        <v>44899.0</v>
      </c>
      <c r="B555" s="13" t="s">
        <v>1148</v>
      </c>
      <c r="C555" s="13" t="s">
        <v>1149</v>
      </c>
      <c r="D555" s="13" t="s">
        <v>6</v>
      </c>
      <c r="E555" s="13" t="s">
        <v>54</v>
      </c>
      <c r="F555" s="13">
        <v>2013.0</v>
      </c>
      <c r="G555" s="13">
        <v>49855.0</v>
      </c>
      <c r="H555" s="13">
        <v>7206.73</v>
      </c>
      <c r="I555" s="13">
        <f>' car_sales_data 1'!$G555*0.2</f>
        <v>9971</v>
      </c>
      <c r="J555" s="13" t="str">
        <f>TEXT(' car_sales_data 1'!$A555,"mmmm")</f>
        <v>December</v>
      </c>
      <c r="K555" s="13" t="str">
        <f>IF(' car_sales_data 1'!$G555&gt;40000,"Premium",
 IF(' car_sales_data 1'!$G555&gt;=20000,"Mid Range","Budget"))</f>
        <v>Premium</v>
      </c>
      <c r="L555" s="13">
        <f>YEAR(TODAY())-' car_sales_data 1'!$F555</f>
        <v>12</v>
      </c>
    </row>
    <row r="556" ht="15.75" customHeight="1">
      <c r="A556" s="16">
        <v>44705.0</v>
      </c>
      <c r="B556" s="13" t="s">
        <v>1150</v>
      </c>
      <c r="C556" s="13" t="s">
        <v>1151</v>
      </c>
      <c r="D556" s="13" t="s">
        <v>10</v>
      </c>
      <c r="E556" s="13" t="s">
        <v>70</v>
      </c>
      <c r="F556" s="13">
        <v>2021.0</v>
      </c>
      <c r="G556" s="13">
        <v>36865.0</v>
      </c>
      <c r="H556" s="13">
        <v>2104.36</v>
      </c>
      <c r="I556" s="13">
        <f>' car_sales_data 1'!$G556*0.2</f>
        <v>7373</v>
      </c>
      <c r="J556" s="13" t="str">
        <f>TEXT(' car_sales_data 1'!$A556,"mmmm")</f>
        <v>May</v>
      </c>
      <c r="K556" s="13" t="str">
        <f>IF(' car_sales_data 1'!$G556&gt;40000,"Premium",
 IF(' car_sales_data 1'!$G556&gt;=20000,"Mid Range","Budget"))</f>
        <v>Mid Range</v>
      </c>
      <c r="L556" s="13">
        <f>YEAR(TODAY())-' car_sales_data 1'!$F556</f>
        <v>4</v>
      </c>
    </row>
    <row r="557" ht="15.75" customHeight="1">
      <c r="A557" s="16">
        <v>44687.0</v>
      </c>
      <c r="B557" s="13" t="s">
        <v>1152</v>
      </c>
      <c r="C557" s="13" t="s">
        <v>1153</v>
      </c>
      <c r="D557" s="13" t="s">
        <v>6</v>
      </c>
      <c r="E557" s="13" t="s">
        <v>57</v>
      </c>
      <c r="F557" s="13">
        <v>2018.0</v>
      </c>
      <c r="G557" s="13">
        <v>41520.0</v>
      </c>
      <c r="H557" s="13">
        <v>2830.26</v>
      </c>
      <c r="I557" s="13">
        <f>' car_sales_data 1'!$G557*0.2</f>
        <v>8304</v>
      </c>
      <c r="J557" s="13" t="str">
        <f>TEXT(' car_sales_data 1'!$A557,"mmmm")</f>
        <v>May</v>
      </c>
      <c r="K557" s="13" t="str">
        <f>IF(' car_sales_data 1'!$G557&gt;40000,"Premium",
 IF(' car_sales_data 1'!$G557&gt;=20000,"Mid Range","Budget"))</f>
        <v>Premium</v>
      </c>
      <c r="L557" s="13">
        <f>YEAR(TODAY())-' car_sales_data 1'!$F557</f>
        <v>7</v>
      </c>
    </row>
    <row r="558" ht="15.75" customHeight="1">
      <c r="A558" s="16">
        <v>45011.0</v>
      </c>
      <c r="B558" s="13" t="s">
        <v>1154</v>
      </c>
      <c r="C558" s="13" t="s">
        <v>1155</v>
      </c>
      <c r="D558" s="13" t="s">
        <v>6</v>
      </c>
      <c r="E558" s="13" t="s">
        <v>51</v>
      </c>
      <c r="F558" s="13">
        <v>2012.0</v>
      </c>
      <c r="G558" s="13">
        <v>25699.0</v>
      </c>
      <c r="H558" s="13">
        <v>1681.95</v>
      </c>
      <c r="I558" s="13">
        <f>' car_sales_data 1'!$G558*0.2</f>
        <v>5139.8</v>
      </c>
      <c r="J558" s="13" t="str">
        <f>TEXT(' car_sales_data 1'!$A558,"mmmm")</f>
        <v>March</v>
      </c>
      <c r="K558" s="13" t="str">
        <f>IF(' car_sales_data 1'!$G558&gt;40000,"Premium",
 IF(' car_sales_data 1'!$G558&gt;=20000,"Mid Range","Budget"))</f>
        <v>Mid Range</v>
      </c>
      <c r="L558" s="13">
        <f>YEAR(TODAY())-' car_sales_data 1'!$F558</f>
        <v>13</v>
      </c>
    </row>
    <row r="559" ht="15.75" customHeight="1">
      <c r="A559" s="16">
        <v>44917.0</v>
      </c>
      <c r="B559" s="13" t="s">
        <v>1156</v>
      </c>
      <c r="C559" s="13" t="s">
        <v>1157</v>
      </c>
      <c r="D559" s="13" t="s">
        <v>8</v>
      </c>
      <c r="E559" s="13" t="s">
        <v>54</v>
      </c>
      <c r="F559" s="13">
        <v>2017.0</v>
      </c>
      <c r="G559" s="13">
        <v>10503.0</v>
      </c>
      <c r="H559" s="13">
        <v>657.07</v>
      </c>
      <c r="I559" s="13">
        <f>' car_sales_data 1'!$G559*0.2</f>
        <v>2100.6</v>
      </c>
      <c r="J559" s="13" t="str">
        <f>TEXT(' car_sales_data 1'!$A559,"mmmm")</f>
        <v>December</v>
      </c>
      <c r="K559" s="13" t="str">
        <f>IF(' car_sales_data 1'!$G559&gt;40000,"Premium",
 IF(' car_sales_data 1'!$G559&gt;=20000,"Mid Range","Budget"))</f>
        <v>Budget</v>
      </c>
      <c r="L559" s="13">
        <f>YEAR(TODAY())-' car_sales_data 1'!$F559</f>
        <v>8</v>
      </c>
    </row>
    <row r="560" ht="15.75" customHeight="1">
      <c r="A560" s="16">
        <v>44896.0</v>
      </c>
      <c r="B560" s="13" t="s">
        <v>1158</v>
      </c>
      <c r="C560" s="13" t="s">
        <v>1159</v>
      </c>
      <c r="D560" s="13" t="s">
        <v>10</v>
      </c>
      <c r="E560" s="13" t="s">
        <v>57</v>
      </c>
      <c r="F560" s="13">
        <v>2022.0</v>
      </c>
      <c r="G560" s="13">
        <v>13986.0</v>
      </c>
      <c r="H560" s="13">
        <v>1315.01</v>
      </c>
      <c r="I560" s="13">
        <f>' car_sales_data 1'!$G560*0.2</f>
        <v>2797.2</v>
      </c>
      <c r="J560" s="13" t="str">
        <f>TEXT(' car_sales_data 1'!$A560,"mmmm")</f>
        <v>December</v>
      </c>
      <c r="K560" s="13" t="str">
        <f>IF(' car_sales_data 1'!$G560&gt;40000,"Premium",
 IF(' car_sales_data 1'!$G560&gt;=20000,"Mid Range","Budget"))</f>
        <v>Budget</v>
      </c>
      <c r="L560" s="13">
        <f>YEAR(TODAY())-' car_sales_data 1'!$F560</f>
        <v>3</v>
      </c>
    </row>
    <row r="561" ht="15.75" customHeight="1">
      <c r="A561" s="16">
        <v>44997.0</v>
      </c>
      <c r="B561" s="13" t="s">
        <v>1160</v>
      </c>
      <c r="C561" s="13" t="s">
        <v>1161</v>
      </c>
      <c r="D561" s="13" t="s">
        <v>8</v>
      </c>
      <c r="E561" s="13" t="s">
        <v>57</v>
      </c>
      <c r="F561" s="13">
        <v>2010.0</v>
      </c>
      <c r="G561" s="13">
        <v>12103.0</v>
      </c>
      <c r="H561" s="13">
        <v>646.31</v>
      </c>
      <c r="I561" s="13">
        <f>' car_sales_data 1'!$G561*0.2</f>
        <v>2420.6</v>
      </c>
      <c r="J561" s="13" t="str">
        <f>TEXT(' car_sales_data 1'!$A561,"mmmm")</f>
        <v>March</v>
      </c>
      <c r="K561" s="13" t="str">
        <f>IF(' car_sales_data 1'!$G561&gt;40000,"Premium",
 IF(' car_sales_data 1'!$G561&gt;=20000,"Mid Range","Budget"))</f>
        <v>Budget</v>
      </c>
      <c r="L561" s="13">
        <f>YEAR(TODAY())-' car_sales_data 1'!$F561</f>
        <v>15</v>
      </c>
    </row>
    <row r="562" ht="15.75" customHeight="1">
      <c r="A562" s="16">
        <v>44809.0</v>
      </c>
      <c r="B562" s="13" t="s">
        <v>1162</v>
      </c>
      <c r="C562" s="13" t="s">
        <v>1163</v>
      </c>
      <c r="D562" s="13" t="s">
        <v>14</v>
      </c>
      <c r="E562" s="13" t="s">
        <v>57</v>
      </c>
      <c r="F562" s="13">
        <v>2017.0</v>
      </c>
      <c r="G562" s="13">
        <v>25635.0</v>
      </c>
      <c r="H562" s="13">
        <v>3785.25</v>
      </c>
      <c r="I562" s="13">
        <f>' car_sales_data 1'!$G562*0.2</f>
        <v>5127</v>
      </c>
      <c r="J562" s="13" t="str">
        <f>TEXT(' car_sales_data 1'!$A562,"mmmm")</f>
        <v>September</v>
      </c>
      <c r="K562" s="13" t="str">
        <f>IF(' car_sales_data 1'!$G562&gt;40000,"Premium",
 IF(' car_sales_data 1'!$G562&gt;=20000,"Mid Range","Budget"))</f>
        <v>Mid Range</v>
      </c>
      <c r="L562" s="13">
        <f>YEAR(TODAY())-' car_sales_data 1'!$F562</f>
        <v>8</v>
      </c>
    </row>
    <row r="563" ht="15.75" customHeight="1">
      <c r="A563" s="16">
        <v>44802.0</v>
      </c>
      <c r="B563" s="13" t="s">
        <v>1164</v>
      </c>
      <c r="C563" s="13" t="s">
        <v>1165</v>
      </c>
      <c r="D563" s="13" t="s">
        <v>6</v>
      </c>
      <c r="E563" s="13" t="s">
        <v>57</v>
      </c>
      <c r="F563" s="13">
        <v>2019.0</v>
      </c>
      <c r="G563" s="13">
        <v>27849.0</v>
      </c>
      <c r="H563" s="13">
        <v>1669.52</v>
      </c>
      <c r="I563" s="13">
        <f>' car_sales_data 1'!$G563*0.2</f>
        <v>5569.8</v>
      </c>
      <c r="J563" s="13" t="str">
        <f>TEXT(' car_sales_data 1'!$A563,"mmmm")</f>
        <v>August</v>
      </c>
      <c r="K563" s="13" t="str">
        <f>IF(' car_sales_data 1'!$G563&gt;40000,"Premium",
 IF(' car_sales_data 1'!$G563&gt;=20000,"Mid Range","Budget"))</f>
        <v>Mid Range</v>
      </c>
      <c r="L563" s="13">
        <f>YEAR(TODAY())-' car_sales_data 1'!$F563</f>
        <v>6</v>
      </c>
    </row>
    <row r="564" ht="15.75" customHeight="1">
      <c r="A564" s="16">
        <v>44911.0</v>
      </c>
      <c r="B564" s="13" t="s">
        <v>1166</v>
      </c>
      <c r="C564" s="13" t="s">
        <v>1167</v>
      </c>
      <c r="D564" s="13" t="s">
        <v>12</v>
      </c>
      <c r="E564" s="13" t="s">
        <v>54</v>
      </c>
      <c r="F564" s="13">
        <v>2018.0</v>
      </c>
      <c r="G564" s="13">
        <v>14023.0</v>
      </c>
      <c r="H564" s="13">
        <v>1635.06</v>
      </c>
      <c r="I564" s="13">
        <f>' car_sales_data 1'!$G564*0.2</f>
        <v>2804.6</v>
      </c>
      <c r="J564" s="13" t="str">
        <f>TEXT(' car_sales_data 1'!$A564,"mmmm")</f>
        <v>December</v>
      </c>
      <c r="K564" s="13" t="str">
        <f>IF(' car_sales_data 1'!$G564&gt;40000,"Premium",
 IF(' car_sales_data 1'!$G564&gt;=20000,"Mid Range","Budget"))</f>
        <v>Budget</v>
      </c>
      <c r="L564" s="13">
        <f>YEAR(TODAY())-' car_sales_data 1'!$F564</f>
        <v>7</v>
      </c>
    </row>
    <row r="565" ht="15.75" customHeight="1">
      <c r="A565" s="16">
        <v>44682.0</v>
      </c>
      <c r="B565" s="13" t="s">
        <v>1168</v>
      </c>
      <c r="C565" s="13" t="s">
        <v>1169</v>
      </c>
      <c r="D565" s="13" t="s">
        <v>14</v>
      </c>
      <c r="E565" s="13" t="s">
        <v>51</v>
      </c>
      <c r="F565" s="13">
        <v>2010.0</v>
      </c>
      <c r="G565" s="13">
        <v>11040.0</v>
      </c>
      <c r="H565" s="13">
        <v>742.56</v>
      </c>
      <c r="I565" s="13">
        <f>' car_sales_data 1'!$G565*0.2</f>
        <v>2208</v>
      </c>
      <c r="J565" s="13" t="str">
        <f>TEXT(' car_sales_data 1'!$A565,"mmmm")</f>
        <v>May</v>
      </c>
      <c r="K565" s="13" t="str">
        <f>IF(' car_sales_data 1'!$G565&gt;40000,"Premium",
 IF(' car_sales_data 1'!$G565&gt;=20000,"Mid Range","Budget"))</f>
        <v>Budget</v>
      </c>
      <c r="L565" s="13">
        <f>YEAR(TODAY())-' car_sales_data 1'!$F565</f>
        <v>15</v>
      </c>
    </row>
    <row r="566" ht="15.75" customHeight="1">
      <c r="A566" s="16">
        <v>44784.0</v>
      </c>
      <c r="B566" s="13" t="s">
        <v>1170</v>
      </c>
      <c r="C566" s="13" t="s">
        <v>1171</v>
      </c>
      <c r="D566" s="13" t="s">
        <v>10</v>
      </c>
      <c r="E566" s="13" t="s">
        <v>54</v>
      </c>
      <c r="F566" s="13">
        <v>2012.0</v>
      </c>
      <c r="G566" s="13">
        <v>29937.0</v>
      </c>
      <c r="H566" s="13">
        <v>4299.23</v>
      </c>
      <c r="I566" s="13">
        <f>' car_sales_data 1'!$G566*0.2</f>
        <v>5987.4</v>
      </c>
      <c r="J566" s="13" t="str">
        <f>TEXT(' car_sales_data 1'!$A566,"mmmm")</f>
        <v>August</v>
      </c>
      <c r="K566" s="13" t="str">
        <f>IF(' car_sales_data 1'!$G566&gt;40000,"Premium",
 IF(' car_sales_data 1'!$G566&gt;=20000,"Mid Range","Budget"))</f>
        <v>Mid Range</v>
      </c>
      <c r="L566" s="13">
        <f>YEAR(TODAY())-' car_sales_data 1'!$F566</f>
        <v>13</v>
      </c>
    </row>
    <row r="567" ht="15.75" customHeight="1">
      <c r="A567" s="16">
        <v>45043.0</v>
      </c>
      <c r="B567" s="13" t="s">
        <v>1172</v>
      </c>
      <c r="C567" s="13" t="s">
        <v>1173</v>
      </c>
      <c r="D567" s="13" t="s">
        <v>6</v>
      </c>
      <c r="E567" s="13" t="s">
        <v>70</v>
      </c>
      <c r="F567" s="13">
        <v>2013.0</v>
      </c>
      <c r="G567" s="13">
        <v>31020.0</v>
      </c>
      <c r="H567" s="13">
        <v>3769.85</v>
      </c>
      <c r="I567" s="13">
        <f>' car_sales_data 1'!$G567*0.2</f>
        <v>6204</v>
      </c>
      <c r="J567" s="13" t="str">
        <f>TEXT(' car_sales_data 1'!$A567,"mmmm")</f>
        <v>April</v>
      </c>
      <c r="K567" s="13" t="str">
        <f>IF(' car_sales_data 1'!$G567&gt;40000,"Premium",
 IF(' car_sales_data 1'!$G567&gt;=20000,"Mid Range","Budget"))</f>
        <v>Mid Range</v>
      </c>
      <c r="L567" s="13">
        <f>YEAR(TODAY())-' car_sales_data 1'!$F567</f>
        <v>12</v>
      </c>
    </row>
    <row r="568" ht="15.75" customHeight="1">
      <c r="A568" s="16">
        <v>44686.0</v>
      </c>
      <c r="B568" s="13" t="s">
        <v>1174</v>
      </c>
      <c r="C568" s="13" t="s">
        <v>1175</v>
      </c>
      <c r="D568" s="13" t="s">
        <v>8</v>
      </c>
      <c r="E568" s="13" t="s">
        <v>51</v>
      </c>
      <c r="F568" s="13">
        <v>2013.0</v>
      </c>
      <c r="G568" s="13">
        <v>17180.0</v>
      </c>
      <c r="H568" s="13">
        <v>1263.66</v>
      </c>
      <c r="I568" s="13">
        <f>' car_sales_data 1'!$G568*0.2</f>
        <v>3436</v>
      </c>
      <c r="J568" s="13" t="str">
        <f>TEXT(' car_sales_data 1'!$A568,"mmmm")</f>
        <v>May</v>
      </c>
      <c r="K568" s="13" t="str">
        <f>IF(' car_sales_data 1'!$G568&gt;40000,"Premium",
 IF(' car_sales_data 1'!$G568&gt;=20000,"Mid Range","Budget"))</f>
        <v>Budget</v>
      </c>
      <c r="L568" s="13">
        <f>YEAR(TODAY())-' car_sales_data 1'!$F568</f>
        <v>12</v>
      </c>
    </row>
    <row r="569" ht="15.75" customHeight="1">
      <c r="A569" s="16">
        <v>44897.0</v>
      </c>
      <c r="B569" s="13" t="s">
        <v>1176</v>
      </c>
      <c r="C569" s="13" t="s">
        <v>1177</v>
      </c>
      <c r="D569" s="13" t="s">
        <v>6</v>
      </c>
      <c r="E569" s="13" t="s">
        <v>62</v>
      </c>
      <c r="F569" s="13">
        <v>2010.0</v>
      </c>
      <c r="G569" s="13">
        <v>47997.0</v>
      </c>
      <c r="H569" s="13">
        <v>4415.36</v>
      </c>
      <c r="I569" s="13">
        <f>' car_sales_data 1'!$G569*0.2</f>
        <v>9599.4</v>
      </c>
      <c r="J569" s="13" t="str">
        <f>TEXT(' car_sales_data 1'!$A569,"mmmm")</f>
        <v>December</v>
      </c>
      <c r="K569" s="13" t="str">
        <f>IF(' car_sales_data 1'!$G569&gt;40000,"Premium",
 IF(' car_sales_data 1'!$G569&gt;=20000,"Mid Range","Budget"))</f>
        <v>Premium</v>
      </c>
      <c r="L569" s="13">
        <f>YEAR(TODAY())-' car_sales_data 1'!$F569</f>
        <v>15</v>
      </c>
    </row>
    <row r="570" ht="15.75" customHeight="1">
      <c r="A570" s="16">
        <v>44734.0</v>
      </c>
      <c r="B570" s="13" t="s">
        <v>1178</v>
      </c>
      <c r="C570" s="13" t="s">
        <v>1179</v>
      </c>
      <c r="D570" s="13" t="s">
        <v>6</v>
      </c>
      <c r="E570" s="13" t="s">
        <v>62</v>
      </c>
      <c r="F570" s="13">
        <v>2017.0</v>
      </c>
      <c r="G570" s="13">
        <v>25916.0</v>
      </c>
      <c r="H570" s="13">
        <v>3400.76</v>
      </c>
      <c r="I570" s="13">
        <f>' car_sales_data 1'!$G570*0.2</f>
        <v>5183.2</v>
      </c>
      <c r="J570" s="13" t="str">
        <f>TEXT(' car_sales_data 1'!$A570,"mmmm")</f>
        <v>June</v>
      </c>
      <c r="K570" s="13" t="str">
        <f>IF(' car_sales_data 1'!$G570&gt;40000,"Premium",
 IF(' car_sales_data 1'!$G570&gt;=20000,"Mid Range","Budget"))</f>
        <v>Mid Range</v>
      </c>
      <c r="L570" s="13">
        <f>YEAR(TODAY())-' car_sales_data 1'!$F570</f>
        <v>8</v>
      </c>
    </row>
    <row r="571" ht="15.75" customHeight="1">
      <c r="A571" s="16">
        <v>45036.0</v>
      </c>
      <c r="B571" s="13" t="s">
        <v>1180</v>
      </c>
      <c r="C571" s="13" t="s">
        <v>1181</v>
      </c>
      <c r="D571" s="13" t="s">
        <v>14</v>
      </c>
      <c r="E571" s="13" t="s">
        <v>57</v>
      </c>
      <c r="F571" s="13">
        <v>2013.0</v>
      </c>
      <c r="G571" s="13">
        <v>35471.0</v>
      </c>
      <c r="H571" s="13">
        <v>3689.87</v>
      </c>
      <c r="I571" s="13">
        <f>' car_sales_data 1'!$G571*0.2</f>
        <v>7094.2</v>
      </c>
      <c r="J571" s="13" t="str">
        <f>TEXT(' car_sales_data 1'!$A571,"mmmm")</f>
        <v>April</v>
      </c>
      <c r="K571" s="13" t="str">
        <f>IF(' car_sales_data 1'!$G571&gt;40000,"Premium",
 IF(' car_sales_data 1'!$G571&gt;=20000,"Mid Range","Budget"))</f>
        <v>Mid Range</v>
      </c>
      <c r="L571" s="13">
        <f>YEAR(TODAY())-' car_sales_data 1'!$F571</f>
        <v>12</v>
      </c>
    </row>
    <row r="572" ht="15.75" customHeight="1">
      <c r="A572" s="16">
        <v>44868.0</v>
      </c>
      <c r="B572" s="13" t="s">
        <v>1182</v>
      </c>
      <c r="C572" s="13" t="s">
        <v>1183</v>
      </c>
      <c r="D572" s="13" t="s">
        <v>10</v>
      </c>
      <c r="E572" s="13" t="s">
        <v>54</v>
      </c>
      <c r="F572" s="13">
        <v>2022.0</v>
      </c>
      <c r="G572" s="13">
        <v>26200.0</v>
      </c>
      <c r="H572" s="13">
        <v>2352.26</v>
      </c>
      <c r="I572" s="13">
        <f>' car_sales_data 1'!$G572*0.2</f>
        <v>5240</v>
      </c>
      <c r="J572" s="13" t="str">
        <f>TEXT(' car_sales_data 1'!$A572,"mmmm")</f>
        <v>November</v>
      </c>
      <c r="K572" s="13" t="str">
        <f>IF(' car_sales_data 1'!$G572&gt;40000,"Premium",
 IF(' car_sales_data 1'!$G572&gt;=20000,"Mid Range","Budget"))</f>
        <v>Mid Range</v>
      </c>
      <c r="L572" s="13">
        <f>YEAR(TODAY())-' car_sales_data 1'!$F572</f>
        <v>3</v>
      </c>
    </row>
    <row r="573" ht="15.75" customHeight="1">
      <c r="A573" s="16">
        <v>44973.0</v>
      </c>
      <c r="B573" s="13" t="s">
        <v>1184</v>
      </c>
      <c r="C573" s="13" t="s">
        <v>1185</v>
      </c>
      <c r="D573" s="13" t="s">
        <v>14</v>
      </c>
      <c r="E573" s="13" t="s">
        <v>62</v>
      </c>
      <c r="F573" s="13">
        <v>2019.0</v>
      </c>
      <c r="G573" s="13">
        <v>28768.0</v>
      </c>
      <c r="H573" s="13">
        <v>2794.06</v>
      </c>
      <c r="I573" s="13">
        <f>' car_sales_data 1'!$G573*0.2</f>
        <v>5753.6</v>
      </c>
      <c r="J573" s="13" t="str">
        <f>TEXT(' car_sales_data 1'!$A573,"mmmm")</f>
        <v>February</v>
      </c>
      <c r="K573" s="13" t="str">
        <f>IF(' car_sales_data 1'!$G573&gt;40000,"Premium",
 IF(' car_sales_data 1'!$G573&gt;=20000,"Mid Range","Budget"))</f>
        <v>Mid Range</v>
      </c>
      <c r="L573" s="13">
        <f>YEAR(TODAY())-' car_sales_data 1'!$F573</f>
        <v>6</v>
      </c>
    </row>
    <row r="574" ht="15.75" customHeight="1">
      <c r="A574" s="16">
        <v>44907.0</v>
      </c>
      <c r="B574" s="13" t="s">
        <v>1186</v>
      </c>
      <c r="C574" s="13" t="s">
        <v>1187</v>
      </c>
      <c r="D574" s="13" t="s">
        <v>14</v>
      </c>
      <c r="E574" s="13" t="s">
        <v>70</v>
      </c>
      <c r="F574" s="13">
        <v>2017.0</v>
      </c>
      <c r="G574" s="13">
        <v>38804.0</v>
      </c>
      <c r="H574" s="13">
        <v>2154.5</v>
      </c>
      <c r="I574" s="13">
        <f>' car_sales_data 1'!$G574*0.2</f>
        <v>7760.8</v>
      </c>
      <c r="J574" s="13" t="str">
        <f>TEXT(' car_sales_data 1'!$A574,"mmmm")</f>
        <v>December</v>
      </c>
      <c r="K574" s="13" t="str">
        <f>IF(' car_sales_data 1'!$G574&gt;40000,"Premium",
 IF(' car_sales_data 1'!$G574&gt;=20000,"Mid Range","Budget"))</f>
        <v>Mid Range</v>
      </c>
      <c r="L574" s="13">
        <f>YEAR(TODAY())-' car_sales_data 1'!$F574</f>
        <v>8</v>
      </c>
    </row>
    <row r="575" ht="15.75" customHeight="1">
      <c r="A575" s="16">
        <v>44942.0</v>
      </c>
      <c r="B575" s="13" t="s">
        <v>1188</v>
      </c>
      <c r="C575" s="13" t="s">
        <v>1189</v>
      </c>
      <c r="D575" s="13" t="s">
        <v>6</v>
      </c>
      <c r="E575" s="13" t="s">
        <v>57</v>
      </c>
      <c r="F575" s="13">
        <v>2011.0</v>
      </c>
      <c r="G575" s="13">
        <v>35487.0</v>
      </c>
      <c r="H575" s="13">
        <v>3734.19</v>
      </c>
      <c r="I575" s="13">
        <f>' car_sales_data 1'!$G575*0.2</f>
        <v>7097.4</v>
      </c>
      <c r="J575" s="13" t="str">
        <f>TEXT(' car_sales_data 1'!$A575,"mmmm")</f>
        <v>January</v>
      </c>
      <c r="K575" s="13" t="str">
        <f>IF(' car_sales_data 1'!$G575&gt;40000,"Premium",
 IF(' car_sales_data 1'!$G575&gt;=20000,"Mid Range","Budget"))</f>
        <v>Mid Range</v>
      </c>
      <c r="L575" s="13">
        <f>YEAR(TODAY())-' car_sales_data 1'!$F575</f>
        <v>14</v>
      </c>
    </row>
    <row r="576" ht="15.75" customHeight="1">
      <c r="A576" s="16">
        <v>44755.0</v>
      </c>
      <c r="B576" s="13" t="s">
        <v>1190</v>
      </c>
      <c r="C576" s="13" t="s">
        <v>1191</v>
      </c>
      <c r="D576" s="13" t="s">
        <v>14</v>
      </c>
      <c r="E576" s="13" t="s">
        <v>54</v>
      </c>
      <c r="F576" s="13">
        <v>2015.0</v>
      </c>
      <c r="G576" s="13">
        <v>41509.0</v>
      </c>
      <c r="H576" s="13">
        <v>2550.27</v>
      </c>
      <c r="I576" s="13">
        <f>' car_sales_data 1'!$G576*0.2</f>
        <v>8301.8</v>
      </c>
      <c r="J576" s="13" t="str">
        <f>TEXT(' car_sales_data 1'!$A576,"mmmm")</f>
        <v>July</v>
      </c>
      <c r="K576" s="13" t="str">
        <f>IF(' car_sales_data 1'!$G576&gt;40000,"Premium",
 IF(' car_sales_data 1'!$G576&gt;=20000,"Mid Range","Budget"))</f>
        <v>Premium</v>
      </c>
      <c r="L576" s="13">
        <f>YEAR(TODAY())-' car_sales_data 1'!$F576</f>
        <v>10</v>
      </c>
    </row>
    <row r="577" ht="15.75" customHeight="1">
      <c r="A577" s="16">
        <v>45037.0</v>
      </c>
      <c r="B577" s="13" t="s">
        <v>1192</v>
      </c>
      <c r="C577" s="13" t="s">
        <v>1193</v>
      </c>
      <c r="D577" s="13" t="s">
        <v>6</v>
      </c>
      <c r="E577" s="13" t="s">
        <v>54</v>
      </c>
      <c r="F577" s="13">
        <v>2018.0</v>
      </c>
      <c r="G577" s="13">
        <v>38725.0</v>
      </c>
      <c r="H577" s="13">
        <v>5686.24</v>
      </c>
      <c r="I577" s="13">
        <f>' car_sales_data 1'!$G577*0.2</f>
        <v>7745</v>
      </c>
      <c r="J577" s="13" t="str">
        <f>TEXT(' car_sales_data 1'!$A577,"mmmm")</f>
        <v>April</v>
      </c>
      <c r="K577" s="13" t="str">
        <f>IF(' car_sales_data 1'!$G577&gt;40000,"Premium",
 IF(' car_sales_data 1'!$G577&gt;=20000,"Mid Range","Budget"))</f>
        <v>Mid Range</v>
      </c>
      <c r="L577" s="13">
        <f>YEAR(TODAY())-' car_sales_data 1'!$F577</f>
        <v>7</v>
      </c>
    </row>
    <row r="578" ht="15.75" customHeight="1">
      <c r="A578" s="16">
        <v>44810.0</v>
      </c>
      <c r="B578" s="13" t="s">
        <v>1194</v>
      </c>
      <c r="C578" s="13" t="s">
        <v>1195</v>
      </c>
      <c r="D578" s="13" t="s">
        <v>14</v>
      </c>
      <c r="E578" s="13" t="s">
        <v>70</v>
      </c>
      <c r="F578" s="13">
        <v>2019.0</v>
      </c>
      <c r="G578" s="13">
        <v>33100.0</v>
      </c>
      <c r="H578" s="13">
        <v>2072.21</v>
      </c>
      <c r="I578" s="13">
        <f>' car_sales_data 1'!$G578*0.2</f>
        <v>6620</v>
      </c>
      <c r="J578" s="13" t="str">
        <f>TEXT(' car_sales_data 1'!$A578,"mmmm")</f>
        <v>September</v>
      </c>
      <c r="K578" s="13" t="str">
        <f>IF(' car_sales_data 1'!$G578&gt;40000,"Premium",
 IF(' car_sales_data 1'!$G578&gt;=20000,"Mid Range","Budget"))</f>
        <v>Mid Range</v>
      </c>
      <c r="L578" s="13">
        <f>YEAR(TODAY())-' car_sales_data 1'!$F578</f>
        <v>6</v>
      </c>
    </row>
    <row r="579" ht="15.75" customHeight="1">
      <c r="A579" s="16">
        <v>44881.0</v>
      </c>
      <c r="B579" s="13" t="s">
        <v>1196</v>
      </c>
      <c r="C579" s="13" t="s">
        <v>1197</v>
      </c>
      <c r="D579" s="13" t="s">
        <v>8</v>
      </c>
      <c r="E579" s="13" t="s">
        <v>54</v>
      </c>
      <c r="F579" s="13">
        <v>2012.0</v>
      </c>
      <c r="G579" s="13">
        <v>27150.0</v>
      </c>
      <c r="H579" s="13">
        <v>2379.54</v>
      </c>
      <c r="I579" s="13">
        <f>' car_sales_data 1'!$G579*0.2</f>
        <v>5430</v>
      </c>
      <c r="J579" s="13" t="str">
        <f>TEXT(' car_sales_data 1'!$A579,"mmmm")</f>
        <v>November</v>
      </c>
      <c r="K579" s="13" t="str">
        <f>IF(' car_sales_data 1'!$G579&gt;40000,"Premium",
 IF(' car_sales_data 1'!$G579&gt;=20000,"Mid Range","Budget"))</f>
        <v>Mid Range</v>
      </c>
      <c r="L579" s="13">
        <f>YEAR(TODAY())-' car_sales_data 1'!$F579</f>
        <v>13</v>
      </c>
    </row>
    <row r="580" ht="15.75" customHeight="1">
      <c r="A580" s="16">
        <v>44884.0</v>
      </c>
      <c r="B580" s="13" t="s">
        <v>1198</v>
      </c>
      <c r="C580" s="13" t="s">
        <v>1199</v>
      </c>
      <c r="D580" s="13" t="s">
        <v>14</v>
      </c>
      <c r="E580" s="13" t="s">
        <v>62</v>
      </c>
      <c r="F580" s="13">
        <v>2018.0</v>
      </c>
      <c r="G580" s="13">
        <v>24381.0</v>
      </c>
      <c r="H580" s="13">
        <v>1772.86</v>
      </c>
      <c r="I580" s="13">
        <f>' car_sales_data 1'!$G580*0.2</f>
        <v>4876.2</v>
      </c>
      <c r="J580" s="13" t="str">
        <f>TEXT(' car_sales_data 1'!$A580,"mmmm")</f>
        <v>November</v>
      </c>
      <c r="K580" s="13" t="str">
        <f>IF(' car_sales_data 1'!$G580&gt;40000,"Premium",
 IF(' car_sales_data 1'!$G580&gt;=20000,"Mid Range","Budget"))</f>
        <v>Mid Range</v>
      </c>
      <c r="L580" s="13">
        <f>YEAR(TODAY())-' car_sales_data 1'!$F580</f>
        <v>7</v>
      </c>
    </row>
    <row r="581" ht="15.75" customHeight="1">
      <c r="A581" s="16">
        <v>44928.0</v>
      </c>
      <c r="B581" s="13" t="s">
        <v>1200</v>
      </c>
      <c r="C581" s="13" t="s">
        <v>1201</v>
      </c>
      <c r="D581" s="13" t="s">
        <v>12</v>
      </c>
      <c r="E581" s="13" t="s">
        <v>51</v>
      </c>
      <c r="F581" s="13">
        <v>2020.0</v>
      </c>
      <c r="G581" s="13">
        <v>34331.0</v>
      </c>
      <c r="H581" s="13">
        <v>4675.28</v>
      </c>
      <c r="I581" s="13">
        <f>' car_sales_data 1'!$G581*0.2</f>
        <v>6866.2</v>
      </c>
      <c r="J581" s="13" t="str">
        <f>TEXT(' car_sales_data 1'!$A581,"mmmm")</f>
        <v>January</v>
      </c>
      <c r="K581" s="13" t="str">
        <f>IF(' car_sales_data 1'!$G581&gt;40000,"Premium",
 IF(' car_sales_data 1'!$G581&gt;=20000,"Mid Range","Budget"))</f>
        <v>Mid Range</v>
      </c>
      <c r="L581" s="13">
        <f>YEAR(TODAY())-' car_sales_data 1'!$F581</f>
        <v>5</v>
      </c>
    </row>
    <row r="582" ht="15.75" customHeight="1">
      <c r="A582" s="16">
        <v>44946.0</v>
      </c>
      <c r="B582" s="13" t="s">
        <v>1202</v>
      </c>
      <c r="C582" s="13" t="s">
        <v>1203</v>
      </c>
      <c r="D582" s="13" t="s">
        <v>6</v>
      </c>
      <c r="E582" s="13" t="s">
        <v>54</v>
      </c>
      <c r="F582" s="13">
        <v>2011.0</v>
      </c>
      <c r="G582" s="13">
        <v>27052.0</v>
      </c>
      <c r="H582" s="13">
        <v>3740.57</v>
      </c>
      <c r="I582" s="13">
        <f>' car_sales_data 1'!$G582*0.2</f>
        <v>5410.4</v>
      </c>
      <c r="J582" s="13" t="str">
        <f>TEXT(' car_sales_data 1'!$A582,"mmmm")</f>
        <v>January</v>
      </c>
      <c r="K582" s="13" t="str">
        <f>IF(' car_sales_data 1'!$G582&gt;40000,"Premium",
 IF(' car_sales_data 1'!$G582&gt;=20000,"Mid Range","Budget"))</f>
        <v>Mid Range</v>
      </c>
      <c r="L582" s="13">
        <f>YEAR(TODAY())-' car_sales_data 1'!$F582</f>
        <v>14</v>
      </c>
    </row>
    <row r="583" ht="15.75" customHeight="1">
      <c r="A583" s="16">
        <v>44913.0</v>
      </c>
      <c r="B583" s="13" t="s">
        <v>1204</v>
      </c>
      <c r="C583" s="13" t="s">
        <v>1205</v>
      </c>
      <c r="D583" s="13" t="s">
        <v>10</v>
      </c>
      <c r="E583" s="13" t="s">
        <v>57</v>
      </c>
      <c r="F583" s="13">
        <v>2022.0</v>
      </c>
      <c r="G583" s="13">
        <v>17629.0</v>
      </c>
      <c r="H583" s="13">
        <v>1906.75</v>
      </c>
      <c r="I583" s="13">
        <f>' car_sales_data 1'!$G583*0.2</f>
        <v>3525.8</v>
      </c>
      <c r="J583" s="13" t="str">
        <f>TEXT(' car_sales_data 1'!$A583,"mmmm")</f>
        <v>December</v>
      </c>
      <c r="K583" s="13" t="str">
        <f>IF(' car_sales_data 1'!$G583&gt;40000,"Premium",
 IF(' car_sales_data 1'!$G583&gt;=20000,"Mid Range","Budget"))</f>
        <v>Budget</v>
      </c>
      <c r="L583" s="13">
        <f>YEAR(TODAY())-' car_sales_data 1'!$F583</f>
        <v>3</v>
      </c>
    </row>
    <row r="584" ht="15.75" customHeight="1">
      <c r="A584" s="16">
        <v>45045.0</v>
      </c>
      <c r="B584" s="13" t="s">
        <v>1206</v>
      </c>
      <c r="C584" s="13" t="s">
        <v>1207</v>
      </c>
      <c r="D584" s="13" t="s">
        <v>14</v>
      </c>
      <c r="E584" s="13" t="s">
        <v>51</v>
      </c>
      <c r="F584" s="13">
        <v>2017.0</v>
      </c>
      <c r="G584" s="13">
        <v>46890.0</v>
      </c>
      <c r="H584" s="13">
        <v>4892.87</v>
      </c>
      <c r="I584" s="13">
        <f>' car_sales_data 1'!$G584*0.2</f>
        <v>9378</v>
      </c>
      <c r="J584" s="13" t="str">
        <f>TEXT(' car_sales_data 1'!$A584,"mmmm")</f>
        <v>April</v>
      </c>
      <c r="K584" s="13" t="str">
        <f>IF(' car_sales_data 1'!$G584&gt;40000,"Premium",
 IF(' car_sales_data 1'!$G584&gt;=20000,"Mid Range","Budget"))</f>
        <v>Premium</v>
      </c>
      <c r="L584" s="13">
        <f>YEAR(TODAY())-' car_sales_data 1'!$F584</f>
        <v>8</v>
      </c>
    </row>
    <row r="585" ht="15.75" customHeight="1">
      <c r="A585" s="16">
        <v>44745.0</v>
      </c>
      <c r="B585" s="13" t="s">
        <v>1208</v>
      </c>
      <c r="C585" s="13" t="s">
        <v>1209</v>
      </c>
      <c r="D585" s="13" t="s">
        <v>14</v>
      </c>
      <c r="E585" s="13" t="s">
        <v>51</v>
      </c>
      <c r="F585" s="13">
        <v>2020.0</v>
      </c>
      <c r="G585" s="13">
        <v>31042.0</v>
      </c>
      <c r="H585" s="13">
        <v>2956.99</v>
      </c>
      <c r="I585" s="13">
        <f>' car_sales_data 1'!$G585*0.2</f>
        <v>6208.4</v>
      </c>
      <c r="J585" s="13" t="str">
        <f>TEXT(' car_sales_data 1'!$A585,"mmmm")</f>
        <v>July</v>
      </c>
      <c r="K585" s="13" t="str">
        <f>IF(' car_sales_data 1'!$G585&gt;40000,"Premium",
 IF(' car_sales_data 1'!$G585&gt;=20000,"Mid Range","Budget"))</f>
        <v>Mid Range</v>
      </c>
      <c r="L585" s="13">
        <f>YEAR(TODAY())-' car_sales_data 1'!$F585</f>
        <v>5</v>
      </c>
    </row>
    <row r="586" ht="15.75" customHeight="1">
      <c r="A586" s="16">
        <v>44751.0</v>
      </c>
      <c r="B586" s="13" t="s">
        <v>1210</v>
      </c>
      <c r="C586" s="13" t="s">
        <v>1211</v>
      </c>
      <c r="D586" s="13" t="s">
        <v>12</v>
      </c>
      <c r="E586" s="13" t="s">
        <v>57</v>
      </c>
      <c r="F586" s="13">
        <v>2021.0</v>
      </c>
      <c r="G586" s="13">
        <v>19589.0</v>
      </c>
      <c r="H586" s="13">
        <v>2581.97</v>
      </c>
      <c r="I586" s="13">
        <f>' car_sales_data 1'!$G586*0.2</f>
        <v>3917.8</v>
      </c>
      <c r="J586" s="13" t="str">
        <f>TEXT(' car_sales_data 1'!$A586,"mmmm")</f>
        <v>July</v>
      </c>
      <c r="K586" s="13" t="str">
        <f>IF(' car_sales_data 1'!$G586&gt;40000,"Premium",
 IF(' car_sales_data 1'!$G586&gt;=20000,"Mid Range","Budget"))</f>
        <v>Budget</v>
      </c>
      <c r="L586" s="13">
        <f>YEAR(TODAY())-' car_sales_data 1'!$F586</f>
        <v>4</v>
      </c>
    </row>
    <row r="587" ht="15.75" customHeight="1">
      <c r="A587" s="16">
        <v>45007.0</v>
      </c>
      <c r="B587" s="13" t="s">
        <v>1212</v>
      </c>
      <c r="C587" s="13" t="s">
        <v>1213</v>
      </c>
      <c r="D587" s="13" t="s">
        <v>10</v>
      </c>
      <c r="E587" s="13" t="s">
        <v>62</v>
      </c>
      <c r="F587" s="13">
        <v>2020.0</v>
      </c>
      <c r="G587" s="13">
        <v>26909.0</v>
      </c>
      <c r="H587" s="13">
        <v>3148.46</v>
      </c>
      <c r="I587" s="13">
        <f>' car_sales_data 1'!$G587*0.2</f>
        <v>5381.8</v>
      </c>
      <c r="J587" s="13" t="str">
        <f>TEXT(' car_sales_data 1'!$A587,"mmmm")</f>
        <v>March</v>
      </c>
      <c r="K587" s="13" t="str">
        <f>IF(' car_sales_data 1'!$G587&gt;40000,"Premium",
 IF(' car_sales_data 1'!$G587&gt;=20000,"Mid Range","Budget"))</f>
        <v>Mid Range</v>
      </c>
      <c r="L587" s="13">
        <f>YEAR(TODAY())-' car_sales_data 1'!$F587</f>
        <v>5</v>
      </c>
    </row>
    <row r="588" ht="15.75" customHeight="1">
      <c r="A588" s="16">
        <v>45001.0</v>
      </c>
      <c r="B588" s="13" t="s">
        <v>1214</v>
      </c>
      <c r="C588" s="13" t="s">
        <v>1215</v>
      </c>
      <c r="D588" s="13" t="s">
        <v>14</v>
      </c>
      <c r="E588" s="13" t="s">
        <v>51</v>
      </c>
      <c r="F588" s="13">
        <v>2018.0</v>
      </c>
      <c r="G588" s="13">
        <v>14737.0</v>
      </c>
      <c r="H588" s="13">
        <v>1117.32</v>
      </c>
      <c r="I588" s="13">
        <f>' car_sales_data 1'!$G588*0.2</f>
        <v>2947.4</v>
      </c>
      <c r="J588" s="13" t="str">
        <f>TEXT(' car_sales_data 1'!$A588,"mmmm")</f>
        <v>March</v>
      </c>
      <c r="K588" s="13" t="str">
        <f>IF(' car_sales_data 1'!$G588&gt;40000,"Premium",
 IF(' car_sales_data 1'!$G588&gt;=20000,"Mid Range","Budget"))</f>
        <v>Budget</v>
      </c>
      <c r="L588" s="13">
        <f>YEAR(TODAY())-' car_sales_data 1'!$F588</f>
        <v>7</v>
      </c>
    </row>
    <row r="589" ht="15.75" customHeight="1">
      <c r="A589" s="16">
        <v>44829.0</v>
      </c>
      <c r="B589" s="13" t="s">
        <v>1216</v>
      </c>
      <c r="C589" s="13" t="s">
        <v>1217</v>
      </c>
      <c r="D589" s="13" t="s">
        <v>12</v>
      </c>
      <c r="E589" s="13" t="s">
        <v>62</v>
      </c>
      <c r="F589" s="13">
        <v>2022.0</v>
      </c>
      <c r="G589" s="13">
        <v>22944.0</v>
      </c>
      <c r="H589" s="13">
        <v>2866.06</v>
      </c>
      <c r="I589" s="13">
        <f>' car_sales_data 1'!$G589*0.2</f>
        <v>4588.8</v>
      </c>
      <c r="J589" s="13" t="str">
        <f>TEXT(' car_sales_data 1'!$A589,"mmmm")</f>
        <v>September</v>
      </c>
      <c r="K589" s="13" t="str">
        <f>IF(' car_sales_data 1'!$G589&gt;40000,"Premium",
 IF(' car_sales_data 1'!$G589&gt;=20000,"Mid Range","Budget"))</f>
        <v>Mid Range</v>
      </c>
      <c r="L589" s="13">
        <f>YEAR(TODAY())-' car_sales_data 1'!$F589</f>
        <v>3</v>
      </c>
    </row>
    <row r="590" ht="15.75" customHeight="1">
      <c r="A590" s="16">
        <v>44857.0</v>
      </c>
      <c r="B590" s="13" t="s">
        <v>1218</v>
      </c>
      <c r="C590" s="13" t="s">
        <v>1219</v>
      </c>
      <c r="D590" s="13" t="s">
        <v>6</v>
      </c>
      <c r="E590" s="13" t="s">
        <v>51</v>
      </c>
      <c r="F590" s="13">
        <v>2020.0</v>
      </c>
      <c r="G590" s="13">
        <v>12182.0</v>
      </c>
      <c r="H590" s="13">
        <v>1767.9</v>
      </c>
      <c r="I590" s="13">
        <f>' car_sales_data 1'!$G590*0.2</f>
        <v>2436.4</v>
      </c>
      <c r="J590" s="13" t="str">
        <f>TEXT(' car_sales_data 1'!$A590,"mmmm")</f>
        <v>October</v>
      </c>
      <c r="K590" s="13" t="str">
        <f>IF(' car_sales_data 1'!$G590&gt;40000,"Premium",
 IF(' car_sales_data 1'!$G590&gt;=20000,"Mid Range","Budget"))</f>
        <v>Budget</v>
      </c>
      <c r="L590" s="13">
        <f>YEAR(TODAY())-' car_sales_data 1'!$F590</f>
        <v>5</v>
      </c>
    </row>
    <row r="591" ht="15.75" customHeight="1">
      <c r="A591" s="16">
        <v>44721.0</v>
      </c>
      <c r="B591" s="13" t="s">
        <v>228</v>
      </c>
      <c r="C591" s="13" t="s">
        <v>1220</v>
      </c>
      <c r="D591" s="13" t="s">
        <v>6</v>
      </c>
      <c r="E591" s="13" t="s">
        <v>54</v>
      </c>
      <c r="F591" s="13">
        <v>2011.0</v>
      </c>
      <c r="G591" s="13">
        <v>14156.0</v>
      </c>
      <c r="H591" s="13">
        <v>1861.34</v>
      </c>
      <c r="I591" s="13">
        <f>' car_sales_data 1'!$G591*0.2</f>
        <v>2831.2</v>
      </c>
      <c r="J591" s="13" t="str">
        <f>TEXT(' car_sales_data 1'!$A591,"mmmm")</f>
        <v>June</v>
      </c>
      <c r="K591" s="13" t="str">
        <f>IF(' car_sales_data 1'!$G591&gt;40000,"Premium",
 IF(' car_sales_data 1'!$G591&gt;=20000,"Mid Range","Budget"))</f>
        <v>Budget</v>
      </c>
      <c r="L591" s="13">
        <f>YEAR(TODAY())-' car_sales_data 1'!$F591</f>
        <v>14</v>
      </c>
    </row>
    <row r="592" ht="15.75" customHeight="1">
      <c r="A592" s="16">
        <v>44733.0</v>
      </c>
      <c r="B592" s="13" t="s">
        <v>1221</v>
      </c>
      <c r="C592" s="13" t="s">
        <v>1222</v>
      </c>
      <c r="D592" s="13" t="s">
        <v>12</v>
      </c>
      <c r="E592" s="13" t="s">
        <v>62</v>
      </c>
      <c r="F592" s="13">
        <v>2014.0</v>
      </c>
      <c r="G592" s="13">
        <v>33888.0</v>
      </c>
      <c r="H592" s="13">
        <v>3193.39</v>
      </c>
      <c r="I592" s="13">
        <f>' car_sales_data 1'!$G592*0.2</f>
        <v>6777.6</v>
      </c>
      <c r="J592" s="13" t="str">
        <f>TEXT(' car_sales_data 1'!$A592,"mmmm")</f>
        <v>June</v>
      </c>
      <c r="K592" s="13" t="str">
        <f>IF(' car_sales_data 1'!$G592&gt;40000,"Premium",
 IF(' car_sales_data 1'!$G592&gt;=20000,"Mid Range","Budget"))</f>
        <v>Mid Range</v>
      </c>
      <c r="L592" s="13">
        <f>YEAR(TODAY())-' car_sales_data 1'!$F592</f>
        <v>11</v>
      </c>
    </row>
    <row r="593" ht="15.75" customHeight="1">
      <c r="A593" s="16">
        <v>44860.0</v>
      </c>
      <c r="B593" s="13" t="s">
        <v>1223</v>
      </c>
      <c r="C593" s="13" t="s">
        <v>1224</v>
      </c>
      <c r="D593" s="13" t="s">
        <v>8</v>
      </c>
      <c r="E593" s="13" t="s">
        <v>62</v>
      </c>
      <c r="F593" s="13">
        <v>2014.0</v>
      </c>
      <c r="G593" s="13">
        <v>44106.0</v>
      </c>
      <c r="H593" s="13">
        <v>2974.62</v>
      </c>
      <c r="I593" s="13">
        <f>' car_sales_data 1'!$G593*0.2</f>
        <v>8821.2</v>
      </c>
      <c r="J593" s="13" t="str">
        <f>TEXT(' car_sales_data 1'!$A593,"mmmm")</f>
        <v>October</v>
      </c>
      <c r="K593" s="13" t="str">
        <f>IF(' car_sales_data 1'!$G593&gt;40000,"Premium",
 IF(' car_sales_data 1'!$G593&gt;=20000,"Mid Range","Budget"))</f>
        <v>Premium</v>
      </c>
      <c r="L593" s="13">
        <f>YEAR(TODAY())-' car_sales_data 1'!$F593</f>
        <v>11</v>
      </c>
    </row>
    <row r="594" ht="15.75" customHeight="1">
      <c r="A594" s="16">
        <v>44917.0</v>
      </c>
      <c r="B594" s="13" t="s">
        <v>1225</v>
      </c>
      <c r="C594" s="13" t="s">
        <v>1226</v>
      </c>
      <c r="D594" s="13" t="s">
        <v>12</v>
      </c>
      <c r="E594" s="13" t="s">
        <v>51</v>
      </c>
      <c r="F594" s="13">
        <v>2014.0</v>
      </c>
      <c r="G594" s="13">
        <v>40734.0</v>
      </c>
      <c r="H594" s="13">
        <v>3056.58</v>
      </c>
      <c r="I594" s="13">
        <f>' car_sales_data 1'!$G594*0.2</f>
        <v>8146.8</v>
      </c>
      <c r="J594" s="13" t="str">
        <f>TEXT(' car_sales_data 1'!$A594,"mmmm")</f>
        <v>December</v>
      </c>
      <c r="K594" s="13" t="str">
        <f>IF(' car_sales_data 1'!$G594&gt;40000,"Premium",
 IF(' car_sales_data 1'!$G594&gt;=20000,"Mid Range","Budget"))</f>
        <v>Premium</v>
      </c>
      <c r="L594" s="13">
        <f>YEAR(TODAY())-' car_sales_data 1'!$F594</f>
        <v>11</v>
      </c>
    </row>
    <row r="595" ht="15.75" customHeight="1">
      <c r="A595" s="16">
        <v>44848.0</v>
      </c>
      <c r="B595" s="13" t="s">
        <v>1227</v>
      </c>
      <c r="C595" s="13" t="s">
        <v>1228</v>
      </c>
      <c r="D595" s="13" t="s">
        <v>14</v>
      </c>
      <c r="E595" s="13" t="s">
        <v>70</v>
      </c>
      <c r="F595" s="13">
        <v>2014.0</v>
      </c>
      <c r="G595" s="13">
        <v>17714.0</v>
      </c>
      <c r="H595" s="13">
        <v>1485.75</v>
      </c>
      <c r="I595" s="13">
        <f>' car_sales_data 1'!$G595*0.2</f>
        <v>3542.8</v>
      </c>
      <c r="J595" s="13" t="str">
        <f>TEXT(' car_sales_data 1'!$A595,"mmmm")</f>
        <v>October</v>
      </c>
      <c r="K595" s="13" t="str">
        <f>IF(' car_sales_data 1'!$G595&gt;40000,"Premium",
 IF(' car_sales_data 1'!$G595&gt;=20000,"Mid Range","Budget"))</f>
        <v>Budget</v>
      </c>
      <c r="L595" s="13">
        <f>YEAR(TODAY())-' car_sales_data 1'!$F595</f>
        <v>11</v>
      </c>
    </row>
    <row r="596" ht="15.75" customHeight="1">
      <c r="A596" s="16">
        <v>44966.0</v>
      </c>
      <c r="B596" s="13" t="s">
        <v>1229</v>
      </c>
      <c r="C596" s="13" t="s">
        <v>1230</v>
      </c>
      <c r="D596" s="13" t="s">
        <v>8</v>
      </c>
      <c r="E596" s="13" t="s">
        <v>62</v>
      </c>
      <c r="F596" s="13">
        <v>2011.0</v>
      </c>
      <c r="G596" s="13">
        <v>38748.0</v>
      </c>
      <c r="H596" s="13">
        <v>3897.86</v>
      </c>
      <c r="I596" s="13">
        <f>' car_sales_data 1'!$G596*0.2</f>
        <v>7749.6</v>
      </c>
      <c r="J596" s="13" t="str">
        <f>TEXT(' car_sales_data 1'!$A596,"mmmm")</f>
        <v>February</v>
      </c>
      <c r="K596" s="13" t="str">
        <f>IF(' car_sales_data 1'!$G596&gt;40000,"Premium",
 IF(' car_sales_data 1'!$G596&gt;=20000,"Mid Range","Budget"))</f>
        <v>Mid Range</v>
      </c>
      <c r="L596" s="13">
        <f>YEAR(TODAY())-' car_sales_data 1'!$F596</f>
        <v>14</v>
      </c>
    </row>
    <row r="597" ht="15.75" customHeight="1">
      <c r="A597" s="16">
        <v>44892.0</v>
      </c>
      <c r="B597" s="13" t="s">
        <v>1231</v>
      </c>
      <c r="C597" s="13" t="s">
        <v>1232</v>
      </c>
      <c r="D597" s="13" t="s">
        <v>10</v>
      </c>
      <c r="E597" s="13" t="s">
        <v>54</v>
      </c>
      <c r="F597" s="13">
        <v>2011.0</v>
      </c>
      <c r="G597" s="13">
        <v>29379.0</v>
      </c>
      <c r="H597" s="13">
        <v>2598.29</v>
      </c>
      <c r="I597" s="13">
        <f>' car_sales_data 1'!$G597*0.2</f>
        <v>5875.8</v>
      </c>
      <c r="J597" s="13" t="str">
        <f>TEXT(' car_sales_data 1'!$A597,"mmmm")</f>
        <v>November</v>
      </c>
      <c r="K597" s="13" t="str">
        <f>IF(' car_sales_data 1'!$G597&gt;40000,"Premium",
 IF(' car_sales_data 1'!$G597&gt;=20000,"Mid Range","Budget"))</f>
        <v>Mid Range</v>
      </c>
      <c r="L597" s="13">
        <f>YEAR(TODAY())-' car_sales_data 1'!$F597</f>
        <v>14</v>
      </c>
    </row>
    <row r="598" ht="15.75" customHeight="1">
      <c r="A598" s="16">
        <v>44748.0</v>
      </c>
      <c r="B598" s="13" t="s">
        <v>1233</v>
      </c>
      <c r="C598" s="13" t="s">
        <v>1234</v>
      </c>
      <c r="D598" s="13" t="s">
        <v>6</v>
      </c>
      <c r="E598" s="13" t="s">
        <v>62</v>
      </c>
      <c r="F598" s="13">
        <v>2018.0</v>
      </c>
      <c r="G598" s="13">
        <v>45657.0</v>
      </c>
      <c r="H598" s="13">
        <v>4308.12</v>
      </c>
      <c r="I598" s="13">
        <f>' car_sales_data 1'!$G598*0.2</f>
        <v>9131.4</v>
      </c>
      <c r="J598" s="13" t="str">
        <f>TEXT(' car_sales_data 1'!$A598,"mmmm")</f>
        <v>July</v>
      </c>
      <c r="K598" s="13" t="str">
        <f>IF(' car_sales_data 1'!$G598&gt;40000,"Premium",
 IF(' car_sales_data 1'!$G598&gt;=20000,"Mid Range","Budget"))</f>
        <v>Premium</v>
      </c>
      <c r="L598" s="13">
        <f>YEAR(TODAY())-' car_sales_data 1'!$F598</f>
        <v>7</v>
      </c>
    </row>
    <row r="599" ht="15.75" customHeight="1">
      <c r="A599" s="16">
        <v>44815.0</v>
      </c>
      <c r="B599" s="13" t="s">
        <v>1235</v>
      </c>
      <c r="C599" s="13" t="s">
        <v>1236</v>
      </c>
      <c r="D599" s="13" t="s">
        <v>12</v>
      </c>
      <c r="E599" s="13" t="s">
        <v>57</v>
      </c>
      <c r="F599" s="13">
        <v>2013.0</v>
      </c>
      <c r="G599" s="13">
        <v>36025.0</v>
      </c>
      <c r="H599" s="13">
        <v>2846.31</v>
      </c>
      <c r="I599" s="13">
        <f>' car_sales_data 1'!$G599*0.2</f>
        <v>7205</v>
      </c>
      <c r="J599" s="13" t="str">
        <f>TEXT(' car_sales_data 1'!$A599,"mmmm")</f>
        <v>September</v>
      </c>
      <c r="K599" s="13" t="str">
        <f>IF(' car_sales_data 1'!$G599&gt;40000,"Premium",
 IF(' car_sales_data 1'!$G599&gt;=20000,"Mid Range","Budget"))</f>
        <v>Mid Range</v>
      </c>
      <c r="L599" s="13">
        <f>YEAR(TODAY())-' car_sales_data 1'!$F599</f>
        <v>12</v>
      </c>
    </row>
    <row r="600" ht="15.75" customHeight="1">
      <c r="A600" s="16">
        <v>44823.0</v>
      </c>
      <c r="B600" s="13" t="s">
        <v>1237</v>
      </c>
      <c r="C600" s="13" t="s">
        <v>1238</v>
      </c>
      <c r="D600" s="13" t="s">
        <v>8</v>
      </c>
      <c r="E600" s="13" t="s">
        <v>57</v>
      </c>
      <c r="F600" s="13">
        <v>2018.0</v>
      </c>
      <c r="G600" s="13">
        <v>38555.0</v>
      </c>
      <c r="H600" s="13">
        <v>2148.18</v>
      </c>
      <c r="I600" s="13">
        <f>' car_sales_data 1'!$G600*0.2</f>
        <v>7711</v>
      </c>
      <c r="J600" s="13" t="str">
        <f>TEXT(' car_sales_data 1'!$A600,"mmmm")</f>
        <v>September</v>
      </c>
      <c r="K600" s="13" t="str">
        <f>IF(' car_sales_data 1'!$G600&gt;40000,"Premium",
 IF(' car_sales_data 1'!$G600&gt;=20000,"Mid Range","Budget"))</f>
        <v>Mid Range</v>
      </c>
      <c r="L600" s="13">
        <f>YEAR(TODAY())-' car_sales_data 1'!$F600</f>
        <v>7</v>
      </c>
    </row>
    <row r="601" ht="15.75" customHeight="1">
      <c r="A601" s="16">
        <v>44932.0</v>
      </c>
      <c r="B601" s="13" t="s">
        <v>1239</v>
      </c>
      <c r="C601" s="13" t="s">
        <v>1240</v>
      </c>
      <c r="D601" s="13" t="s">
        <v>12</v>
      </c>
      <c r="E601" s="13" t="s">
        <v>62</v>
      </c>
      <c r="F601" s="13">
        <v>2012.0</v>
      </c>
      <c r="G601" s="13">
        <v>43213.0</v>
      </c>
      <c r="H601" s="13">
        <v>4273.4</v>
      </c>
      <c r="I601" s="13">
        <f>' car_sales_data 1'!$G601*0.2</f>
        <v>8642.6</v>
      </c>
      <c r="J601" s="13" t="str">
        <f>TEXT(' car_sales_data 1'!$A601,"mmmm")</f>
        <v>January</v>
      </c>
      <c r="K601" s="13" t="str">
        <f>IF(' car_sales_data 1'!$G601&gt;40000,"Premium",
 IF(' car_sales_data 1'!$G601&gt;=20000,"Mid Range","Budget"))</f>
        <v>Premium</v>
      </c>
      <c r="L601" s="13">
        <f>YEAR(TODAY())-' car_sales_data 1'!$F601</f>
        <v>13</v>
      </c>
    </row>
    <row r="602" ht="15.75" customHeight="1">
      <c r="A602" s="16">
        <v>44793.0</v>
      </c>
      <c r="B602" s="13" t="s">
        <v>1241</v>
      </c>
      <c r="C602" s="13" t="s">
        <v>1242</v>
      </c>
      <c r="D602" s="13" t="s">
        <v>12</v>
      </c>
      <c r="E602" s="13" t="s">
        <v>51</v>
      </c>
      <c r="F602" s="13">
        <v>2019.0</v>
      </c>
      <c r="G602" s="13">
        <v>11928.0</v>
      </c>
      <c r="H602" s="13">
        <v>968.89</v>
      </c>
      <c r="I602" s="13">
        <f>' car_sales_data 1'!$G602*0.2</f>
        <v>2385.6</v>
      </c>
      <c r="J602" s="13" t="str">
        <f>TEXT(' car_sales_data 1'!$A602,"mmmm")</f>
        <v>August</v>
      </c>
      <c r="K602" s="13" t="str">
        <f>IF(' car_sales_data 1'!$G602&gt;40000,"Premium",
 IF(' car_sales_data 1'!$G602&gt;=20000,"Mid Range","Budget"))</f>
        <v>Budget</v>
      </c>
      <c r="L602" s="13">
        <f>YEAR(TODAY())-' car_sales_data 1'!$F602</f>
        <v>6</v>
      </c>
    </row>
    <row r="603" ht="15.75" customHeight="1">
      <c r="A603" s="16">
        <v>45014.0</v>
      </c>
      <c r="B603" s="13" t="s">
        <v>1243</v>
      </c>
      <c r="C603" s="13" t="s">
        <v>1244</v>
      </c>
      <c r="D603" s="13" t="s">
        <v>14</v>
      </c>
      <c r="E603" s="13" t="s">
        <v>57</v>
      </c>
      <c r="F603" s="13">
        <v>2015.0</v>
      </c>
      <c r="G603" s="13">
        <v>42514.0</v>
      </c>
      <c r="H603" s="13">
        <v>6306.51</v>
      </c>
      <c r="I603" s="13">
        <f>' car_sales_data 1'!$G603*0.2</f>
        <v>8502.8</v>
      </c>
      <c r="J603" s="13" t="str">
        <f>TEXT(' car_sales_data 1'!$A603,"mmmm")</f>
        <v>March</v>
      </c>
      <c r="K603" s="13" t="str">
        <f>IF(' car_sales_data 1'!$G603&gt;40000,"Premium",
 IF(' car_sales_data 1'!$G603&gt;=20000,"Mid Range","Budget"))</f>
        <v>Premium</v>
      </c>
      <c r="L603" s="13">
        <f>YEAR(TODAY())-' car_sales_data 1'!$F603</f>
        <v>10</v>
      </c>
    </row>
    <row r="604" ht="15.75" customHeight="1">
      <c r="A604" s="16">
        <v>44909.0</v>
      </c>
      <c r="B604" s="13" t="s">
        <v>1245</v>
      </c>
      <c r="C604" s="13" t="s">
        <v>1246</v>
      </c>
      <c r="D604" s="13" t="s">
        <v>12</v>
      </c>
      <c r="E604" s="13" t="s">
        <v>62</v>
      </c>
      <c r="F604" s="13">
        <v>2017.0</v>
      </c>
      <c r="G604" s="13">
        <v>19296.0</v>
      </c>
      <c r="H604" s="13">
        <v>2683.95</v>
      </c>
      <c r="I604" s="13">
        <f>' car_sales_data 1'!$G604*0.2</f>
        <v>3859.2</v>
      </c>
      <c r="J604" s="13" t="str">
        <f>TEXT(' car_sales_data 1'!$A604,"mmmm")</f>
        <v>December</v>
      </c>
      <c r="K604" s="13" t="str">
        <f>IF(' car_sales_data 1'!$G604&gt;40000,"Premium",
 IF(' car_sales_data 1'!$G604&gt;=20000,"Mid Range","Budget"))</f>
        <v>Budget</v>
      </c>
      <c r="L604" s="13">
        <f>YEAR(TODAY())-' car_sales_data 1'!$F604</f>
        <v>8</v>
      </c>
    </row>
    <row r="605" ht="15.75" customHeight="1">
      <c r="A605" s="16">
        <v>44869.0</v>
      </c>
      <c r="B605" s="13" t="s">
        <v>1247</v>
      </c>
      <c r="C605" s="13" t="s">
        <v>1248</v>
      </c>
      <c r="D605" s="13" t="s">
        <v>12</v>
      </c>
      <c r="E605" s="13" t="s">
        <v>57</v>
      </c>
      <c r="F605" s="13">
        <v>2017.0</v>
      </c>
      <c r="G605" s="13">
        <v>15390.0</v>
      </c>
      <c r="H605" s="13">
        <v>1089.56</v>
      </c>
      <c r="I605" s="13">
        <f>' car_sales_data 1'!$G605*0.2</f>
        <v>3078</v>
      </c>
      <c r="J605" s="13" t="str">
        <f>TEXT(' car_sales_data 1'!$A605,"mmmm")</f>
        <v>November</v>
      </c>
      <c r="K605" s="13" t="str">
        <f>IF(' car_sales_data 1'!$G605&gt;40000,"Premium",
 IF(' car_sales_data 1'!$G605&gt;=20000,"Mid Range","Budget"))</f>
        <v>Budget</v>
      </c>
      <c r="L605" s="13">
        <f>YEAR(TODAY())-' car_sales_data 1'!$F605</f>
        <v>8</v>
      </c>
    </row>
    <row r="606" ht="15.75" customHeight="1">
      <c r="A606" s="16">
        <v>44928.0</v>
      </c>
      <c r="B606" s="13" t="s">
        <v>1249</v>
      </c>
      <c r="C606" s="13" t="s">
        <v>1250</v>
      </c>
      <c r="D606" s="13" t="s">
        <v>14</v>
      </c>
      <c r="E606" s="13" t="s">
        <v>51</v>
      </c>
      <c r="F606" s="13">
        <v>2018.0</v>
      </c>
      <c r="G606" s="13">
        <v>29532.0</v>
      </c>
      <c r="H606" s="13">
        <v>4097.9</v>
      </c>
      <c r="I606" s="13">
        <f>' car_sales_data 1'!$G606*0.2</f>
        <v>5906.4</v>
      </c>
      <c r="J606" s="13" t="str">
        <f>TEXT(' car_sales_data 1'!$A606,"mmmm")</f>
        <v>January</v>
      </c>
      <c r="K606" s="13" t="str">
        <f>IF(' car_sales_data 1'!$G606&gt;40000,"Premium",
 IF(' car_sales_data 1'!$G606&gt;=20000,"Mid Range","Budget"))</f>
        <v>Mid Range</v>
      </c>
      <c r="L606" s="13">
        <f>YEAR(TODAY())-' car_sales_data 1'!$F606</f>
        <v>7</v>
      </c>
    </row>
    <row r="607" ht="15.75" customHeight="1">
      <c r="A607" s="16">
        <v>44765.0</v>
      </c>
      <c r="B607" s="13" t="s">
        <v>1251</v>
      </c>
      <c r="C607" s="13" t="s">
        <v>1252</v>
      </c>
      <c r="D607" s="13" t="s">
        <v>12</v>
      </c>
      <c r="E607" s="13" t="s">
        <v>51</v>
      </c>
      <c r="F607" s="13">
        <v>2021.0</v>
      </c>
      <c r="G607" s="13">
        <v>11303.0</v>
      </c>
      <c r="H607" s="13">
        <v>1280.33</v>
      </c>
      <c r="I607" s="13">
        <f>' car_sales_data 1'!$G607*0.2</f>
        <v>2260.6</v>
      </c>
      <c r="J607" s="13" t="str">
        <f>TEXT(' car_sales_data 1'!$A607,"mmmm")</f>
        <v>July</v>
      </c>
      <c r="K607" s="13" t="str">
        <f>IF(' car_sales_data 1'!$G607&gt;40000,"Premium",
 IF(' car_sales_data 1'!$G607&gt;=20000,"Mid Range","Budget"))</f>
        <v>Budget</v>
      </c>
      <c r="L607" s="13">
        <f>YEAR(TODAY())-' car_sales_data 1'!$F607</f>
        <v>4</v>
      </c>
    </row>
    <row r="608" ht="15.75" customHeight="1">
      <c r="A608" s="16">
        <v>44931.0</v>
      </c>
      <c r="B608" s="13" t="s">
        <v>1253</v>
      </c>
      <c r="C608" s="13" t="s">
        <v>1254</v>
      </c>
      <c r="D608" s="13" t="s">
        <v>8</v>
      </c>
      <c r="E608" s="13" t="s">
        <v>51</v>
      </c>
      <c r="F608" s="13">
        <v>2018.0</v>
      </c>
      <c r="G608" s="13">
        <v>16734.0</v>
      </c>
      <c r="H608" s="13">
        <v>1500.52</v>
      </c>
      <c r="I608" s="13">
        <f>' car_sales_data 1'!$G608*0.2</f>
        <v>3346.8</v>
      </c>
      <c r="J608" s="13" t="str">
        <f>TEXT(' car_sales_data 1'!$A608,"mmmm")</f>
        <v>January</v>
      </c>
      <c r="K608" s="13" t="str">
        <f>IF(' car_sales_data 1'!$G608&gt;40000,"Premium",
 IF(' car_sales_data 1'!$G608&gt;=20000,"Mid Range","Budget"))</f>
        <v>Budget</v>
      </c>
      <c r="L608" s="13">
        <f>YEAR(TODAY())-' car_sales_data 1'!$F608</f>
        <v>7</v>
      </c>
    </row>
    <row r="609" ht="15.75" customHeight="1">
      <c r="A609" s="16">
        <v>44684.0</v>
      </c>
      <c r="B609" s="13" t="s">
        <v>1255</v>
      </c>
      <c r="C609" s="13" t="s">
        <v>1256</v>
      </c>
      <c r="D609" s="13" t="s">
        <v>8</v>
      </c>
      <c r="E609" s="13" t="s">
        <v>70</v>
      </c>
      <c r="F609" s="13">
        <v>2020.0</v>
      </c>
      <c r="G609" s="13">
        <v>10618.0</v>
      </c>
      <c r="H609" s="13">
        <v>1346.82</v>
      </c>
      <c r="I609" s="13">
        <f>' car_sales_data 1'!$G609*0.2</f>
        <v>2123.6</v>
      </c>
      <c r="J609" s="13" t="str">
        <f>TEXT(' car_sales_data 1'!$A609,"mmmm")</f>
        <v>May</v>
      </c>
      <c r="K609" s="13" t="str">
        <f>IF(' car_sales_data 1'!$G609&gt;40000,"Premium",
 IF(' car_sales_data 1'!$G609&gt;=20000,"Mid Range","Budget"))</f>
        <v>Budget</v>
      </c>
      <c r="L609" s="13">
        <f>YEAR(TODAY())-' car_sales_data 1'!$F609</f>
        <v>5</v>
      </c>
    </row>
    <row r="610" ht="15.75" customHeight="1">
      <c r="A610" s="16">
        <v>44870.0</v>
      </c>
      <c r="B610" s="13" t="s">
        <v>1257</v>
      </c>
      <c r="C610" s="13" t="s">
        <v>1258</v>
      </c>
      <c r="D610" s="13" t="s">
        <v>6</v>
      </c>
      <c r="E610" s="13" t="s">
        <v>57</v>
      </c>
      <c r="F610" s="13">
        <v>2018.0</v>
      </c>
      <c r="G610" s="13">
        <v>40234.0</v>
      </c>
      <c r="H610" s="13">
        <v>3265.12</v>
      </c>
      <c r="I610" s="13">
        <f>' car_sales_data 1'!$G610*0.2</f>
        <v>8046.8</v>
      </c>
      <c r="J610" s="13" t="str">
        <f>TEXT(' car_sales_data 1'!$A610,"mmmm")</f>
        <v>November</v>
      </c>
      <c r="K610" s="13" t="str">
        <f>IF(' car_sales_data 1'!$G610&gt;40000,"Premium",
 IF(' car_sales_data 1'!$G610&gt;=20000,"Mid Range","Budget"))</f>
        <v>Premium</v>
      </c>
      <c r="L610" s="13">
        <f>YEAR(TODAY())-' car_sales_data 1'!$F610</f>
        <v>7</v>
      </c>
    </row>
    <row r="611" ht="15.75" customHeight="1">
      <c r="A611" s="16">
        <v>45000.0</v>
      </c>
      <c r="B611" s="13" t="s">
        <v>1259</v>
      </c>
      <c r="C611" s="13" t="s">
        <v>1260</v>
      </c>
      <c r="D611" s="13" t="s">
        <v>14</v>
      </c>
      <c r="E611" s="13" t="s">
        <v>54</v>
      </c>
      <c r="F611" s="13">
        <v>2015.0</v>
      </c>
      <c r="G611" s="13">
        <v>15040.0</v>
      </c>
      <c r="H611" s="13">
        <v>1868.9</v>
      </c>
      <c r="I611" s="13">
        <f>' car_sales_data 1'!$G611*0.2</f>
        <v>3008</v>
      </c>
      <c r="J611" s="13" t="str">
        <f>TEXT(' car_sales_data 1'!$A611,"mmmm")</f>
        <v>March</v>
      </c>
      <c r="K611" s="13" t="str">
        <f>IF(' car_sales_data 1'!$G611&gt;40000,"Premium",
 IF(' car_sales_data 1'!$G611&gt;=20000,"Mid Range","Budget"))</f>
        <v>Budget</v>
      </c>
      <c r="L611" s="13">
        <f>YEAR(TODAY())-' car_sales_data 1'!$F611</f>
        <v>10</v>
      </c>
    </row>
    <row r="612" ht="15.75" customHeight="1">
      <c r="A612" s="16">
        <v>45044.0</v>
      </c>
      <c r="B612" s="13" t="s">
        <v>68</v>
      </c>
      <c r="C612" s="13" t="s">
        <v>1261</v>
      </c>
      <c r="D612" s="13" t="s">
        <v>8</v>
      </c>
      <c r="E612" s="13" t="s">
        <v>70</v>
      </c>
      <c r="F612" s="13">
        <v>2014.0</v>
      </c>
      <c r="G612" s="13">
        <v>48510.0</v>
      </c>
      <c r="H612" s="13">
        <v>6467.41</v>
      </c>
      <c r="I612" s="13">
        <f>' car_sales_data 1'!$G612*0.2</f>
        <v>9702</v>
      </c>
      <c r="J612" s="13" t="str">
        <f>TEXT(' car_sales_data 1'!$A612,"mmmm")</f>
        <v>April</v>
      </c>
      <c r="K612" s="13" t="str">
        <f>IF(' car_sales_data 1'!$G612&gt;40000,"Premium",
 IF(' car_sales_data 1'!$G612&gt;=20000,"Mid Range","Budget"))</f>
        <v>Premium</v>
      </c>
      <c r="L612" s="13">
        <f>YEAR(TODAY())-' car_sales_data 1'!$F612</f>
        <v>11</v>
      </c>
    </row>
    <row r="613" ht="15.75" customHeight="1">
      <c r="A613" s="16">
        <v>44720.0</v>
      </c>
      <c r="B613" s="13" t="s">
        <v>1262</v>
      </c>
      <c r="C613" s="13" t="s">
        <v>1263</v>
      </c>
      <c r="D613" s="13" t="s">
        <v>8</v>
      </c>
      <c r="E613" s="13" t="s">
        <v>70</v>
      </c>
      <c r="F613" s="13">
        <v>2013.0</v>
      </c>
      <c r="G613" s="13">
        <v>18232.0</v>
      </c>
      <c r="H613" s="13">
        <v>2298.27</v>
      </c>
      <c r="I613" s="13">
        <f>' car_sales_data 1'!$G613*0.2</f>
        <v>3646.4</v>
      </c>
      <c r="J613" s="13" t="str">
        <f>TEXT(' car_sales_data 1'!$A613,"mmmm")</f>
        <v>June</v>
      </c>
      <c r="K613" s="13" t="str">
        <f>IF(' car_sales_data 1'!$G613&gt;40000,"Premium",
 IF(' car_sales_data 1'!$G613&gt;=20000,"Mid Range","Budget"))</f>
        <v>Budget</v>
      </c>
      <c r="L613" s="13">
        <f>YEAR(TODAY())-' car_sales_data 1'!$F613</f>
        <v>12</v>
      </c>
    </row>
    <row r="614" ht="15.75" customHeight="1">
      <c r="A614" s="16">
        <v>44780.0</v>
      </c>
      <c r="B614" s="13" t="s">
        <v>1264</v>
      </c>
      <c r="C614" s="13" t="s">
        <v>1265</v>
      </c>
      <c r="D614" s="13" t="s">
        <v>14</v>
      </c>
      <c r="E614" s="13" t="s">
        <v>54</v>
      </c>
      <c r="F614" s="13">
        <v>2019.0</v>
      </c>
      <c r="G614" s="13">
        <v>36554.0</v>
      </c>
      <c r="H614" s="13">
        <v>2685.65</v>
      </c>
      <c r="I614" s="13">
        <f>' car_sales_data 1'!$G614*0.2</f>
        <v>7310.8</v>
      </c>
      <c r="J614" s="13" t="str">
        <f>TEXT(' car_sales_data 1'!$A614,"mmmm")</f>
        <v>August</v>
      </c>
      <c r="K614" s="13" t="str">
        <f>IF(' car_sales_data 1'!$G614&gt;40000,"Premium",
 IF(' car_sales_data 1'!$G614&gt;=20000,"Mid Range","Budget"))</f>
        <v>Mid Range</v>
      </c>
      <c r="L614" s="13">
        <f>YEAR(TODAY())-' car_sales_data 1'!$F614</f>
        <v>6</v>
      </c>
    </row>
    <row r="615" ht="15.75" customHeight="1">
      <c r="A615" s="16">
        <v>45005.0</v>
      </c>
      <c r="B615" s="13" t="s">
        <v>1266</v>
      </c>
      <c r="C615" s="13" t="s">
        <v>1267</v>
      </c>
      <c r="D615" s="13" t="s">
        <v>12</v>
      </c>
      <c r="E615" s="13" t="s">
        <v>62</v>
      </c>
      <c r="F615" s="13">
        <v>2022.0</v>
      </c>
      <c r="G615" s="13">
        <v>43319.0</v>
      </c>
      <c r="H615" s="13">
        <v>4942.01</v>
      </c>
      <c r="I615" s="13">
        <f>' car_sales_data 1'!$G615*0.2</f>
        <v>8663.8</v>
      </c>
      <c r="J615" s="13" t="str">
        <f>TEXT(' car_sales_data 1'!$A615,"mmmm")</f>
        <v>March</v>
      </c>
      <c r="K615" s="13" t="str">
        <f>IF(' car_sales_data 1'!$G615&gt;40000,"Premium",
 IF(' car_sales_data 1'!$G615&gt;=20000,"Mid Range","Budget"))</f>
        <v>Premium</v>
      </c>
      <c r="L615" s="13">
        <f>YEAR(TODAY())-' car_sales_data 1'!$F615</f>
        <v>3</v>
      </c>
    </row>
    <row r="616" ht="15.75" customHeight="1">
      <c r="A616" s="16">
        <v>44934.0</v>
      </c>
      <c r="B616" s="13" t="s">
        <v>1268</v>
      </c>
      <c r="C616" s="13" t="s">
        <v>1269</v>
      </c>
      <c r="D616" s="13" t="s">
        <v>8</v>
      </c>
      <c r="E616" s="13" t="s">
        <v>51</v>
      </c>
      <c r="F616" s="13">
        <v>2010.0</v>
      </c>
      <c r="G616" s="13">
        <v>47997.0</v>
      </c>
      <c r="H616" s="13">
        <v>4857.12</v>
      </c>
      <c r="I616" s="13">
        <f>' car_sales_data 1'!$G616*0.2</f>
        <v>9599.4</v>
      </c>
      <c r="J616" s="13" t="str">
        <f>TEXT(' car_sales_data 1'!$A616,"mmmm")</f>
        <v>January</v>
      </c>
      <c r="K616" s="13" t="str">
        <f>IF(' car_sales_data 1'!$G616&gt;40000,"Premium",
 IF(' car_sales_data 1'!$G616&gt;=20000,"Mid Range","Budget"))</f>
        <v>Premium</v>
      </c>
      <c r="L616" s="13">
        <f>YEAR(TODAY())-' car_sales_data 1'!$F616</f>
        <v>15</v>
      </c>
    </row>
    <row r="617" ht="15.75" customHeight="1">
      <c r="A617" s="16">
        <v>44735.0</v>
      </c>
      <c r="B617" s="13" t="s">
        <v>1270</v>
      </c>
      <c r="C617" s="13" t="s">
        <v>1271</v>
      </c>
      <c r="D617" s="13" t="s">
        <v>14</v>
      </c>
      <c r="E617" s="13" t="s">
        <v>51</v>
      </c>
      <c r="F617" s="13">
        <v>2015.0</v>
      </c>
      <c r="G617" s="13">
        <v>45930.0</v>
      </c>
      <c r="H617" s="13">
        <v>5569.69</v>
      </c>
      <c r="I617" s="13">
        <f>' car_sales_data 1'!$G617*0.2</f>
        <v>9186</v>
      </c>
      <c r="J617" s="13" t="str">
        <f>TEXT(' car_sales_data 1'!$A617,"mmmm")</f>
        <v>June</v>
      </c>
      <c r="K617" s="13" t="str">
        <f>IF(' car_sales_data 1'!$G617&gt;40000,"Premium",
 IF(' car_sales_data 1'!$G617&gt;=20000,"Mid Range","Budget"))</f>
        <v>Premium</v>
      </c>
      <c r="L617" s="13">
        <f>YEAR(TODAY())-' car_sales_data 1'!$F617</f>
        <v>10</v>
      </c>
    </row>
    <row r="618" ht="15.75" customHeight="1">
      <c r="A618" s="16">
        <v>44838.0</v>
      </c>
      <c r="B618" s="13" t="s">
        <v>1272</v>
      </c>
      <c r="C618" s="13" t="s">
        <v>1273</v>
      </c>
      <c r="D618" s="13" t="s">
        <v>6</v>
      </c>
      <c r="E618" s="13" t="s">
        <v>51</v>
      </c>
      <c r="F618" s="13">
        <v>2012.0</v>
      </c>
      <c r="G618" s="13">
        <v>44633.0</v>
      </c>
      <c r="H618" s="13">
        <v>2413.71</v>
      </c>
      <c r="I618" s="13">
        <f>' car_sales_data 1'!$G618*0.2</f>
        <v>8926.6</v>
      </c>
      <c r="J618" s="13" t="str">
        <f>TEXT(' car_sales_data 1'!$A618,"mmmm")</f>
        <v>October</v>
      </c>
      <c r="K618" s="13" t="str">
        <f>IF(' car_sales_data 1'!$G618&gt;40000,"Premium",
 IF(' car_sales_data 1'!$G618&gt;=20000,"Mid Range","Budget"))</f>
        <v>Premium</v>
      </c>
      <c r="L618" s="13">
        <f>YEAR(TODAY())-' car_sales_data 1'!$F618</f>
        <v>13</v>
      </c>
    </row>
    <row r="619" ht="15.75" customHeight="1">
      <c r="A619" s="16">
        <v>44766.0</v>
      </c>
      <c r="B619" s="13" t="s">
        <v>1274</v>
      </c>
      <c r="C619" s="13" t="s">
        <v>1275</v>
      </c>
      <c r="D619" s="13" t="s">
        <v>8</v>
      </c>
      <c r="E619" s="13" t="s">
        <v>54</v>
      </c>
      <c r="F619" s="13">
        <v>2010.0</v>
      </c>
      <c r="G619" s="13">
        <v>14384.0</v>
      </c>
      <c r="H619" s="13">
        <v>776.02</v>
      </c>
      <c r="I619" s="13">
        <f>' car_sales_data 1'!$G619*0.2</f>
        <v>2876.8</v>
      </c>
      <c r="J619" s="13" t="str">
        <f>TEXT(' car_sales_data 1'!$A619,"mmmm")</f>
        <v>July</v>
      </c>
      <c r="K619" s="13" t="str">
        <f>IF(' car_sales_data 1'!$G619&gt;40000,"Premium",
 IF(' car_sales_data 1'!$G619&gt;=20000,"Mid Range","Budget"))</f>
        <v>Budget</v>
      </c>
      <c r="L619" s="13">
        <f>YEAR(TODAY())-' car_sales_data 1'!$F619</f>
        <v>15</v>
      </c>
    </row>
    <row r="620" ht="15.75" customHeight="1">
      <c r="A620" s="16">
        <v>44724.0</v>
      </c>
      <c r="B620" s="13" t="s">
        <v>1276</v>
      </c>
      <c r="C620" s="13" t="s">
        <v>1277</v>
      </c>
      <c r="D620" s="13" t="s">
        <v>8</v>
      </c>
      <c r="E620" s="13" t="s">
        <v>70</v>
      </c>
      <c r="F620" s="13">
        <v>2020.0</v>
      </c>
      <c r="G620" s="13">
        <v>19366.0</v>
      </c>
      <c r="H620" s="13">
        <v>1201.35</v>
      </c>
      <c r="I620" s="13">
        <f>' car_sales_data 1'!$G620*0.2</f>
        <v>3873.2</v>
      </c>
      <c r="J620" s="13" t="str">
        <f>TEXT(' car_sales_data 1'!$A620,"mmmm")</f>
        <v>June</v>
      </c>
      <c r="K620" s="13" t="str">
        <f>IF(' car_sales_data 1'!$G620&gt;40000,"Premium",
 IF(' car_sales_data 1'!$G620&gt;=20000,"Mid Range","Budget"))</f>
        <v>Budget</v>
      </c>
      <c r="L620" s="13">
        <f>YEAR(TODAY())-' car_sales_data 1'!$F620</f>
        <v>5</v>
      </c>
    </row>
    <row r="621" ht="15.75" customHeight="1">
      <c r="A621" s="16">
        <v>44998.0</v>
      </c>
      <c r="B621" s="13" t="s">
        <v>1278</v>
      </c>
      <c r="C621" s="13" t="s">
        <v>1279</v>
      </c>
      <c r="D621" s="13" t="s">
        <v>14</v>
      </c>
      <c r="E621" s="13" t="s">
        <v>62</v>
      </c>
      <c r="F621" s="13">
        <v>2021.0</v>
      </c>
      <c r="G621" s="13">
        <v>25319.0</v>
      </c>
      <c r="H621" s="13">
        <v>2095.3</v>
      </c>
      <c r="I621" s="13">
        <f>' car_sales_data 1'!$G621*0.2</f>
        <v>5063.8</v>
      </c>
      <c r="J621" s="13" t="str">
        <f>TEXT(' car_sales_data 1'!$A621,"mmmm")</f>
        <v>March</v>
      </c>
      <c r="K621" s="13" t="str">
        <f>IF(' car_sales_data 1'!$G621&gt;40000,"Premium",
 IF(' car_sales_data 1'!$G621&gt;=20000,"Mid Range","Budget"))</f>
        <v>Mid Range</v>
      </c>
      <c r="L621" s="13">
        <f>YEAR(TODAY())-' car_sales_data 1'!$F621</f>
        <v>4</v>
      </c>
    </row>
    <row r="622" ht="15.75" customHeight="1">
      <c r="A622" s="16">
        <v>44764.0</v>
      </c>
      <c r="B622" s="13" t="s">
        <v>1280</v>
      </c>
      <c r="C622" s="13" t="s">
        <v>1281</v>
      </c>
      <c r="D622" s="13" t="s">
        <v>8</v>
      </c>
      <c r="E622" s="13" t="s">
        <v>57</v>
      </c>
      <c r="F622" s="13">
        <v>2012.0</v>
      </c>
      <c r="G622" s="13">
        <v>36214.0</v>
      </c>
      <c r="H622" s="13">
        <v>4413.71</v>
      </c>
      <c r="I622" s="13">
        <f>' car_sales_data 1'!$G622*0.2</f>
        <v>7242.8</v>
      </c>
      <c r="J622" s="13" t="str">
        <f>TEXT(' car_sales_data 1'!$A622,"mmmm")</f>
        <v>July</v>
      </c>
      <c r="K622" s="13" t="str">
        <f>IF(' car_sales_data 1'!$G622&gt;40000,"Premium",
 IF(' car_sales_data 1'!$G622&gt;=20000,"Mid Range","Budget"))</f>
        <v>Mid Range</v>
      </c>
      <c r="L622" s="13">
        <f>YEAR(TODAY())-' car_sales_data 1'!$F622</f>
        <v>13</v>
      </c>
    </row>
    <row r="623" ht="15.75" customHeight="1">
      <c r="A623" s="16">
        <v>44947.0</v>
      </c>
      <c r="B623" s="13" t="s">
        <v>1282</v>
      </c>
      <c r="C623" s="13" t="s">
        <v>1283</v>
      </c>
      <c r="D623" s="13" t="s">
        <v>6</v>
      </c>
      <c r="E623" s="13" t="s">
        <v>62</v>
      </c>
      <c r="F623" s="13">
        <v>2010.0</v>
      </c>
      <c r="G623" s="13">
        <v>25317.0</v>
      </c>
      <c r="H623" s="13">
        <v>3430.09</v>
      </c>
      <c r="I623" s="13">
        <f>' car_sales_data 1'!$G623*0.2</f>
        <v>5063.4</v>
      </c>
      <c r="J623" s="13" t="str">
        <f>TEXT(' car_sales_data 1'!$A623,"mmmm")</f>
        <v>January</v>
      </c>
      <c r="K623" s="13" t="str">
        <f>IF(' car_sales_data 1'!$G623&gt;40000,"Premium",
 IF(' car_sales_data 1'!$G623&gt;=20000,"Mid Range","Budget"))</f>
        <v>Mid Range</v>
      </c>
      <c r="L623" s="13">
        <f>YEAR(TODAY())-' car_sales_data 1'!$F623</f>
        <v>15</v>
      </c>
    </row>
    <row r="624" ht="15.75" customHeight="1">
      <c r="A624" s="16">
        <v>44746.0</v>
      </c>
      <c r="B624" s="13" t="s">
        <v>1284</v>
      </c>
      <c r="C624" s="13" t="s">
        <v>1285</v>
      </c>
      <c r="D624" s="13" t="s">
        <v>10</v>
      </c>
      <c r="E624" s="13" t="s">
        <v>62</v>
      </c>
      <c r="F624" s="13">
        <v>2014.0</v>
      </c>
      <c r="G624" s="13">
        <v>21343.0</v>
      </c>
      <c r="H624" s="13">
        <v>3108.68</v>
      </c>
      <c r="I624" s="13">
        <f>' car_sales_data 1'!$G624*0.2</f>
        <v>4268.6</v>
      </c>
      <c r="J624" s="13" t="str">
        <f>TEXT(' car_sales_data 1'!$A624,"mmmm")</f>
        <v>July</v>
      </c>
      <c r="K624" s="13" t="str">
        <f>IF(' car_sales_data 1'!$G624&gt;40000,"Premium",
 IF(' car_sales_data 1'!$G624&gt;=20000,"Mid Range","Budget"))</f>
        <v>Mid Range</v>
      </c>
      <c r="L624" s="13">
        <f>YEAR(TODAY())-' car_sales_data 1'!$F624</f>
        <v>11</v>
      </c>
    </row>
    <row r="625" ht="15.75" customHeight="1">
      <c r="A625" s="16">
        <v>44708.0</v>
      </c>
      <c r="B625" s="13" t="s">
        <v>1286</v>
      </c>
      <c r="C625" s="13" t="s">
        <v>1287</v>
      </c>
      <c r="D625" s="13" t="s">
        <v>12</v>
      </c>
      <c r="E625" s="13" t="s">
        <v>54</v>
      </c>
      <c r="F625" s="13">
        <v>2017.0</v>
      </c>
      <c r="G625" s="13">
        <v>33157.0</v>
      </c>
      <c r="H625" s="13">
        <v>2819.52</v>
      </c>
      <c r="I625" s="13">
        <f>' car_sales_data 1'!$G625*0.2</f>
        <v>6631.4</v>
      </c>
      <c r="J625" s="13" t="str">
        <f>TEXT(' car_sales_data 1'!$A625,"mmmm")</f>
        <v>May</v>
      </c>
      <c r="K625" s="13" t="str">
        <f>IF(' car_sales_data 1'!$G625&gt;40000,"Premium",
 IF(' car_sales_data 1'!$G625&gt;=20000,"Mid Range","Budget"))</f>
        <v>Mid Range</v>
      </c>
      <c r="L625" s="13">
        <f>YEAR(TODAY())-' car_sales_data 1'!$F625</f>
        <v>8</v>
      </c>
    </row>
    <row r="626" ht="15.75" customHeight="1">
      <c r="A626" s="16">
        <v>44835.0</v>
      </c>
      <c r="B626" s="13" t="s">
        <v>1288</v>
      </c>
      <c r="C626" s="13" t="s">
        <v>1289</v>
      </c>
      <c r="D626" s="13" t="s">
        <v>8</v>
      </c>
      <c r="E626" s="13" t="s">
        <v>51</v>
      </c>
      <c r="F626" s="13">
        <v>2014.0</v>
      </c>
      <c r="G626" s="13">
        <v>23876.0</v>
      </c>
      <c r="H626" s="13">
        <v>2188.94</v>
      </c>
      <c r="I626" s="13">
        <f>' car_sales_data 1'!$G626*0.2</f>
        <v>4775.2</v>
      </c>
      <c r="J626" s="13" t="str">
        <f>TEXT(' car_sales_data 1'!$A626,"mmmm")</f>
        <v>October</v>
      </c>
      <c r="K626" s="13" t="str">
        <f>IF(' car_sales_data 1'!$G626&gt;40000,"Premium",
 IF(' car_sales_data 1'!$G626&gt;=20000,"Mid Range","Budget"))</f>
        <v>Mid Range</v>
      </c>
      <c r="L626" s="13">
        <f>YEAR(TODAY())-' car_sales_data 1'!$F626</f>
        <v>11</v>
      </c>
    </row>
    <row r="627" ht="15.75" customHeight="1">
      <c r="A627" s="16">
        <v>44741.0</v>
      </c>
      <c r="B627" s="13" t="s">
        <v>1290</v>
      </c>
      <c r="C627" s="13" t="s">
        <v>1291</v>
      </c>
      <c r="D627" s="13" t="s">
        <v>14</v>
      </c>
      <c r="E627" s="13" t="s">
        <v>51</v>
      </c>
      <c r="F627" s="13">
        <v>2017.0</v>
      </c>
      <c r="G627" s="13">
        <v>21555.0</v>
      </c>
      <c r="H627" s="13">
        <v>2242.58</v>
      </c>
      <c r="I627" s="13">
        <f>' car_sales_data 1'!$G627*0.2</f>
        <v>4311</v>
      </c>
      <c r="J627" s="13" t="str">
        <f>TEXT(' car_sales_data 1'!$A627,"mmmm")</f>
        <v>June</v>
      </c>
      <c r="K627" s="13" t="str">
        <f>IF(' car_sales_data 1'!$G627&gt;40000,"Premium",
 IF(' car_sales_data 1'!$G627&gt;=20000,"Mid Range","Budget"))</f>
        <v>Mid Range</v>
      </c>
      <c r="L627" s="13">
        <f>YEAR(TODAY())-' car_sales_data 1'!$F627</f>
        <v>8</v>
      </c>
    </row>
    <row r="628" ht="15.75" customHeight="1">
      <c r="A628" s="16">
        <v>44711.0</v>
      </c>
      <c r="B628" s="13" t="s">
        <v>1292</v>
      </c>
      <c r="C628" s="13" t="s">
        <v>1293</v>
      </c>
      <c r="D628" s="13" t="s">
        <v>8</v>
      </c>
      <c r="E628" s="13" t="s">
        <v>70</v>
      </c>
      <c r="F628" s="13">
        <v>2022.0</v>
      </c>
      <c r="G628" s="13">
        <v>20429.0</v>
      </c>
      <c r="H628" s="13">
        <v>2299.58</v>
      </c>
      <c r="I628" s="13">
        <f>' car_sales_data 1'!$G628*0.2</f>
        <v>4085.8</v>
      </c>
      <c r="J628" s="13" t="str">
        <f>TEXT(' car_sales_data 1'!$A628,"mmmm")</f>
        <v>May</v>
      </c>
      <c r="K628" s="13" t="str">
        <f>IF(' car_sales_data 1'!$G628&gt;40000,"Premium",
 IF(' car_sales_data 1'!$G628&gt;=20000,"Mid Range","Budget"))</f>
        <v>Mid Range</v>
      </c>
      <c r="L628" s="13">
        <f>YEAR(TODAY())-' car_sales_data 1'!$F628</f>
        <v>3</v>
      </c>
    </row>
    <row r="629" ht="15.75" customHeight="1">
      <c r="A629" s="16">
        <v>44992.0</v>
      </c>
      <c r="B629" s="13" t="s">
        <v>1294</v>
      </c>
      <c r="C629" s="13" t="s">
        <v>1295</v>
      </c>
      <c r="D629" s="13" t="s">
        <v>14</v>
      </c>
      <c r="E629" s="13" t="s">
        <v>70</v>
      </c>
      <c r="F629" s="13">
        <v>2022.0</v>
      </c>
      <c r="G629" s="13">
        <v>25795.0</v>
      </c>
      <c r="H629" s="13">
        <v>3546.82</v>
      </c>
      <c r="I629" s="13">
        <f>' car_sales_data 1'!$G629*0.2</f>
        <v>5159</v>
      </c>
      <c r="J629" s="13" t="str">
        <f>TEXT(' car_sales_data 1'!$A629,"mmmm")</f>
        <v>March</v>
      </c>
      <c r="K629" s="13" t="str">
        <f>IF(' car_sales_data 1'!$G629&gt;40000,"Premium",
 IF(' car_sales_data 1'!$G629&gt;=20000,"Mid Range","Budget"))</f>
        <v>Mid Range</v>
      </c>
      <c r="L629" s="13">
        <f>YEAR(TODAY())-' car_sales_data 1'!$F629</f>
        <v>3</v>
      </c>
    </row>
    <row r="630" ht="15.75" customHeight="1">
      <c r="A630" s="16">
        <v>44792.0</v>
      </c>
      <c r="B630" s="13" t="s">
        <v>1296</v>
      </c>
      <c r="C630" s="13" t="s">
        <v>1297</v>
      </c>
      <c r="D630" s="13" t="s">
        <v>12</v>
      </c>
      <c r="E630" s="13" t="s">
        <v>70</v>
      </c>
      <c r="F630" s="13">
        <v>2020.0</v>
      </c>
      <c r="G630" s="13">
        <v>28349.0</v>
      </c>
      <c r="H630" s="13">
        <v>1632.93</v>
      </c>
      <c r="I630" s="13">
        <f>' car_sales_data 1'!$G630*0.2</f>
        <v>5669.8</v>
      </c>
      <c r="J630" s="13" t="str">
        <f>TEXT(' car_sales_data 1'!$A630,"mmmm")</f>
        <v>August</v>
      </c>
      <c r="K630" s="13" t="str">
        <f>IF(' car_sales_data 1'!$G630&gt;40000,"Premium",
 IF(' car_sales_data 1'!$G630&gt;=20000,"Mid Range","Budget"))</f>
        <v>Mid Range</v>
      </c>
      <c r="L630" s="13">
        <f>YEAR(TODAY())-' car_sales_data 1'!$F630</f>
        <v>5</v>
      </c>
    </row>
    <row r="631" ht="15.75" customHeight="1">
      <c r="A631" s="16">
        <v>44791.0</v>
      </c>
      <c r="B631" s="13" t="s">
        <v>1298</v>
      </c>
      <c r="C631" s="13" t="s">
        <v>1299</v>
      </c>
      <c r="D631" s="13" t="s">
        <v>14</v>
      </c>
      <c r="E631" s="13" t="s">
        <v>70</v>
      </c>
      <c r="F631" s="13">
        <v>2022.0</v>
      </c>
      <c r="G631" s="13">
        <v>22985.0</v>
      </c>
      <c r="H631" s="13">
        <v>2410.77</v>
      </c>
      <c r="I631" s="13">
        <f>' car_sales_data 1'!$G631*0.2</f>
        <v>4597</v>
      </c>
      <c r="J631" s="13" t="str">
        <f>TEXT(' car_sales_data 1'!$A631,"mmmm")</f>
        <v>August</v>
      </c>
      <c r="K631" s="13" t="str">
        <f>IF(' car_sales_data 1'!$G631&gt;40000,"Premium",
 IF(' car_sales_data 1'!$G631&gt;=20000,"Mid Range","Budget"))</f>
        <v>Mid Range</v>
      </c>
      <c r="L631" s="13">
        <f>YEAR(TODAY())-' car_sales_data 1'!$F631</f>
        <v>3</v>
      </c>
    </row>
    <row r="632" ht="15.75" customHeight="1">
      <c r="A632" s="16">
        <v>44685.0</v>
      </c>
      <c r="B632" s="13" t="s">
        <v>1300</v>
      </c>
      <c r="C632" s="13" t="s">
        <v>1301</v>
      </c>
      <c r="D632" s="13" t="s">
        <v>8</v>
      </c>
      <c r="E632" s="13" t="s">
        <v>54</v>
      </c>
      <c r="F632" s="13">
        <v>2011.0</v>
      </c>
      <c r="G632" s="13">
        <v>14379.0</v>
      </c>
      <c r="H632" s="13">
        <v>1400.96</v>
      </c>
      <c r="I632" s="13">
        <f>' car_sales_data 1'!$G632*0.2</f>
        <v>2875.8</v>
      </c>
      <c r="J632" s="13" t="str">
        <f>TEXT(' car_sales_data 1'!$A632,"mmmm")</f>
        <v>May</v>
      </c>
      <c r="K632" s="13" t="str">
        <f>IF(' car_sales_data 1'!$G632&gt;40000,"Premium",
 IF(' car_sales_data 1'!$G632&gt;=20000,"Mid Range","Budget"))</f>
        <v>Budget</v>
      </c>
      <c r="L632" s="13">
        <f>YEAR(TODAY())-' car_sales_data 1'!$F632</f>
        <v>14</v>
      </c>
    </row>
    <row r="633" ht="15.75" customHeight="1">
      <c r="A633" s="16">
        <v>44757.0</v>
      </c>
      <c r="B633" s="13" t="s">
        <v>1302</v>
      </c>
      <c r="C633" s="13" t="s">
        <v>1303</v>
      </c>
      <c r="D633" s="13" t="s">
        <v>12</v>
      </c>
      <c r="E633" s="13" t="s">
        <v>51</v>
      </c>
      <c r="F633" s="13">
        <v>2016.0</v>
      </c>
      <c r="G633" s="13">
        <v>23105.0</v>
      </c>
      <c r="H633" s="13">
        <v>1447.64</v>
      </c>
      <c r="I633" s="13">
        <f>' car_sales_data 1'!$G633*0.2</f>
        <v>4621</v>
      </c>
      <c r="J633" s="13" t="str">
        <f>TEXT(' car_sales_data 1'!$A633,"mmmm")</f>
        <v>July</v>
      </c>
      <c r="K633" s="13" t="str">
        <f>IF(' car_sales_data 1'!$G633&gt;40000,"Premium",
 IF(' car_sales_data 1'!$G633&gt;=20000,"Mid Range","Budget"))</f>
        <v>Mid Range</v>
      </c>
      <c r="L633" s="13">
        <f>YEAR(TODAY())-' car_sales_data 1'!$F633</f>
        <v>9</v>
      </c>
    </row>
    <row r="634" ht="15.75" customHeight="1">
      <c r="A634" s="16">
        <v>44684.0</v>
      </c>
      <c r="B634" s="13" t="s">
        <v>1304</v>
      </c>
      <c r="C634" s="13" t="s">
        <v>1305</v>
      </c>
      <c r="D634" s="13" t="s">
        <v>10</v>
      </c>
      <c r="E634" s="13" t="s">
        <v>54</v>
      </c>
      <c r="F634" s="13">
        <v>2021.0</v>
      </c>
      <c r="G634" s="13">
        <v>39692.0</v>
      </c>
      <c r="H634" s="13">
        <v>5149.89</v>
      </c>
      <c r="I634" s="13">
        <f>' car_sales_data 1'!$G634*0.2</f>
        <v>7938.4</v>
      </c>
      <c r="J634" s="13" t="str">
        <f>TEXT(' car_sales_data 1'!$A634,"mmmm")</f>
        <v>May</v>
      </c>
      <c r="K634" s="13" t="str">
        <f>IF(' car_sales_data 1'!$G634&gt;40000,"Premium",
 IF(' car_sales_data 1'!$G634&gt;=20000,"Mid Range","Budget"))</f>
        <v>Mid Range</v>
      </c>
      <c r="L634" s="13">
        <f>YEAR(TODAY())-' car_sales_data 1'!$F634</f>
        <v>4</v>
      </c>
    </row>
    <row r="635" ht="15.75" customHeight="1">
      <c r="A635" s="16">
        <v>44858.0</v>
      </c>
      <c r="B635" s="13" t="s">
        <v>1306</v>
      </c>
      <c r="C635" s="13" t="s">
        <v>1307</v>
      </c>
      <c r="D635" s="13" t="s">
        <v>12</v>
      </c>
      <c r="E635" s="13" t="s">
        <v>51</v>
      </c>
      <c r="F635" s="13">
        <v>2018.0</v>
      </c>
      <c r="G635" s="13">
        <v>21042.0</v>
      </c>
      <c r="H635" s="13">
        <v>1969.41</v>
      </c>
      <c r="I635" s="13">
        <f>' car_sales_data 1'!$G635*0.2</f>
        <v>4208.4</v>
      </c>
      <c r="J635" s="13" t="str">
        <f>TEXT(' car_sales_data 1'!$A635,"mmmm")</f>
        <v>October</v>
      </c>
      <c r="K635" s="13" t="str">
        <f>IF(' car_sales_data 1'!$G635&gt;40000,"Premium",
 IF(' car_sales_data 1'!$G635&gt;=20000,"Mid Range","Budget"))</f>
        <v>Mid Range</v>
      </c>
      <c r="L635" s="13">
        <f>YEAR(TODAY())-' car_sales_data 1'!$F635</f>
        <v>7</v>
      </c>
    </row>
    <row r="636" ht="15.75" customHeight="1">
      <c r="A636" s="16">
        <v>44831.0</v>
      </c>
      <c r="B636" s="13" t="s">
        <v>1308</v>
      </c>
      <c r="C636" s="13" t="s">
        <v>1309</v>
      </c>
      <c r="D636" s="13" t="s">
        <v>8</v>
      </c>
      <c r="E636" s="13" t="s">
        <v>70</v>
      </c>
      <c r="F636" s="13">
        <v>2022.0</v>
      </c>
      <c r="G636" s="13">
        <v>21300.0</v>
      </c>
      <c r="H636" s="13">
        <v>2329.43</v>
      </c>
      <c r="I636" s="13">
        <f>' car_sales_data 1'!$G636*0.2</f>
        <v>4260</v>
      </c>
      <c r="J636" s="13" t="str">
        <f>TEXT(' car_sales_data 1'!$A636,"mmmm")</f>
        <v>September</v>
      </c>
      <c r="K636" s="13" t="str">
        <f>IF(' car_sales_data 1'!$G636&gt;40000,"Premium",
 IF(' car_sales_data 1'!$G636&gt;=20000,"Mid Range","Budget"))</f>
        <v>Mid Range</v>
      </c>
      <c r="L636" s="13">
        <f>YEAR(TODAY())-' car_sales_data 1'!$F636</f>
        <v>3</v>
      </c>
    </row>
    <row r="637" ht="15.75" customHeight="1">
      <c r="A637" s="16">
        <v>44896.0</v>
      </c>
      <c r="B637" s="13" t="s">
        <v>1310</v>
      </c>
      <c r="C637" s="13" t="s">
        <v>1311</v>
      </c>
      <c r="D637" s="13" t="s">
        <v>14</v>
      </c>
      <c r="E637" s="13" t="s">
        <v>62</v>
      </c>
      <c r="F637" s="13">
        <v>2012.0</v>
      </c>
      <c r="G637" s="13">
        <v>28125.0</v>
      </c>
      <c r="H637" s="13">
        <v>1925.24</v>
      </c>
      <c r="I637" s="13">
        <f>' car_sales_data 1'!$G637*0.2</f>
        <v>5625</v>
      </c>
      <c r="J637" s="13" t="str">
        <f>TEXT(' car_sales_data 1'!$A637,"mmmm")</f>
        <v>December</v>
      </c>
      <c r="K637" s="13" t="str">
        <f>IF(' car_sales_data 1'!$G637&gt;40000,"Premium",
 IF(' car_sales_data 1'!$G637&gt;=20000,"Mid Range","Budget"))</f>
        <v>Mid Range</v>
      </c>
      <c r="L637" s="13">
        <f>YEAR(TODAY())-' car_sales_data 1'!$F637</f>
        <v>13</v>
      </c>
    </row>
    <row r="638" ht="15.75" customHeight="1">
      <c r="A638" s="16">
        <v>44885.0</v>
      </c>
      <c r="B638" s="13" t="s">
        <v>1312</v>
      </c>
      <c r="C638" s="13" t="s">
        <v>1313</v>
      </c>
      <c r="D638" s="13" t="s">
        <v>6</v>
      </c>
      <c r="E638" s="13" t="s">
        <v>70</v>
      </c>
      <c r="F638" s="13">
        <v>2016.0</v>
      </c>
      <c r="G638" s="13">
        <v>48574.0</v>
      </c>
      <c r="H638" s="13">
        <v>7203.1</v>
      </c>
      <c r="I638" s="13">
        <f>' car_sales_data 1'!$G638*0.2</f>
        <v>9714.8</v>
      </c>
      <c r="J638" s="13" t="str">
        <f>TEXT(' car_sales_data 1'!$A638,"mmmm")</f>
        <v>November</v>
      </c>
      <c r="K638" s="13" t="str">
        <f>IF(' car_sales_data 1'!$G638&gt;40000,"Premium",
 IF(' car_sales_data 1'!$G638&gt;=20000,"Mid Range","Budget"))</f>
        <v>Premium</v>
      </c>
      <c r="L638" s="13">
        <f>YEAR(TODAY())-' car_sales_data 1'!$F638</f>
        <v>9</v>
      </c>
    </row>
    <row r="639" ht="15.75" customHeight="1">
      <c r="A639" s="16">
        <v>44847.0</v>
      </c>
      <c r="B639" s="13" t="s">
        <v>1314</v>
      </c>
      <c r="C639" s="13" t="s">
        <v>1315</v>
      </c>
      <c r="D639" s="13" t="s">
        <v>6</v>
      </c>
      <c r="E639" s="13" t="s">
        <v>70</v>
      </c>
      <c r="F639" s="13">
        <v>2021.0</v>
      </c>
      <c r="G639" s="13">
        <v>28352.0</v>
      </c>
      <c r="H639" s="13">
        <v>3436.91</v>
      </c>
      <c r="I639" s="13">
        <f>' car_sales_data 1'!$G639*0.2</f>
        <v>5670.4</v>
      </c>
      <c r="J639" s="13" t="str">
        <f>TEXT(' car_sales_data 1'!$A639,"mmmm")</f>
        <v>October</v>
      </c>
      <c r="K639" s="13" t="str">
        <f>IF(' car_sales_data 1'!$G639&gt;40000,"Premium",
 IF(' car_sales_data 1'!$G639&gt;=20000,"Mid Range","Budget"))</f>
        <v>Mid Range</v>
      </c>
      <c r="L639" s="13">
        <f>YEAR(TODAY())-' car_sales_data 1'!$F639</f>
        <v>4</v>
      </c>
    </row>
    <row r="640" ht="15.75" customHeight="1">
      <c r="A640" s="16">
        <v>44689.0</v>
      </c>
      <c r="B640" s="13" t="s">
        <v>1316</v>
      </c>
      <c r="C640" s="13" t="s">
        <v>1317</v>
      </c>
      <c r="D640" s="13" t="s">
        <v>6</v>
      </c>
      <c r="E640" s="13" t="s">
        <v>70</v>
      </c>
      <c r="F640" s="13">
        <v>2012.0</v>
      </c>
      <c r="G640" s="13">
        <v>45360.0</v>
      </c>
      <c r="H640" s="13">
        <v>4353.14</v>
      </c>
      <c r="I640" s="13">
        <f>' car_sales_data 1'!$G640*0.2</f>
        <v>9072</v>
      </c>
      <c r="J640" s="13" t="str">
        <f>TEXT(' car_sales_data 1'!$A640,"mmmm")</f>
        <v>May</v>
      </c>
      <c r="K640" s="13" t="str">
        <f>IF(' car_sales_data 1'!$G640&gt;40000,"Premium",
 IF(' car_sales_data 1'!$G640&gt;=20000,"Mid Range","Budget"))</f>
        <v>Premium</v>
      </c>
      <c r="L640" s="13">
        <f>YEAR(TODAY())-' car_sales_data 1'!$F640</f>
        <v>13</v>
      </c>
    </row>
    <row r="641" ht="15.75" customHeight="1">
      <c r="A641" s="16">
        <v>44853.0</v>
      </c>
      <c r="B641" s="13" t="s">
        <v>1318</v>
      </c>
      <c r="C641" s="13" t="s">
        <v>1319</v>
      </c>
      <c r="D641" s="13" t="s">
        <v>8</v>
      </c>
      <c r="E641" s="13" t="s">
        <v>54</v>
      </c>
      <c r="F641" s="13">
        <v>2013.0</v>
      </c>
      <c r="G641" s="13">
        <v>28150.0</v>
      </c>
      <c r="H641" s="13">
        <v>4118.36</v>
      </c>
      <c r="I641" s="13">
        <f>' car_sales_data 1'!$G641*0.2</f>
        <v>5630</v>
      </c>
      <c r="J641" s="13" t="str">
        <f>TEXT(' car_sales_data 1'!$A641,"mmmm")</f>
        <v>October</v>
      </c>
      <c r="K641" s="13" t="str">
        <f>IF(' car_sales_data 1'!$G641&gt;40000,"Premium",
 IF(' car_sales_data 1'!$G641&gt;=20000,"Mid Range","Budget"))</f>
        <v>Mid Range</v>
      </c>
      <c r="L641" s="13">
        <f>YEAR(TODAY())-' car_sales_data 1'!$F641</f>
        <v>12</v>
      </c>
    </row>
    <row r="642" ht="15.75" customHeight="1">
      <c r="A642" s="16">
        <v>44742.0</v>
      </c>
      <c r="B642" s="13" t="s">
        <v>1320</v>
      </c>
      <c r="C642" s="13" t="s">
        <v>1321</v>
      </c>
      <c r="D642" s="13" t="s">
        <v>14</v>
      </c>
      <c r="E642" s="13" t="s">
        <v>54</v>
      </c>
      <c r="F642" s="13">
        <v>2022.0</v>
      </c>
      <c r="G642" s="13">
        <v>48712.0</v>
      </c>
      <c r="H642" s="13">
        <v>4717.47</v>
      </c>
      <c r="I642" s="13">
        <f>' car_sales_data 1'!$G642*0.2</f>
        <v>9742.4</v>
      </c>
      <c r="J642" s="13" t="str">
        <f>TEXT(' car_sales_data 1'!$A642,"mmmm")</f>
        <v>June</v>
      </c>
      <c r="K642" s="13" t="str">
        <f>IF(' car_sales_data 1'!$G642&gt;40000,"Premium",
 IF(' car_sales_data 1'!$G642&gt;=20000,"Mid Range","Budget"))</f>
        <v>Premium</v>
      </c>
      <c r="L642" s="13">
        <f>YEAR(TODAY())-' car_sales_data 1'!$F642</f>
        <v>3</v>
      </c>
    </row>
    <row r="643" ht="15.75" customHeight="1">
      <c r="A643" s="16">
        <v>44884.0</v>
      </c>
      <c r="B643" s="13" t="s">
        <v>1322</v>
      </c>
      <c r="C643" s="13" t="s">
        <v>1323</v>
      </c>
      <c r="D643" s="13" t="s">
        <v>14</v>
      </c>
      <c r="E643" s="13" t="s">
        <v>51</v>
      </c>
      <c r="F643" s="13">
        <v>2014.0</v>
      </c>
      <c r="G643" s="13">
        <v>33453.0</v>
      </c>
      <c r="H643" s="13">
        <v>1695.69</v>
      </c>
      <c r="I643" s="13">
        <f>' car_sales_data 1'!$G643*0.2</f>
        <v>6690.6</v>
      </c>
      <c r="J643" s="13" t="str">
        <f>TEXT(' car_sales_data 1'!$A643,"mmmm")</f>
        <v>November</v>
      </c>
      <c r="K643" s="13" t="str">
        <f>IF(' car_sales_data 1'!$G643&gt;40000,"Premium",
 IF(' car_sales_data 1'!$G643&gt;=20000,"Mid Range","Budget"))</f>
        <v>Mid Range</v>
      </c>
      <c r="L643" s="13">
        <f>YEAR(TODAY())-' car_sales_data 1'!$F643</f>
        <v>11</v>
      </c>
    </row>
    <row r="644" ht="15.75" customHeight="1">
      <c r="A644" s="16">
        <v>44935.0</v>
      </c>
      <c r="B644" s="13" t="s">
        <v>1324</v>
      </c>
      <c r="C644" s="13" t="s">
        <v>1325</v>
      </c>
      <c r="D644" s="13" t="s">
        <v>10</v>
      </c>
      <c r="E644" s="13" t="s">
        <v>70</v>
      </c>
      <c r="F644" s="13">
        <v>2011.0</v>
      </c>
      <c r="G644" s="13">
        <v>48805.0</v>
      </c>
      <c r="H644" s="13">
        <v>5153.1</v>
      </c>
      <c r="I644" s="13">
        <f>' car_sales_data 1'!$G644*0.2</f>
        <v>9761</v>
      </c>
      <c r="J644" s="13" t="str">
        <f>TEXT(' car_sales_data 1'!$A644,"mmmm")</f>
        <v>January</v>
      </c>
      <c r="K644" s="13" t="str">
        <f>IF(' car_sales_data 1'!$G644&gt;40000,"Premium",
 IF(' car_sales_data 1'!$G644&gt;=20000,"Mid Range","Budget"))</f>
        <v>Premium</v>
      </c>
      <c r="L644" s="13">
        <f>YEAR(TODAY())-' car_sales_data 1'!$F644</f>
        <v>14</v>
      </c>
    </row>
    <row r="645" ht="15.75" customHeight="1">
      <c r="A645" s="16">
        <v>44761.0</v>
      </c>
      <c r="B645" s="13" t="s">
        <v>1326</v>
      </c>
      <c r="C645" s="13" t="s">
        <v>1327</v>
      </c>
      <c r="D645" s="13" t="s">
        <v>10</v>
      </c>
      <c r="E645" s="13" t="s">
        <v>70</v>
      </c>
      <c r="F645" s="13">
        <v>2021.0</v>
      </c>
      <c r="G645" s="13">
        <v>13720.0</v>
      </c>
      <c r="H645" s="13">
        <v>975.15</v>
      </c>
      <c r="I645" s="13">
        <f>' car_sales_data 1'!$G645*0.2</f>
        <v>2744</v>
      </c>
      <c r="J645" s="13" t="str">
        <f>TEXT(' car_sales_data 1'!$A645,"mmmm")</f>
        <v>July</v>
      </c>
      <c r="K645" s="13" t="str">
        <f>IF(' car_sales_data 1'!$G645&gt;40000,"Premium",
 IF(' car_sales_data 1'!$G645&gt;=20000,"Mid Range","Budget"))</f>
        <v>Budget</v>
      </c>
      <c r="L645" s="13">
        <f>YEAR(TODAY())-' car_sales_data 1'!$F645</f>
        <v>4</v>
      </c>
    </row>
    <row r="646" ht="15.75" customHeight="1">
      <c r="A646" s="16">
        <v>44892.0</v>
      </c>
      <c r="B646" s="13" t="s">
        <v>1328</v>
      </c>
      <c r="C646" s="13" t="s">
        <v>1329</v>
      </c>
      <c r="D646" s="13" t="s">
        <v>14</v>
      </c>
      <c r="E646" s="13" t="s">
        <v>62</v>
      </c>
      <c r="F646" s="13">
        <v>2020.0</v>
      </c>
      <c r="G646" s="13">
        <v>18842.0</v>
      </c>
      <c r="H646" s="13">
        <v>1536.12</v>
      </c>
      <c r="I646" s="13">
        <f>' car_sales_data 1'!$G646*0.2</f>
        <v>3768.4</v>
      </c>
      <c r="J646" s="13" t="str">
        <f>TEXT(' car_sales_data 1'!$A646,"mmmm")</f>
        <v>November</v>
      </c>
      <c r="K646" s="13" t="str">
        <f>IF(' car_sales_data 1'!$G646&gt;40000,"Premium",
 IF(' car_sales_data 1'!$G646&gt;=20000,"Mid Range","Budget"))</f>
        <v>Budget</v>
      </c>
      <c r="L646" s="13">
        <f>YEAR(TODAY())-' car_sales_data 1'!$F646</f>
        <v>5</v>
      </c>
    </row>
    <row r="647" ht="15.75" customHeight="1">
      <c r="A647" s="16">
        <v>45040.0</v>
      </c>
      <c r="B647" s="13" t="s">
        <v>1330</v>
      </c>
      <c r="C647" s="13" t="s">
        <v>1331</v>
      </c>
      <c r="D647" s="13" t="s">
        <v>6</v>
      </c>
      <c r="E647" s="13" t="s">
        <v>57</v>
      </c>
      <c r="F647" s="13">
        <v>2019.0</v>
      </c>
      <c r="G647" s="13">
        <v>18229.0</v>
      </c>
      <c r="H647" s="13">
        <v>2103.82</v>
      </c>
      <c r="I647" s="13">
        <f>' car_sales_data 1'!$G647*0.2</f>
        <v>3645.8</v>
      </c>
      <c r="J647" s="13" t="str">
        <f>TEXT(' car_sales_data 1'!$A647,"mmmm")</f>
        <v>April</v>
      </c>
      <c r="K647" s="13" t="str">
        <f>IF(' car_sales_data 1'!$G647&gt;40000,"Premium",
 IF(' car_sales_data 1'!$G647&gt;=20000,"Mid Range","Budget"))</f>
        <v>Budget</v>
      </c>
      <c r="L647" s="13">
        <f>YEAR(TODAY())-' car_sales_data 1'!$F647</f>
        <v>6</v>
      </c>
    </row>
    <row r="648" ht="15.75" customHeight="1">
      <c r="A648" s="16">
        <v>44951.0</v>
      </c>
      <c r="B648" s="13" t="s">
        <v>1332</v>
      </c>
      <c r="C648" s="13" t="s">
        <v>1333</v>
      </c>
      <c r="D648" s="13" t="s">
        <v>12</v>
      </c>
      <c r="E648" s="13" t="s">
        <v>70</v>
      </c>
      <c r="F648" s="13">
        <v>2010.0</v>
      </c>
      <c r="G648" s="13">
        <v>10388.0</v>
      </c>
      <c r="H648" s="13">
        <v>1273.52</v>
      </c>
      <c r="I648" s="13">
        <f>' car_sales_data 1'!$G648*0.2</f>
        <v>2077.6</v>
      </c>
      <c r="J648" s="13" t="str">
        <f>TEXT(' car_sales_data 1'!$A648,"mmmm")</f>
        <v>January</v>
      </c>
      <c r="K648" s="13" t="str">
        <f>IF(' car_sales_data 1'!$G648&gt;40000,"Premium",
 IF(' car_sales_data 1'!$G648&gt;=20000,"Mid Range","Budget"))</f>
        <v>Budget</v>
      </c>
      <c r="L648" s="13">
        <f>YEAR(TODAY())-' car_sales_data 1'!$F648</f>
        <v>15</v>
      </c>
    </row>
    <row r="649" ht="15.75" customHeight="1">
      <c r="A649" s="16">
        <v>44925.0</v>
      </c>
      <c r="B649" s="13" t="s">
        <v>1334</v>
      </c>
      <c r="C649" s="13" t="s">
        <v>1335</v>
      </c>
      <c r="D649" s="13" t="s">
        <v>14</v>
      </c>
      <c r="E649" s="13" t="s">
        <v>54</v>
      </c>
      <c r="F649" s="13">
        <v>2010.0</v>
      </c>
      <c r="G649" s="13">
        <v>42747.0</v>
      </c>
      <c r="H649" s="13">
        <v>4170.15</v>
      </c>
      <c r="I649" s="13">
        <f>' car_sales_data 1'!$G649*0.2</f>
        <v>8549.4</v>
      </c>
      <c r="J649" s="13" t="str">
        <f>TEXT(' car_sales_data 1'!$A649,"mmmm")</f>
        <v>December</v>
      </c>
      <c r="K649" s="13" t="str">
        <f>IF(' car_sales_data 1'!$G649&gt;40000,"Premium",
 IF(' car_sales_data 1'!$G649&gt;=20000,"Mid Range","Budget"))</f>
        <v>Premium</v>
      </c>
      <c r="L649" s="13">
        <f>YEAR(TODAY())-' car_sales_data 1'!$F649</f>
        <v>15</v>
      </c>
    </row>
    <row r="650" ht="15.75" customHeight="1">
      <c r="A650" s="16">
        <v>44791.0</v>
      </c>
      <c r="B650" s="13" t="s">
        <v>1336</v>
      </c>
      <c r="C650" s="13" t="s">
        <v>1337</v>
      </c>
      <c r="D650" s="13" t="s">
        <v>6</v>
      </c>
      <c r="E650" s="13" t="s">
        <v>51</v>
      </c>
      <c r="F650" s="13">
        <v>2011.0</v>
      </c>
      <c r="G650" s="13">
        <v>43489.0</v>
      </c>
      <c r="H650" s="13">
        <v>2178.06</v>
      </c>
      <c r="I650" s="13">
        <f>' car_sales_data 1'!$G650*0.2</f>
        <v>8697.8</v>
      </c>
      <c r="J650" s="13" t="str">
        <f>TEXT(' car_sales_data 1'!$A650,"mmmm")</f>
        <v>August</v>
      </c>
      <c r="K650" s="13" t="str">
        <f>IF(' car_sales_data 1'!$G650&gt;40000,"Premium",
 IF(' car_sales_data 1'!$G650&gt;=20000,"Mid Range","Budget"))</f>
        <v>Premium</v>
      </c>
      <c r="L650" s="13">
        <f>YEAR(TODAY())-' car_sales_data 1'!$F650</f>
        <v>14</v>
      </c>
    </row>
    <row r="651" ht="15.75" customHeight="1">
      <c r="A651" s="16">
        <v>44963.0</v>
      </c>
      <c r="B651" s="13" t="s">
        <v>1338</v>
      </c>
      <c r="C651" s="13" t="s">
        <v>1339</v>
      </c>
      <c r="D651" s="13" t="s">
        <v>12</v>
      </c>
      <c r="E651" s="13" t="s">
        <v>51</v>
      </c>
      <c r="F651" s="13">
        <v>2011.0</v>
      </c>
      <c r="G651" s="13">
        <v>24086.0</v>
      </c>
      <c r="H651" s="13">
        <v>2856.3</v>
      </c>
      <c r="I651" s="13">
        <f>' car_sales_data 1'!$G651*0.2</f>
        <v>4817.2</v>
      </c>
      <c r="J651" s="13" t="str">
        <f>TEXT(' car_sales_data 1'!$A651,"mmmm")</f>
        <v>February</v>
      </c>
      <c r="K651" s="13" t="str">
        <f>IF(' car_sales_data 1'!$G651&gt;40000,"Premium",
 IF(' car_sales_data 1'!$G651&gt;=20000,"Mid Range","Budget"))</f>
        <v>Mid Range</v>
      </c>
      <c r="L651" s="13">
        <f>YEAR(TODAY())-' car_sales_data 1'!$F651</f>
        <v>14</v>
      </c>
    </row>
    <row r="652" ht="15.75" customHeight="1">
      <c r="A652" s="16">
        <v>44846.0</v>
      </c>
      <c r="B652" s="13" t="s">
        <v>1340</v>
      </c>
      <c r="C652" s="13" t="s">
        <v>1341</v>
      </c>
      <c r="D652" s="13" t="s">
        <v>12</v>
      </c>
      <c r="E652" s="13" t="s">
        <v>57</v>
      </c>
      <c r="F652" s="13">
        <v>2016.0</v>
      </c>
      <c r="G652" s="13">
        <v>13551.0</v>
      </c>
      <c r="H652" s="13">
        <v>1339.74</v>
      </c>
      <c r="I652" s="13">
        <f>' car_sales_data 1'!$G652*0.2</f>
        <v>2710.2</v>
      </c>
      <c r="J652" s="13" t="str">
        <f>TEXT(' car_sales_data 1'!$A652,"mmmm")</f>
        <v>October</v>
      </c>
      <c r="K652" s="13" t="str">
        <f>IF(' car_sales_data 1'!$G652&gt;40000,"Premium",
 IF(' car_sales_data 1'!$G652&gt;=20000,"Mid Range","Budget"))</f>
        <v>Budget</v>
      </c>
      <c r="L652" s="13">
        <f>YEAR(TODAY())-' car_sales_data 1'!$F652</f>
        <v>9</v>
      </c>
    </row>
    <row r="653" ht="15.75" customHeight="1">
      <c r="A653" s="16">
        <v>45023.0</v>
      </c>
      <c r="B653" s="13" t="s">
        <v>1342</v>
      </c>
      <c r="C653" s="13" t="s">
        <v>1343</v>
      </c>
      <c r="D653" s="13" t="s">
        <v>12</v>
      </c>
      <c r="E653" s="13" t="s">
        <v>57</v>
      </c>
      <c r="F653" s="13">
        <v>2022.0</v>
      </c>
      <c r="G653" s="13">
        <v>16054.0</v>
      </c>
      <c r="H653" s="13">
        <v>1567.96</v>
      </c>
      <c r="I653" s="13">
        <f>' car_sales_data 1'!$G653*0.2</f>
        <v>3210.8</v>
      </c>
      <c r="J653" s="13" t="str">
        <f>TEXT(' car_sales_data 1'!$A653,"mmmm")</f>
        <v>April</v>
      </c>
      <c r="K653" s="13" t="str">
        <f>IF(' car_sales_data 1'!$G653&gt;40000,"Premium",
 IF(' car_sales_data 1'!$G653&gt;=20000,"Mid Range","Budget"))</f>
        <v>Budget</v>
      </c>
      <c r="L653" s="13">
        <f>YEAR(TODAY())-' car_sales_data 1'!$F653</f>
        <v>3</v>
      </c>
    </row>
    <row r="654" ht="15.75" customHeight="1">
      <c r="A654" s="16">
        <v>44900.0</v>
      </c>
      <c r="B654" s="13" t="s">
        <v>1344</v>
      </c>
      <c r="C654" s="13" t="s">
        <v>1345</v>
      </c>
      <c r="D654" s="13" t="s">
        <v>12</v>
      </c>
      <c r="E654" s="13" t="s">
        <v>62</v>
      </c>
      <c r="F654" s="13">
        <v>2016.0</v>
      </c>
      <c r="G654" s="13">
        <v>36940.0</v>
      </c>
      <c r="H654" s="13">
        <v>4123.12</v>
      </c>
      <c r="I654" s="13">
        <f>' car_sales_data 1'!$G654*0.2</f>
        <v>7388</v>
      </c>
      <c r="J654" s="13" t="str">
        <f>TEXT(' car_sales_data 1'!$A654,"mmmm")</f>
        <v>December</v>
      </c>
      <c r="K654" s="13" t="str">
        <f>IF(' car_sales_data 1'!$G654&gt;40000,"Premium",
 IF(' car_sales_data 1'!$G654&gt;=20000,"Mid Range","Budget"))</f>
        <v>Mid Range</v>
      </c>
      <c r="L654" s="13">
        <f>YEAR(TODAY())-' car_sales_data 1'!$F654</f>
        <v>9</v>
      </c>
    </row>
    <row r="655" ht="15.75" customHeight="1">
      <c r="A655" s="16">
        <v>44690.0</v>
      </c>
      <c r="B655" s="13" t="s">
        <v>1346</v>
      </c>
      <c r="C655" s="13" t="s">
        <v>1347</v>
      </c>
      <c r="D655" s="13" t="s">
        <v>8</v>
      </c>
      <c r="E655" s="13" t="s">
        <v>51</v>
      </c>
      <c r="F655" s="13">
        <v>2019.0</v>
      </c>
      <c r="G655" s="13">
        <v>44492.0</v>
      </c>
      <c r="H655" s="13">
        <v>3596.78</v>
      </c>
      <c r="I655" s="13">
        <f>' car_sales_data 1'!$G655*0.2</f>
        <v>8898.4</v>
      </c>
      <c r="J655" s="13" t="str">
        <f>TEXT(' car_sales_data 1'!$A655,"mmmm")</f>
        <v>May</v>
      </c>
      <c r="K655" s="13" t="str">
        <f>IF(' car_sales_data 1'!$G655&gt;40000,"Premium",
 IF(' car_sales_data 1'!$G655&gt;=20000,"Mid Range","Budget"))</f>
        <v>Premium</v>
      </c>
      <c r="L655" s="13">
        <f>YEAR(TODAY())-' car_sales_data 1'!$F655</f>
        <v>6</v>
      </c>
    </row>
    <row r="656" ht="15.75" customHeight="1">
      <c r="A656" s="16">
        <v>44844.0</v>
      </c>
      <c r="B656" s="13" t="s">
        <v>1348</v>
      </c>
      <c r="C656" s="13" t="s">
        <v>1349</v>
      </c>
      <c r="D656" s="13" t="s">
        <v>8</v>
      </c>
      <c r="E656" s="13" t="s">
        <v>51</v>
      </c>
      <c r="F656" s="13">
        <v>2017.0</v>
      </c>
      <c r="G656" s="13">
        <v>47950.0</v>
      </c>
      <c r="H656" s="13">
        <v>3082.58</v>
      </c>
      <c r="I656" s="13">
        <f>' car_sales_data 1'!$G656*0.2</f>
        <v>9590</v>
      </c>
      <c r="J656" s="13" t="str">
        <f>TEXT(' car_sales_data 1'!$A656,"mmmm")</f>
        <v>October</v>
      </c>
      <c r="K656" s="13" t="str">
        <f>IF(' car_sales_data 1'!$G656&gt;40000,"Premium",
 IF(' car_sales_data 1'!$G656&gt;=20000,"Mid Range","Budget"))</f>
        <v>Premium</v>
      </c>
      <c r="L656" s="13">
        <f>YEAR(TODAY())-' car_sales_data 1'!$F656</f>
        <v>8</v>
      </c>
    </row>
    <row r="657" ht="15.75" customHeight="1">
      <c r="A657" s="16">
        <v>44833.0</v>
      </c>
      <c r="B657" s="13" t="s">
        <v>1350</v>
      </c>
      <c r="C657" s="13" t="s">
        <v>1351</v>
      </c>
      <c r="D657" s="13" t="s">
        <v>8</v>
      </c>
      <c r="E657" s="13" t="s">
        <v>51</v>
      </c>
      <c r="F657" s="13">
        <v>2017.0</v>
      </c>
      <c r="G657" s="13">
        <v>23950.0</v>
      </c>
      <c r="H657" s="13">
        <v>2062.8</v>
      </c>
      <c r="I657" s="13">
        <f>' car_sales_data 1'!$G657*0.2</f>
        <v>4790</v>
      </c>
      <c r="J657" s="13" t="str">
        <f>TEXT(' car_sales_data 1'!$A657,"mmmm")</f>
        <v>September</v>
      </c>
      <c r="K657" s="13" t="str">
        <f>IF(' car_sales_data 1'!$G657&gt;40000,"Premium",
 IF(' car_sales_data 1'!$G657&gt;=20000,"Mid Range","Budget"))</f>
        <v>Mid Range</v>
      </c>
      <c r="L657" s="13">
        <f>YEAR(TODAY())-' car_sales_data 1'!$F657</f>
        <v>8</v>
      </c>
    </row>
    <row r="658" ht="15.75" customHeight="1">
      <c r="A658" s="16">
        <v>44816.0</v>
      </c>
      <c r="B658" s="13" t="s">
        <v>1352</v>
      </c>
      <c r="C658" s="13" t="s">
        <v>1353</v>
      </c>
      <c r="D658" s="13" t="s">
        <v>8</v>
      </c>
      <c r="E658" s="13" t="s">
        <v>54</v>
      </c>
      <c r="F658" s="13">
        <v>2018.0</v>
      </c>
      <c r="G658" s="13">
        <v>46336.0</v>
      </c>
      <c r="H658" s="13">
        <v>5106.79</v>
      </c>
      <c r="I658" s="13">
        <f>' car_sales_data 1'!$G658*0.2</f>
        <v>9267.2</v>
      </c>
      <c r="J658" s="13" t="str">
        <f>TEXT(' car_sales_data 1'!$A658,"mmmm")</f>
        <v>September</v>
      </c>
      <c r="K658" s="13" t="str">
        <f>IF(' car_sales_data 1'!$G658&gt;40000,"Premium",
 IF(' car_sales_data 1'!$G658&gt;=20000,"Mid Range","Budget"))</f>
        <v>Premium</v>
      </c>
      <c r="L658" s="13">
        <f>YEAR(TODAY())-' car_sales_data 1'!$F658</f>
        <v>7</v>
      </c>
    </row>
    <row r="659" ht="15.75" customHeight="1">
      <c r="A659" s="16">
        <v>44817.0</v>
      </c>
      <c r="B659" s="13" t="s">
        <v>1354</v>
      </c>
      <c r="C659" s="13" t="s">
        <v>1355</v>
      </c>
      <c r="D659" s="13" t="s">
        <v>12</v>
      </c>
      <c r="E659" s="13" t="s">
        <v>62</v>
      </c>
      <c r="F659" s="13">
        <v>2012.0</v>
      </c>
      <c r="G659" s="13">
        <v>16192.0</v>
      </c>
      <c r="H659" s="13">
        <v>1428.28</v>
      </c>
      <c r="I659" s="13">
        <f>' car_sales_data 1'!$G659*0.2</f>
        <v>3238.4</v>
      </c>
      <c r="J659" s="13" t="str">
        <f>TEXT(' car_sales_data 1'!$A659,"mmmm")</f>
        <v>September</v>
      </c>
      <c r="K659" s="13" t="str">
        <f>IF(' car_sales_data 1'!$G659&gt;40000,"Premium",
 IF(' car_sales_data 1'!$G659&gt;=20000,"Mid Range","Budget"))</f>
        <v>Budget</v>
      </c>
      <c r="L659" s="13">
        <f>YEAR(TODAY())-' car_sales_data 1'!$F659</f>
        <v>13</v>
      </c>
    </row>
    <row r="660" ht="15.75" customHeight="1">
      <c r="A660" s="16">
        <v>44975.0</v>
      </c>
      <c r="B660" s="13" t="s">
        <v>1356</v>
      </c>
      <c r="C660" s="13" t="s">
        <v>1357</v>
      </c>
      <c r="D660" s="13" t="s">
        <v>8</v>
      </c>
      <c r="E660" s="13" t="s">
        <v>57</v>
      </c>
      <c r="F660" s="13">
        <v>2019.0</v>
      </c>
      <c r="G660" s="13">
        <v>25903.0</v>
      </c>
      <c r="H660" s="13">
        <v>3036.19</v>
      </c>
      <c r="I660" s="13">
        <f>' car_sales_data 1'!$G660*0.2</f>
        <v>5180.6</v>
      </c>
      <c r="J660" s="13" t="str">
        <f>TEXT(' car_sales_data 1'!$A660,"mmmm")</f>
        <v>February</v>
      </c>
      <c r="K660" s="13" t="str">
        <f>IF(' car_sales_data 1'!$G660&gt;40000,"Premium",
 IF(' car_sales_data 1'!$G660&gt;=20000,"Mid Range","Budget"))</f>
        <v>Mid Range</v>
      </c>
      <c r="L660" s="13">
        <f>YEAR(TODAY())-' car_sales_data 1'!$F660</f>
        <v>6</v>
      </c>
    </row>
    <row r="661" ht="15.75" customHeight="1">
      <c r="A661" s="16">
        <v>44817.0</v>
      </c>
      <c r="B661" s="13" t="s">
        <v>19</v>
      </c>
      <c r="C661" s="13" t="s">
        <v>1358</v>
      </c>
      <c r="D661" s="13" t="s">
        <v>8</v>
      </c>
      <c r="E661" s="13" t="s">
        <v>54</v>
      </c>
      <c r="F661" s="13">
        <v>2021.0</v>
      </c>
      <c r="G661" s="13">
        <v>44738.0</v>
      </c>
      <c r="H661" s="13">
        <v>6447.13</v>
      </c>
      <c r="I661" s="13">
        <f>' car_sales_data 1'!$G661*0.2</f>
        <v>8947.6</v>
      </c>
      <c r="J661" s="13" t="str">
        <f>TEXT(' car_sales_data 1'!$A661,"mmmm")</f>
        <v>September</v>
      </c>
      <c r="K661" s="13" t="str">
        <f>IF(' car_sales_data 1'!$G661&gt;40000,"Premium",
 IF(' car_sales_data 1'!$G661&gt;=20000,"Mid Range","Budget"))</f>
        <v>Premium</v>
      </c>
      <c r="L661" s="13">
        <f>YEAR(TODAY())-' car_sales_data 1'!$F661</f>
        <v>4</v>
      </c>
    </row>
    <row r="662" ht="15.75" customHeight="1">
      <c r="A662" s="16">
        <v>45004.0</v>
      </c>
      <c r="B662" s="13" t="s">
        <v>1359</v>
      </c>
      <c r="C662" s="13" t="s">
        <v>1360</v>
      </c>
      <c r="D662" s="13" t="s">
        <v>12</v>
      </c>
      <c r="E662" s="13" t="s">
        <v>70</v>
      </c>
      <c r="F662" s="13">
        <v>2015.0</v>
      </c>
      <c r="G662" s="13">
        <v>45089.0</v>
      </c>
      <c r="H662" s="13">
        <v>5734.29</v>
      </c>
      <c r="I662" s="13">
        <f>' car_sales_data 1'!$G662*0.2</f>
        <v>9017.8</v>
      </c>
      <c r="J662" s="13" t="str">
        <f>TEXT(' car_sales_data 1'!$A662,"mmmm")</f>
        <v>March</v>
      </c>
      <c r="K662" s="13" t="str">
        <f>IF(' car_sales_data 1'!$G662&gt;40000,"Premium",
 IF(' car_sales_data 1'!$G662&gt;=20000,"Mid Range","Budget"))</f>
        <v>Premium</v>
      </c>
      <c r="L662" s="13">
        <f>YEAR(TODAY())-' car_sales_data 1'!$F662</f>
        <v>10</v>
      </c>
    </row>
    <row r="663" ht="15.75" customHeight="1">
      <c r="A663" s="16">
        <v>44974.0</v>
      </c>
      <c r="B663" s="13" t="s">
        <v>1361</v>
      </c>
      <c r="C663" s="13" t="s">
        <v>1362</v>
      </c>
      <c r="D663" s="13" t="s">
        <v>10</v>
      </c>
      <c r="E663" s="13" t="s">
        <v>62</v>
      </c>
      <c r="F663" s="13">
        <v>2016.0</v>
      </c>
      <c r="G663" s="13">
        <v>33218.0</v>
      </c>
      <c r="H663" s="13">
        <v>3510.21</v>
      </c>
      <c r="I663" s="13">
        <f>' car_sales_data 1'!$G663*0.2</f>
        <v>6643.6</v>
      </c>
      <c r="J663" s="13" t="str">
        <f>TEXT(' car_sales_data 1'!$A663,"mmmm")</f>
        <v>February</v>
      </c>
      <c r="K663" s="13" t="str">
        <f>IF(' car_sales_data 1'!$G663&gt;40000,"Premium",
 IF(' car_sales_data 1'!$G663&gt;=20000,"Mid Range","Budget"))</f>
        <v>Mid Range</v>
      </c>
      <c r="L663" s="13">
        <f>YEAR(TODAY())-' car_sales_data 1'!$F663</f>
        <v>9</v>
      </c>
    </row>
    <row r="664" ht="15.75" customHeight="1">
      <c r="A664" s="16">
        <v>44952.0</v>
      </c>
      <c r="B664" s="13" t="s">
        <v>1363</v>
      </c>
      <c r="C664" s="13" t="s">
        <v>1364</v>
      </c>
      <c r="D664" s="13" t="s">
        <v>6</v>
      </c>
      <c r="E664" s="13" t="s">
        <v>54</v>
      </c>
      <c r="F664" s="13">
        <v>2017.0</v>
      </c>
      <c r="G664" s="13">
        <v>14384.0</v>
      </c>
      <c r="H664" s="13">
        <v>1031.1</v>
      </c>
      <c r="I664" s="13">
        <f>' car_sales_data 1'!$G664*0.2</f>
        <v>2876.8</v>
      </c>
      <c r="J664" s="13" t="str">
        <f>TEXT(' car_sales_data 1'!$A664,"mmmm")</f>
        <v>January</v>
      </c>
      <c r="K664" s="13" t="str">
        <f>IF(' car_sales_data 1'!$G664&gt;40000,"Premium",
 IF(' car_sales_data 1'!$G664&gt;=20000,"Mid Range","Budget"))</f>
        <v>Budget</v>
      </c>
      <c r="L664" s="13">
        <f>YEAR(TODAY())-' car_sales_data 1'!$F664</f>
        <v>8</v>
      </c>
    </row>
    <row r="665" ht="15.75" customHeight="1">
      <c r="A665" s="16">
        <v>44757.0</v>
      </c>
      <c r="B665" s="13" t="s">
        <v>1365</v>
      </c>
      <c r="C665" s="13" t="s">
        <v>1366</v>
      </c>
      <c r="D665" s="13" t="s">
        <v>12</v>
      </c>
      <c r="E665" s="13" t="s">
        <v>51</v>
      </c>
      <c r="F665" s="13">
        <v>2019.0</v>
      </c>
      <c r="G665" s="13">
        <v>37245.0</v>
      </c>
      <c r="H665" s="13">
        <v>3640.5</v>
      </c>
      <c r="I665" s="13">
        <f>' car_sales_data 1'!$G665*0.2</f>
        <v>7449</v>
      </c>
      <c r="J665" s="13" t="str">
        <f>TEXT(' car_sales_data 1'!$A665,"mmmm")</f>
        <v>July</v>
      </c>
      <c r="K665" s="13" t="str">
        <f>IF(' car_sales_data 1'!$G665&gt;40000,"Premium",
 IF(' car_sales_data 1'!$G665&gt;=20000,"Mid Range","Budget"))</f>
        <v>Mid Range</v>
      </c>
      <c r="L665" s="13">
        <f>YEAR(TODAY())-' car_sales_data 1'!$F665</f>
        <v>6</v>
      </c>
    </row>
    <row r="666" ht="15.75" customHeight="1">
      <c r="A666" s="16">
        <v>45039.0</v>
      </c>
      <c r="B666" s="13" t="s">
        <v>1367</v>
      </c>
      <c r="C666" s="13" t="s">
        <v>1368</v>
      </c>
      <c r="D666" s="13" t="s">
        <v>8</v>
      </c>
      <c r="E666" s="13" t="s">
        <v>54</v>
      </c>
      <c r="F666" s="13">
        <v>2013.0</v>
      </c>
      <c r="G666" s="13">
        <v>45097.0</v>
      </c>
      <c r="H666" s="13">
        <v>3832.55</v>
      </c>
      <c r="I666" s="13">
        <f>' car_sales_data 1'!$G666*0.2</f>
        <v>9019.4</v>
      </c>
      <c r="J666" s="13" t="str">
        <f>TEXT(' car_sales_data 1'!$A666,"mmmm")</f>
        <v>April</v>
      </c>
      <c r="K666" s="13" t="str">
        <f>IF(' car_sales_data 1'!$G666&gt;40000,"Premium",
 IF(' car_sales_data 1'!$G666&gt;=20000,"Mid Range","Budget"))</f>
        <v>Premium</v>
      </c>
      <c r="L666" s="13">
        <f>YEAR(TODAY())-' car_sales_data 1'!$F666</f>
        <v>12</v>
      </c>
    </row>
    <row r="667" ht="15.75" customHeight="1">
      <c r="A667" s="16">
        <v>45004.0</v>
      </c>
      <c r="B667" s="13" t="s">
        <v>1369</v>
      </c>
      <c r="C667" s="13" t="s">
        <v>1370</v>
      </c>
      <c r="D667" s="13" t="s">
        <v>14</v>
      </c>
      <c r="E667" s="13" t="s">
        <v>54</v>
      </c>
      <c r="F667" s="13">
        <v>2013.0</v>
      </c>
      <c r="G667" s="13">
        <v>44257.0</v>
      </c>
      <c r="H667" s="13">
        <v>6560.24</v>
      </c>
      <c r="I667" s="13">
        <f>' car_sales_data 1'!$G667*0.2</f>
        <v>8851.4</v>
      </c>
      <c r="J667" s="13" t="str">
        <f>TEXT(' car_sales_data 1'!$A667,"mmmm")</f>
        <v>March</v>
      </c>
      <c r="K667" s="13" t="str">
        <f>IF(' car_sales_data 1'!$G667&gt;40000,"Premium",
 IF(' car_sales_data 1'!$G667&gt;=20000,"Mid Range","Budget"))</f>
        <v>Premium</v>
      </c>
      <c r="L667" s="13">
        <f>YEAR(TODAY())-' car_sales_data 1'!$F667</f>
        <v>12</v>
      </c>
    </row>
    <row r="668" ht="15.75" customHeight="1">
      <c r="A668" s="16">
        <v>44938.0</v>
      </c>
      <c r="B668" s="13" t="s">
        <v>1371</v>
      </c>
      <c r="C668" s="13" t="s">
        <v>1372</v>
      </c>
      <c r="D668" s="13" t="s">
        <v>14</v>
      </c>
      <c r="E668" s="13" t="s">
        <v>51</v>
      </c>
      <c r="F668" s="13">
        <v>2010.0</v>
      </c>
      <c r="G668" s="13">
        <v>45213.0</v>
      </c>
      <c r="H668" s="13">
        <v>5150.46</v>
      </c>
      <c r="I668" s="13">
        <f>' car_sales_data 1'!$G668*0.2</f>
        <v>9042.6</v>
      </c>
      <c r="J668" s="13" t="str">
        <f>TEXT(' car_sales_data 1'!$A668,"mmmm")</f>
        <v>January</v>
      </c>
      <c r="K668" s="13" t="str">
        <f>IF(' car_sales_data 1'!$G668&gt;40000,"Premium",
 IF(' car_sales_data 1'!$G668&gt;=20000,"Mid Range","Budget"))</f>
        <v>Premium</v>
      </c>
      <c r="L668" s="13">
        <f>YEAR(TODAY())-' car_sales_data 1'!$F668</f>
        <v>15</v>
      </c>
    </row>
    <row r="669" ht="15.75" customHeight="1">
      <c r="A669" s="16">
        <v>44724.0</v>
      </c>
      <c r="B669" s="13" t="s">
        <v>1373</v>
      </c>
      <c r="C669" s="13" t="s">
        <v>1374</v>
      </c>
      <c r="D669" s="13" t="s">
        <v>12</v>
      </c>
      <c r="E669" s="13" t="s">
        <v>70</v>
      </c>
      <c r="F669" s="13">
        <v>2022.0</v>
      </c>
      <c r="G669" s="13">
        <v>19437.0</v>
      </c>
      <c r="H669" s="13">
        <v>2823.09</v>
      </c>
      <c r="I669" s="13">
        <f>' car_sales_data 1'!$G669*0.2</f>
        <v>3887.4</v>
      </c>
      <c r="J669" s="13" t="str">
        <f>TEXT(' car_sales_data 1'!$A669,"mmmm")</f>
        <v>June</v>
      </c>
      <c r="K669" s="13" t="str">
        <f>IF(' car_sales_data 1'!$G669&gt;40000,"Premium",
 IF(' car_sales_data 1'!$G669&gt;=20000,"Mid Range","Budget"))</f>
        <v>Budget</v>
      </c>
      <c r="L669" s="13">
        <f>YEAR(TODAY())-' car_sales_data 1'!$F669</f>
        <v>3</v>
      </c>
    </row>
    <row r="670" ht="15.75" customHeight="1">
      <c r="A670" s="16">
        <v>44949.0</v>
      </c>
      <c r="B670" s="13" t="s">
        <v>1375</v>
      </c>
      <c r="C670" s="13" t="s">
        <v>1376</v>
      </c>
      <c r="D670" s="13" t="s">
        <v>14</v>
      </c>
      <c r="E670" s="13" t="s">
        <v>70</v>
      </c>
      <c r="F670" s="13">
        <v>2019.0</v>
      </c>
      <c r="G670" s="13">
        <v>21890.0</v>
      </c>
      <c r="H670" s="13">
        <v>1289.81</v>
      </c>
      <c r="I670" s="13">
        <f>' car_sales_data 1'!$G670*0.2</f>
        <v>4378</v>
      </c>
      <c r="J670" s="13" t="str">
        <f>TEXT(' car_sales_data 1'!$A670,"mmmm")</f>
        <v>January</v>
      </c>
      <c r="K670" s="13" t="str">
        <f>IF(' car_sales_data 1'!$G670&gt;40000,"Premium",
 IF(' car_sales_data 1'!$G670&gt;=20000,"Mid Range","Budget"))</f>
        <v>Mid Range</v>
      </c>
      <c r="L670" s="13">
        <f>YEAR(TODAY())-' car_sales_data 1'!$F670</f>
        <v>6</v>
      </c>
    </row>
    <row r="671" ht="15.75" customHeight="1">
      <c r="A671" s="16">
        <v>44888.0</v>
      </c>
      <c r="B671" s="13" t="s">
        <v>1377</v>
      </c>
      <c r="C671" s="13" t="s">
        <v>1378</v>
      </c>
      <c r="D671" s="13" t="s">
        <v>14</v>
      </c>
      <c r="E671" s="13" t="s">
        <v>54</v>
      </c>
      <c r="F671" s="13">
        <v>2010.0</v>
      </c>
      <c r="G671" s="13">
        <v>35472.0</v>
      </c>
      <c r="H671" s="13">
        <v>4924.02</v>
      </c>
      <c r="I671" s="13">
        <f>' car_sales_data 1'!$G671*0.2</f>
        <v>7094.4</v>
      </c>
      <c r="J671" s="13" t="str">
        <f>TEXT(' car_sales_data 1'!$A671,"mmmm")</f>
        <v>November</v>
      </c>
      <c r="K671" s="13" t="str">
        <f>IF(' car_sales_data 1'!$G671&gt;40000,"Premium",
 IF(' car_sales_data 1'!$G671&gt;=20000,"Mid Range","Budget"))</f>
        <v>Mid Range</v>
      </c>
      <c r="L671" s="13">
        <f>YEAR(TODAY())-' car_sales_data 1'!$F671</f>
        <v>15</v>
      </c>
    </row>
    <row r="672" ht="15.75" customHeight="1">
      <c r="A672" s="16">
        <v>44893.0</v>
      </c>
      <c r="B672" s="13" t="s">
        <v>1379</v>
      </c>
      <c r="C672" s="13" t="s">
        <v>1380</v>
      </c>
      <c r="D672" s="13" t="s">
        <v>6</v>
      </c>
      <c r="E672" s="13" t="s">
        <v>54</v>
      </c>
      <c r="F672" s="13">
        <v>2019.0</v>
      </c>
      <c r="G672" s="13">
        <v>34748.0</v>
      </c>
      <c r="H672" s="13">
        <v>2141.9</v>
      </c>
      <c r="I672" s="13">
        <f>' car_sales_data 1'!$G672*0.2</f>
        <v>6949.6</v>
      </c>
      <c r="J672" s="13" t="str">
        <f>TEXT(' car_sales_data 1'!$A672,"mmmm")</f>
        <v>November</v>
      </c>
      <c r="K672" s="13" t="str">
        <f>IF(' car_sales_data 1'!$G672&gt;40000,"Premium",
 IF(' car_sales_data 1'!$G672&gt;=20000,"Mid Range","Budget"))</f>
        <v>Mid Range</v>
      </c>
      <c r="L672" s="13">
        <f>YEAR(TODAY())-' car_sales_data 1'!$F672</f>
        <v>6</v>
      </c>
    </row>
    <row r="673" ht="15.75" customHeight="1">
      <c r="A673" s="16">
        <v>44834.0</v>
      </c>
      <c r="B673" s="13" t="s">
        <v>1381</v>
      </c>
      <c r="C673" s="13" t="s">
        <v>1382</v>
      </c>
      <c r="D673" s="13" t="s">
        <v>14</v>
      </c>
      <c r="E673" s="13" t="s">
        <v>70</v>
      </c>
      <c r="F673" s="13">
        <v>2019.0</v>
      </c>
      <c r="G673" s="13">
        <v>40891.0</v>
      </c>
      <c r="H673" s="13">
        <v>2184.83</v>
      </c>
      <c r="I673" s="13">
        <f>' car_sales_data 1'!$G673*0.2</f>
        <v>8178.2</v>
      </c>
      <c r="J673" s="13" t="str">
        <f>TEXT(' car_sales_data 1'!$A673,"mmmm")</f>
        <v>September</v>
      </c>
      <c r="K673" s="13" t="str">
        <f>IF(' car_sales_data 1'!$G673&gt;40000,"Premium",
 IF(' car_sales_data 1'!$G673&gt;=20000,"Mid Range","Budget"))</f>
        <v>Premium</v>
      </c>
      <c r="L673" s="13">
        <f>YEAR(TODAY())-' car_sales_data 1'!$F673</f>
        <v>6</v>
      </c>
    </row>
    <row r="674" ht="15.75" customHeight="1">
      <c r="A674" s="16">
        <v>44896.0</v>
      </c>
      <c r="B674" s="13" t="s">
        <v>1383</v>
      </c>
      <c r="C674" s="13" t="s">
        <v>1384</v>
      </c>
      <c r="D674" s="13" t="s">
        <v>6</v>
      </c>
      <c r="E674" s="13" t="s">
        <v>57</v>
      </c>
      <c r="F674" s="13">
        <v>2014.0</v>
      </c>
      <c r="G674" s="13">
        <v>41093.0</v>
      </c>
      <c r="H674" s="13">
        <v>2941.22</v>
      </c>
      <c r="I674" s="13">
        <f>' car_sales_data 1'!$G674*0.2</f>
        <v>8218.6</v>
      </c>
      <c r="J674" s="13" t="str">
        <f>TEXT(' car_sales_data 1'!$A674,"mmmm")</f>
        <v>December</v>
      </c>
      <c r="K674" s="13" t="str">
        <f>IF(' car_sales_data 1'!$G674&gt;40000,"Premium",
 IF(' car_sales_data 1'!$G674&gt;=20000,"Mid Range","Budget"))</f>
        <v>Premium</v>
      </c>
      <c r="L674" s="13">
        <f>YEAR(TODAY())-' car_sales_data 1'!$F674</f>
        <v>11</v>
      </c>
    </row>
    <row r="675" ht="15.75" customHeight="1">
      <c r="A675" s="16">
        <v>44799.0</v>
      </c>
      <c r="B675" s="13" t="s">
        <v>1385</v>
      </c>
      <c r="C675" s="13" t="s">
        <v>1386</v>
      </c>
      <c r="D675" s="13" t="s">
        <v>10</v>
      </c>
      <c r="E675" s="13" t="s">
        <v>62</v>
      </c>
      <c r="F675" s="13">
        <v>2010.0</v>
      </c>
      <c r="G675" s="13">
        <v>38899.0</v>
      </c>
      <c r="H675" s="13">
        <v>5349.1</v>
      </c>
      <c r="I675" s="13">
        <f>' car_sales_data 1'!$G675*0.2</f>
        <v>7779.8</v>
      </c>
      <c r="J675" s="13" t="str">
        <f>TEXT(' car_sales_data 1'!$A675,"mmmm")</f>
        <v>August</v>
      </c>
      <c r="K675" s="13" t="str">
        <f>IF(' car_sales_data 1'!$G675&gt;40000,"Premium",
 IF(' car_sales_data 1'!$G675&gt;=20000,"Mid Range","Budget"))</f>
        <v>Mid Range</v>
      </c>
      <c r="L675" s="13">
        <f>YEAR(TODAY())-' car_sales_data 1'!$F675</f>
        <v>15</v>
      </c>
    </row>
    <row r="676" ht="15.75" customHeight="1">
      <c r="A676" s="16">
        <v>44805.0</v>
      </c>
      <c r="B676" s="13" t="s">
        <v>1387</v>
      </c>
      <c r="C676" s="13" t="s">
        <v>1388</v>
      </c>
      <c r="D676" s="13" t="s">
        <v>10</v>
      </c>
      <c r="E676" s="13" t="s">
        <v>70</v>
      </c>
      <c r="F676" s="13">
        <v>2014.0</v>
      </c>
      <c r="G676" s="13">
        <v>36567.0</v>
      </c>
      <c r="H676" s="13">
        <v>3483.52</v>
      </c>
      <c r="I676" s="13">
        <f>' car_sales_data 1'!$G676*0.2</f>
        <v>7313.4</v>
      </c>
      <c r="J676" s="13" t="str">
        <f>TEXT(' car_sales_data 1'!$A676,"mmmm")</f>
        <v>September</v>
      </c>
      <c r="K676" s="13" t="str">
        <f>IF(' car_sales_data 1'!$G676&gt;40000,"Premium",
 IF(' car_sales_data 1'!$G676&gt;=20000,"Mid Range","Budget"))</f>
        <v>Mid Range</v>
      </c>
      <c r="L676" s="13">
        <f>YEAR(TODAY())-' car_sales_data 1'!$F676</f>
        <v>11</v>
      </c>
    </row>
    <row r="677" ht="15.75" customHeight="1">
      <c r="A677" s="16">
        <v>44793.0</v>
      </c>
      <c r="B677" s="13" t="s">
        <v>1389</v>
      </c>
      <c r="C677" s="13" t="s">
        <v>1390</v>
      </c>
      <c r="D677" s="13" t="s">
        <v>10</v>
      </c>
      <c r="E677" s="13" t="s">
        <v>54</v>
      </c>
      <c r="F677" s="13">
        <v>2018.0</v>
      </c>
      <c r="G677" s="13">
        <v>34819.0</v>
      </c>
      <c r="H677" s="13">
        <v>1940.44</v>
      </c>
      <c r="I677" s="13">
        <f>' car_sales_data 1'!$G677*0.2</f>
        <v>6963.8</v>
      </c>
      <c r="J677" s="13" t="str">
        <f>TEXT(' car_sales_data 1'!$A677,"mmmm")</f>
        <v>August</v>
      </c>
      <c r="K677" s="13" t="str">
        <f>IF(' car_sales_data 1'!$G677&gt;40000,"Premium",
 IF(' car_sales_data 1'!$G677&gt;=20000,"Mid Range","Budget"))</f>
        <v>Mid Range</v>
      </c>
      <c r="L677" s="13">
        <f>YEAR(TODAY())-' car_sales_data 1'!$F677</f>
        <v>7</v>
      </c>
    </row>
    <row r="678" ht="15.75" customHeight="1">
      <c r="A678" s="16">
        <v>44875.0</v>
      </c>
      <c r="B678" s="13" t="s">
        <v>1391</v>
      </c>
      <c r="C678" s="13" t="s">
        <v>1392</v>
      </c>
      <c r="D678" s="13" t="s">
        <v>8</v>
      </c>
      <c r="E678" s="13" t="s">
        <v>51</v>
      </c>
      <c r="F678" s="13">
        <v>2013.0</v>
      </c>
      <c r="G678" s="13">
        <v>22291.0</v>
      </c>
      <c r="H678" s="13">
        <v>2485.45</v>
      </c>
      <c r="I678" s="13">
        <f>' car_sales_data 1'!$G678*0.2</f>
        <v>4458.2</v>
      </c>
      <c r="J678" s="13" t="str">
        <f>TEXT(' car_sales_data 1'!$A678,"mmmm")</f>
        <v>November</v>
      </c>
      <c r="K678" s="13" t="str">
        <f>IF(' car_sales_data 1'!$G678&gt;40000,"Premium",
 IF(' car_sales_data 1'!$G678&gt;=20000,"Mid Range","Budget"))</f>
        <v>Mid Range</v>
      </c>
      <c r="L678" s="13">
        <f>YEAR(TODAY())-' car_sales_data 1'!$F678</f>
        <v>12</v>
      </c>
    </row>
    <row r="679" ht="15.75" customHeight="1">
      <c r="A679" s="16">
        <v>44779.0</v>
      </c>
      <c r="B679" s="13" t="s">
        <v>1393</v>
      </c>
      <c r="C679" s="13" t="s">
        <v>1394</v>
      </c>
      <c r="D679" s="13" t="s">
        <v>6</v>
      </c>
      <c r="E679" s="13" t="s">
        <v>54</v>
      </c>
      <c r="F679" s="13">
        <v>2022.0</v>
      </c>
      <c r="G679" s="13">
        <v>49939.0</v>
      </c>
      <c r="H679" s="13">
        <v>6388.54</v>
      </c>
      <c r="I679" s="13">
        <f>' car_sales_data 1'!$G679*0.2</f>
        <v>9987.8</v>
      </c>
      <c r="J679" s="13" t="str">
        <f>TEXT(' car_sales_data 1'!$A679,"mmmm")</f>
        <v>August</v>
      </c>
      <c r="K679" s="13" t="str">
        <f>IF(' car_sales_data 1'!$G679&gt;40000,"Premium",
 IF(' car_sales_data 1'!$G679&gt;=20000,"Mid Range","Budget"))</f>
        <v>Premium</v>
      </c>
      <c r="L679" s="13">
        <f>YEAR(TODAY())-' car_sales_data 1'!$F679</f>
        <v>3</v>
      </c>
    </row>
    <row r="680" ht="15.75" customHeight="1">
      <c r="A680" s="16">
        <v>44731.0</v>
      </c>
      <c r="B680" s="13" t="s">
        <v>1395</v>
      </c>
      <c r="C680" s="13" t="s">
        <v>1396</v>
      </c>
      <c r="D680" s="13" t="s">
        <v>8</v>
      </c>
      <c r="E680" s="13" t="s">
        <v>62</v>
      </c>
      <c r="F680" s="13">
        <v>2021.0</v>
      </c>
      <c r="G680" s="13">
        <v>29753.0</v>
      </c>
      <c r="H680" s="13">
        <v>1667.0</v>
      </c>
      <c r="I680" s="13">
        <f>' car_sales_data 1'!$G680*0.2</f>
        <v>5950.6</v>
      </c>
      <c r="J680" s="13" t="str">
        <f>TEXT(' car_sales_data 1'!$A680,"mmmm")</f>
        <v>June</v>
      </c>
      <c r="K680" s="13" t="str">
        <f>IF(' car_sales_data 1'!$G680&gt;40000,"Premium",
 IF(' car_sales_data 1'!$G680&gt;=20000,"Mid Range","Budget"))</f>
        <v>Mid Range</v>
      </c>
      <c r="L680" s="13">
        <f>YEAR(TODAY())-' car_sales_data 1'!$F680</f>
        <v>4</v>
      </c>
    </row>
    <row r="681" ht="15.75" customHeight="1">
      <c r="A681" s="16">
        <v>44724.0</v>
      </c>
      <c r="B681" s="13" t="s">
        <v>1397</v>
      </c>
      <c r="C681" s="13" t="s">
        <v>1398</v>
      </c>
      <c r="D681" s="13" t="s">
        <v>8</v>
      </c>
      <c r="E681" s="13" t="s">
        <v>57</v>
      </c>
      <c r="F681" s="13">
        <v>2020.0</v>
      </c>
      <c r="G681" s="13">
        <v>44501.0</v>
      </c>
      <c r="H681" s="13">
        <v>3485.11</v>
      </c>
      <c r="I681" s="13">
        <f>' car_sales_data 1'!$G681*0.2</f>
        <v>8900.2</v>
      </c>
      <c r="J681" s="13" t="str">
        <f>TEXT(' car_sales_data 1'!$A681,"mmmm")</f>
        <v>June</v>
      </c>
      <c r="K681" s="13" t="str">
        <f>IF(' car_sales_data 1'!$G681&gt;40000,"Premium",
 IF(' car_sales_data 1'!$G681&gt;=20000,"Mid Range","Budget"))</f>
        <v>Premium</v>
      </c>
      <c r="L681" s="13">
        <f>YEAR(TODAY())-' car_sales_data 1'!$F681</f>
        <v>5</v>
      </c>
    </row>
    <row r="682" ht="15.75" customHeight="1">
      <c r="A682" s="16">
        <v>44915.0</v>
      </c>
      <c r="B682" s="13" t="s">
        <v>1399</v>
      </c>
      <c r="C682" s="13" t="s">
        <v>1400</v>
      </c>
      <c r="D682" s="13" t="s">
        <v>12</v>
      </c>
      <c r="E682" s="13" t="s">
        <v>70</v>
      </c>
      <c r="F682" s="13">
        <v>2017.0</v>
      </c>
      <c r="G682" s="13">
        <v>33724.0</v>
      </c>
      <c r="H682" s="13">
        <v>3787.2</v>
      </c>
      <c r="I682" s="13">
        <f>' car_sales_data 1'!$G682*0.2</f>
        <v>6744.8</v>
      </c>
      <c r="J682" s="13" t="str">
        <f>TEXT(' car_sales_data 1'!$A682,"mmmm")</f>
        <v>December</v>
      </c>
      <c r="K682" s="13" t="str">
        <f>IF(' car_sales_data 1'!$G682&gt;40000,"Premium",
 IF(' car_sales_data 1'!$G682&gt;=20000,"Mid Range","Budget"))</f>
        <v>Mid Range</v>
      </c>
      <c r="L682" s="13">
        <f>YEAR(TODAY())-' car_sales_data 1'!$F682</f>
        <v>8</v>
      </c>
    </row>
    <row r="683" ht="15.75" customHeight="1">
      <c r="A683" s="16">
        <v>44937.0</v>
      </c>
      <c r="B683" s="13" t="s">
        <v>1401</v>
      </c>
      <c r="C683" s="13" t="s">
        <v>1402</v>
      </c>
      <c r="D683" s="13" t="s">
        <v>12</v>
      </c>
      <c r="E683" s="13" t="s">
        <v>57</v>
      </c>
      <c r="F683" s="13">
        <v>2021.0</v>
      </c>
      <c r="G683" s="13">
        <v>31533.0</v>
      </c>
      <c r="H683" s="13">
        <v>2449.46</v>
      </c>
      <c r="I683" s="13">
        <f>' car_sales_data 1'!$G683*0.2</f>
        <v>6306.6</v>
      </c>
      <c r="J683" s="13" t="str">
        <f>TEXT(' car_sales_data 1'!$A683,"mmmm")</f>
        <v>January</v>
      </c>
      <c r="K683" s="13" t="str">
        <f>IF(' car_sales_data 1'!$G683&gt;40000,"Premium",
 IF(' car_sales_data 1'!$G683&gt;=20000,"Mid Range","Budget"))</f>
        <v>Mid Range</v>
      </c>
      <c r="L683" s="13">
        <f>YEAR(TODAY())-' car_sales_data 1'!$F683</f>
        <v>4</v>
      </c>
    </row>
    <row r="684" ht="15.75" customHeight="1">
      <c r="A684" s="16">
        <v>45035.0</v>
      </c>
      <c r="B684" s="13" t="s">
        <v>1403</v>
      </c>
      <c r="C684" s="13" t="s">
        <v>1404</v>
      </c>
      <c r="D684" s="13" t="s">
        <v>14</v>
      </c>
      <c r="E684" s="13" t="s">
        <v>51</v>
      </c>
      <c r="F684" s="13">
        <v>2021.0</v>
      </c>
      <c r="G684" s="13">
        <v>35049.0</v>
      </c>
      <c r="H684" s="13">
        <v>2335.28</v>
      </c>
      <c r="I684" s="13">
        <f>' car_sales_data 1'!$G684*0.2</f>
        <v>7009.8</v>
      </c>
      <c r="J684" s="13" t="str">
        <f>TEXT(' car_sales_data 1'!$A684,"mmmm")</f>
        <v>April</v>
      </c>
      <c r="K684" s="13" t="str">
        <f>IF(' car_sales_data 1'!$G684&gt;40000,"Premium",
 IF(' car_sales_data 1'!$G684&gt;=20000,"Mid Range","Budget"))</f>
        <v>Mid Range</v>
      </c>
      <c r="L684" s="13">
        <f>YEAR(TODAY())-' car_sales_data 1'!$F684</f>
        <v>4</v>
      </c>
    </row>
    <row r="685" ht="15.75" customHeight="1">
      <c r="A685" s="16">
        <v>45029.0</v>
      </c>
      <c r="B685" s="13" t="s">
        <v>1405</v>
      </c>
      <c r="C685" s="13" t="s">
        <v>1406</v>
      </c>
      <c r="D685" s="13" t="s">
        <v>6</v>
      </c>
      <c r="E685" s="13" t="s">
        <v>54</v>
      </c>
      <c r="F685" s="13">
        <v>2020.0</v>
      </c>
      <c r="G685" s="13">
        <v>44640.0</v>
      </c>
      <c r="H685" s="13">
        <v>4856.98</v>
      </c>
      <c r="I685" s="13">
        <f>' car_sales_data 1'!$G685*0.2</f>
        <v>8928</v>
      </c>
      <c r="J685" s="13" t="str">
        <f>TEXT(' car_sales_data 1'!$A685,"mmmm")</f>
        <v>April</v>
      </c>
      <c r="K685" s="13" t="str">
        <f>IF(' car_sales_data 1'!$G685&gt;40000,"Premium",
 IF(' car_sales_data 1'!$G685&gt;=20000,"Mid Range","Budget"))</f>
        <v>Premium</v>
      </c>
      <c r="L685" s="13">
        <f>YEAR(TODAY())-' car_sales_data 1'!$F685</f>
        <v>5</v>
      </c>
    </row>
    <row r="686" ht="15.75" customHeight="1">
      <c r="A686" s="16">
        <v>44867.0</v>
      </c>
      <c r="B686" s="13" t="s">
        <v>1407</v>
      </c>
      <c r="C686" s="13" t="s">
        <v>656</v>
      </c>
      <c r="D686" s="13" t="s">
        <v>14</v>
      </c>
      <c r="E686" s="13" t="s">
        <v>54</v>
      </c>
      <c r="F686" s="13">
        <v>2010.0</v>
      </c>
      <c r="G686" s="13">
        <v>13630.0</v>
      </c>
      <c r="H686" s="13">
        <v>1701.28</v>
      </c>
      <c r="I686" s="13">
        <f>' car_sales_data 1'!$G686*0.2</f>
        <v>2726</v>
      </c>
      <c r="J686" s="13" t="str">
        <f>TEXT(' car_sales_data 1'!$A686,"mmmm")</f>
        <v>November</v>
      </c>
      <c r="K686" s="13" t="str">
        <f>IF(' car_sales_data 1'!$G686&gt;40000,"Premium",
 IF(' car_sales_data 1'!$G686&gt;=20000,"Mid Range","Budget"))</f>
        <v>Budget</v>
      </c>
      <c r="L686" s="13">
        <f>YEAR(TODAY())-' car_sales_data 1'!$F686</f>
        <v>15</v>
      </c>
    </row>
    <row r="687" ht="15.75" customHeight="1">
      <c r="A687" s="16">
        <v>44710.0</v>
      </c>
      <c r="B687" s="13" t="s">
        <v>1408</v>
      </c>
      <c r="C687" s="13" t="s">
        <v>1409</v>
      </c>
      <c r="D687" s="13" t="s">
        <v>8</v>
      </c>
      <c r="E687" s="13" t="s">
        <v>54</v>
      </c>
      <c r="F687" s="13">
        <v>2019.0</v>
      </c>
      <c r="G687" s="13">
        <v>28504.0</v>
      </c>
      <c r="H687" s="13">
        <v>4139.42</v>
      </c>
      <c r="I687" s="13">
        <f>' car_sales_data 1'!$G687*0.2</f>
        <v>5700.8</v>
      </c>
      <c r="J687" s="13" t="str">
        <f>TEXT(' car_sales_data 1'!$A687,"mmmm")</f>
        <v>May</v>
      </c>
      <c r="K687" s="13" t="str">
        <f>IF(' car_sales_data 1'!$G687&gt;40000,"Premium",
 IF(' car_sales_data 1'!$G687&gt;=20000,"Mid Range","Budget"))</f>
        <v>Mid Range</v>
      </c>
      <c r="L687" s="13">
        <f>YEAR(TODAY())-' car_sales_data 1'!$F687</f>
        <v>6</v>
      </c>
    </row>
    <row r="688" ht="15.75" customHeight="1">
      <c r="A688" s="16">
        <v>44988.0</v>
      </c>
      <c r="B688" s="13" t="s">
        <v>1410</v>
      </c>
      <c r="C688" s="13" t="s">
        <v>1411</v>
      </c>
      <c r="D688" s="13" t="s">
        <v>10</v>
      </c>
      <c r="E688" s="13" t="s">
        <v>70</v>
      </c>
      <c r="F688" s="13">
        <v>2011.0</v>
      </c>
      <c r="G688" s="13">
        <v>43303.0</v>
      </c>
      <c r="H688" s="13">
        <v>4193.25</v>
      </c>
      <c r="I688" s="13">
        <f>' car_sales_data 1'!$G688*0.2</f>
        <v>8660.6</v>
      </c>
      <c r="J688" s="13" t="str">
        <f>TEXT(' car_sales_data 1'!$A688,"mmmm")</f>
        <v>March</v>
      </c>
      <c r="K688" s="13" t="str">
        <f>IF(' car_sales_data 1'!$G688&gt;40000,"Premium",
 IF(' car_sales_data 1'!$G688&gt;=20000,"Mid Range","Budget"))</f>
        <v>Premium</v>
      </c>
      <c r="L688" s="13">
        <f>YEAR(TODAY())-' car_sales_data 1'!$F688</f>
        <v>14</v>
      </c>
    </row>
    <row r="689" ht="15.75" customHeight="1">
      <c r="A689" s="16">
        <v>44699.0</v>
      </c>
      <c r="B689" s="13" t="s">
        <v>1412</v>
      </c>
      <c r="C689" s="13" t="s">
        <v>1413</v>
      </c>
      <c r="D689" s="13" t="s">
        <v>12</v>
      </c>
      <c r="E689" s="13" t="s">
        <v>54</v>
      </c>
      <c r="F689" s="13">
        <v>2019.0</v>
      </c>
      <c r="G689" s="13">
        <v>11869.0</v>
      </c>
      <c r="H689" s="13">
        <v>971.64</v>
      </c>
      <c r="I689" s="13">
        <f>' car_sales_data 1'!$G689*0.2</f>
        <v>2373.8</v>
      </c>
      <c r="J689" s="13" t="str">
        <f>TEXT(' car_sales_data 1'!$A689,"mmmm")</f>
        <v>May</v>
      </c>
      <c r="K689" s="13" t="str">
        <f>IF(' car_sales_data 1'!$G689&gt;40000,"Premium",
 IF(' car_sales_data 1'!$G689&gt;=20000,"Mid Range","Budget"))</f>
        <v>Budget</v>
      </c>
      <c r="L689" s="13">
        <f>YEAR(TODAY())-' car_sales_data 1'!$F689</f>
        <v>6</v>
      </c>
    </row>
    <row r="690" ht="15.75" customHeight="1">
      <c r="A690" s="16">
        <v>44836.0</v>
      </c>
      <c r="B690" s="13" t="s">
        <v>1414</v>
      </c>
      <c r="C690" s="13" t="s">
        <v>1415</v>
      </c>
      <c r="D690" s="13" t="s">
        <v>10</v>
      </c>
      <c r="E690" s="13" t="s">
        <v>62</v>
      </c>
      <c r="F690" s="13">
        <v>2020.0</v>
      </c>
      <c r="G690" s="13">
        <v>43465.0</v>
      </c>
      <c r="H690" s="13">
        <v>3315.77</v>
      </c>
      <c r="I690" s="13">
        <f>' car_sales_data 1'!$G690*0.2</f>
        <v>8693</v>
      </c>
      <c r="J690" s="13" t="str">
        <f>TEXT(' car_sales_data 1'!$A690,"mmmm")</f>
        <v>October</v>
      </c>
      <c r="K690" s="13" t="str">
        <f>IF(' car_sales_data 1'!$G690&gt;40000,"Premium",
 IF(' car_sales_data 1'!$G690&gt;=20000,"Mid Range","Budget"))</f>
        <v>Premium</v>
      </c>
      <c r="L690" s="13">
        <f>YEAR(TODAY())-' car_sales_data 1'!$F690</f>
        <v>5</v>
      </c>
    </row>
    <row r="691" ht="15.75" customHeight="1">
      <c r="A691" s="16">
        <v>44792.0</v>
      </c>
      <c r="B691" s="13" t="s">
        <v>1416</v>
      </c>
      <c r="C691" s="13" t="s">
        <v>1417</v>
      </c>
      <c r="D691" s="13" t="s">
        <v>14</v>
      </c>
      <c r="E691" s="13" t="s">
        <v>70</v>
      </c>
      <c r="F691" s="13">
        <v>2012.0</v>
      </c>
      <c r="G691" s="13">
        <v>31369.0</v>
      </c>
      <c r="H691" s="13">
        <v>4310.02</v>
      </c>
      <c r="I691" s="13">
        <f>' car_sales_data 1'!$G691*0.2</f>
        <v>6273.8</v>
      </c>
      <c r="J691" s="13" t="str">
        <f>TEXT(' car_sales_data 1'!$A691,"mmmm")</f>
        <v>August</v>
      </c>
      <c r="K691" s="13" t="str">
        <f>IF(' car_sales_data 1'!$G691&gt;40000,"Premium",
 IF(' car_sales_data 1'!$G691&gt;=20000,"Mid Range","Budget"))</f>
        <v>Mid Range</v>
      </c>
      <c r="L691" s="13">
        <f>YEAR(TODAY())-' car_sales_data 1'!$F691</f>
        <v>13</v>
      </c>
    </row>
    <row r="692" ht="15.75" customHeight="1">
      <c r="A692" s="16">
        <v>44799.0</v>
      </c>
      <c r="B692" s="13" t="s">
        <v>1418</v>
      </c>
      <c r="C692" s="13" t="s">
        <v>1419</v>
      </c>
      <c r="D692" s="13" t="s">
        <v>8</v>
      </c>
      <c r="E692" s="13" t="s">
        <v>54</v>
      </c>
      <c r="F692" s="13">
        <v>2016.0</v>
      </c>
      <c r="G692" s="13">
        <v>42162.0</v>
      </c>
      <c r="H692" s="13">
        <v>3910.03</v>
      </c>
      <c r="I692" s="13">
        <f>' car_sales_data 1'!$G692*0.2</f>
        <v>8432.4</v>
      </c>
      <c r="J692" s="13" t="str">
        <f>TEXT(' car_sales_data 1'!$A692,"mmmm")</f>
        <v>August</v>
      </c>
      <c r="K692" s="13" t="str">
        <f>IF(' car_sales_data 1'!$G692&gt;40000,"Premium",
 IF(' car_sales_data 1'!$G692&gt;=20000,"Mid Range","Budget"))</f>
        <v>Premium</v>
      </c>
      <c r="L692" s="13">
        <f>YEAR(TODAY())-' car_sales_data 1'!$F692</f>
        <v>9</v>
      </c>
    </row>
    <row r="693" ht="15.75" customHeight="1">
      <c r="A693" s="16">
        <v>44885.0</v>
      </c>
      <c r="B693" s="13" t="s">
        <v>1420</v>
      </c>
      <c r="C693" s="13" t="s">
        <v>1421</v>
      </c>
      <c r="D693" s="13" t="s">
        <v>6</v>
      </c>
      <c r="E693" s="13" t="s">
        <v>62</v>
      </c>
      <c r="F693" s="13">
        <v>2010.0</v>
      </c>
      <c r="G693" s="13">
        <v>11820.0</v>
      </c>
      <c r="H693" s="13">
        <v>1679.64</v>
      </c>
      <c r="I693" s="13">
        <f>' car_sales_data 1'!$G693*0.2</f>
        <v>2364</v>
      </c>
      <c r="J693" s="13" t="str">
        <f>TEXT(' car_sales_data 1'!$A693,"mmmm")</f>
        <v>November</v>
      </c>
      <c r="K693" s="13" t="str">
        <f>IF(' car_sales_data 1'!$G693&gt;40000,"Premium",
 IF(' car_sales_data 1'!$G693&gt;=20000,"Mid Range","Budget"))</f>
        <v>Budget</v>
      </c>
      <c r="L693" s="13">
        <f>YEAR(TODAY())-' car_sales_data 1'!$F693</f>
        <v>15</v>
      </c>
    </row>
    <row r="694" ht="15.75" customHeight="1">
      <c r="A694" s="16">
        <v>44952.0</v>
      </c>
      <c r="B694" s="13" t="s">
        <v>1422</v>
      </c>
      <c r="C694" s="13" t="s">
        <v>1423</v>
      </c>
      <c r="D694" s="13" t="s">
        <v>12</v>
      </c>
      <c r="E694" s="13" t="s">
        <v>51</v>
      </c>
      <c r="F694" s="13">
        <v>2011.0</v>
      </c>
      <c r="G694" s="13">
        <v>15262.0</v>
      </c>
      <c r="H694" s="13">
        <v>2249.88</v>
      </c>
      <c r="I694" s="13">
        <f>' car_sales_data 1'!$G694*0.2</f>
        <v>3052.4</v>
      </c>
      <c r="J694" s="13" t="str">
        <f>TEXT(' car_sales_data 1'!$A694,"mmmm")</f>
        <v>January</v>
      </c>
      <c r="K694" s="13" t="str">
        <f>IF(' car_sales_data 1'!$G694&gt;40000,"Premium",
 IF(' car_sales_data 1'!$G694&gt;=20000,"Mid Range","Budget"))</f>
        <v>Budget</v>
      </c>
      <c r="L694" s="13">
        <f>YEAR(TODAY())-' car_sales_data 1'!$F694</f>
        <v>14</v>
      </c>
    </row>
    <row r="695" ht="15.75" customHeight="1">
      <c r="A695" s="16">
        <v>44998.0</v>
      </c>
      <c r="B695" s="13" t="s">
        <v>1424</v>
      </c>
      <c r="C695" s="13" t="s">
        <v>1425</v>
      </c>
      <c r="D695" s="13" t="s">
        <v>12</v>
      </c>
      <c r="E695" s="13" t="s">
        <v>57</v>
      </c>
      <c r="F695" s="13">
        <v>2012.0</v>
      </c>
      <c r="G695" s="13">
        <v>41889.0</v>
      </c>
      <c r="H695" s="13">
        <v>3060.85</v>
      </c>
      <c r="I695" s="13">
        <f>' car_sales_data 1'!$G695*0.2</f>
        <v>8377.8</v>
      </c>
      <c r="J695" s="13" t="str">
        <f>TEXT(' car_sales_data 1'!$A695,"mmmm")</f>
        <v>March</v>
      </c>
      <c r="K695" s="13" t="str">
        <f>IF(' car_sales_data 1'!$G695&gt;40000,"Premium",
 IF(' car_sales_data 1'!$G695&gt;=20000,"Mid Range","Budget"))</f>
        <v>Premium</v>
      </c>
      <c r="L695" s="13">
        <f>YEAR(TODAY())-' car_sales_data 1'!$F695</f>
        <v>13</v>
      </c>
    </row>
    <row r="696" ht="15.75" customHeight="1">
      <c r="A696" s="16">
        <v>44785.0</v>
      </c>
      <c r="B696" s="13" t="s">
        <v>1426</v>
      </c>
      <c r="C696" s="13" t="s">
        <v>1427</v>
      </c>
      <c r="D696" s="13" t="s">
        <v>6</v>
      </c>
      <c r="E696" s="13" t="s">
        <v>62</v>
      </c>
      <c r="F696" s="13">
        <v>2018.0</v>
      </c>
      <c r="G696" s="13">
        <v>34173.0</v>
      </c>
      <c r="H696" s="13">
        <v>4074.26</v>
      </c>
      <c r="I696" s="13">
        <f>' car_sales_data 1'!$G696*0.2</f>
        <v>6834.6</v>
      </c>
      <c r="J696" s="13" t="str">
        <f>TEXT(' car_sales_data 1'!$A696,"mmmm")</f>
        <v>August</v>
      </c>
      <c r="K696" s="13" t="str">
        <f>IF(' car_sales_data 1'!$G696&gt;40000,"Premium",
 IF(' car_sales_data 1'!$G696&gt;=20000,"Mid Range","Budget"))</f>
        <v>Mid Range</v>
      </c>
      <c r="L696" s="13">
        <f>YEAR(TODAY())-' car_sales_data 1'!$F696</f>
        <v>7</v>
      </c>
    </row>
    <row r="697" ht="15.75" customHeight="1">
      <c r="A697" s="16">
        <v>44724.0</v>
      </c>
      <c r="B697" s="13" t="s">
        <v>1428</v>
      </c>
      <c r="C697" s="13" t="s">
        <v>1429</v>
      </c>
      <c r="D697" s="13" t="s">
        <v>8</v>
      </c>
      <c r="E697" s="13" t="s">
        <v>70</v>
      </c>
      <c r="F697" s="13">
        <v>2011.0</v>
      </c>
      <c r="G697" s="13">
        <v>46997.0</v>
      </c>
      <c r="H697" s="13">
        <v>6057.26</v>
      </c>
      <c r="I697" s="13">
        <f>' car_sales_data 1'!$G697*0.2</f>
        <v>9399.4</v>
      </c>
      <c r="J697" s="13" t="str">
        <f>TEXT(' car_sales_data 1'!$A697,"mmmm")</f>
        <v>June</v>
      </c>
      <c r="K697" s="13" t="str">
        <f>IF(' car_sales_data 1'!$G697&gt;40000,"Premium",
 IF(' car_sales_data 1'!$G697&gt;=20000,"Mid Range","Budget"))</f>
        <v>Premium</v>
      </c>
      <c r="L697" s="13">
        <f>YEAR(TODAY())-' car_sales_data 1'!$F697</f>
        <v>14</v>
      </c>
    </row>
    <row r="698" ht="15.75" customHeight="1">
      <c r="A698" s="16">
        <v>44706.0</v>
      </c>
      <c r="B698" s="13" t="s">
        <v>1430</v>
      </c>
      <c r="C698" s="13" t="s">
        <v>1431</v>
      </c>
      <c r="D698" s="13" t="s">
        <v>10</v>
      </c>
      <c r="E698" s="13" t="s">
        <v>62</v>
      </c>
      <c r="F698" s="13">
        <v>2015.0</v>
      </c>
      <c r="G698" s="13">
        <v>15894.0</v>
      </c>
      <c r="H698" s="13">
        <v>2207.81</v>
      </c>
      <c r="I698" s="13">
        <f>' car_sales_data 1'!$G698*0.2</f>
        <v>3178.8</v>
      </c>
      <c r="J698" s="13" t="str">
        <f>TEXT(' car_sales_data 1'!$A698,"mmmm")</f>
        <v>May</v>
      </c>
      <c r="K698" s="13" t="str">
        <f>IF(' car_sales_data 1'!$G698&gt;40000,"Premium",
 IF(' car_sales_data 1'!$G698&gt;=20000,"Mid Range","Budget"))</f>
        <v>Budget</v>
      </c>
      <c r="L698" s="13">
        <f>YEAR(TODAY())-' car_sales_data 1'!$F698</f>
        <v>10</v>
      </c>
    </row>
    <row r="699" ht="15.75" customHeight="1">
      <c r="A699" s="16">
        <v>44940.0</v>
      </c>
      <c r="B699" s="13" t="s">
        <v>1432</v>
      </c>
      <c r="C699" s="13" t="s">
        <v>1433</v>
      </c>
      <c r="D699" s="13" t="s">
        <v>14</v>
      </c>
      <c r="E699" s="13" t="s">
        <v>62</v>
      </c>
      <c r="F699" s="13">
        <v>2011.0</v>
      </c>
      <c r="G699" s="13">
        <v>10731.0</v>
      </c>
      <c r="H699" s="13">
        <v>593.25</v>
      </c>
      <c r="I699" s="13">
        <f>' car_sales_data 1'!$G699*0.2</f>
        <v>2146.2</v>
      </c>
      <c r="J699" s="13" t="str">
        <f>TEXT(' car_sales_data 1'!$A699,"mmmm")</f>
        <v>January</v>
      </c>
      <c r="K699" s="13" t="str">
        <f>IF(' car_sales_data 1'!$G699&gt;40000,"Premium",
 IF(' car_sales_data 1'!$G699&gt;=20000,"Mid Range","Budget"))</f>
        <v>Budget</v>
      </c>
      <c r="L699" s="13">
        <f>YEAR(TODAY())-' car_sales_data 1'!$F699</f>
        <v>14</v>
      </c>
    </row>
    <row r="700" ht="15.75" customHeight="1">
      <c r="A700" s="16">
        <v>44728.0</v>
      </c>
      <c r="B700" s="13" t="s">
        <v>1434</v>
      </c>
      <c r="C700" s="13" t="s">
        <v>1435</v>
      </c>
      <c r="D700" s="13" t="s">
        <v>12</v>
      </c>
      <c r="E700" s="13" t="s">
        <v>51</v>
      </c>
      <c r="F700" s="13">
        <v>2013.0</v>
      </c>
      <c r="G700" s="13">
        <v>34349.0</v>
      </c>
      <c r="H700" s="13">
        <v>4447.67</v>
      </c>
      <c r="I700" s="13">
        <f>' car_sales_data 1'!$G700*0.2</f>
        <v>6869.8</v>
      </c>
      <c r="J700" s="13" t="str">
        <f>TEXT(' car_sales_data 1'!$A700,"mmmm")</f>
        <v>June</v>
      </c>
      <c r="K700" s="13" t="str">
        <f>IF(' car_sales_data 1'!$G700&gt;40000,"Premium",
 IF(' car_sales_data 1'!$G700&gt;=20000,"Mid Range","Budget"))</f>
        <v>Mid Range</v>
      </c>
      <c r="L700" s="13">
        <f>YEAR(TODAY())-' car_sales_data 1'!$F700</f>
        <v>12</v>
      </c>
    </row>
    <row r="701" ht="15.75" customHeight="1">
      <c r="A701" s="16">
        <v>44726.0</v>
      </c>
      <c r="B701" s="13" t="s">
        <v>1436</v>
      </c>
      <c r="C701" s="13" t="s">
        <v>1437</v>
      </c>
      <c r="D701" s="13" t="s">
        <v>8</v>
      </c>
      <c r="E701" s="13" t="s">
        <v>62</v>
      </c>
      <c r="F701" s="13">
        <v>2018.0</v>
      </c>
      <c r="G701" s="13">
        <v>33482.0</v>
      </c>
      <c r="H701" s="13">
        <v>3719.56</v>
      </c>
      <c r="I701" s="13">
        <f>' car_sales_data 1'!$G701*0.2</f>
        <v>6696.4</v>
      </c>
      <c r="J701" s="13" t="str">
        <f>TEXT(' car_sales_data 1'!$A701,"mmmm")</f>
        <v>June</v>
      </c>
      <c r="K701" s="13" t="str">
        <f>IF(' car_sales_data 1'!$G701&gt;40000,"Premium",
 IF(' car_sales_data 1'!$G701&gt;=20000,"Mid Range","Budget"))</f>
        <v>Mid Range</v>
      </c>
      <c r="L701" s="13">
        <f>YEAR(TODAY())-' car_sales_data 1'!$F701</f>
        <v>7</v>
      </c>
    </row>
    <row r="702" ht="15.75" customHeight="1">
      <c r="A702" s="16">
        <v>44763.0</v>
      </c>
      <c r="B702" s="13" t="s">
        <v>1438</v>
      </c>
      <c r="C702" s="13" t="s">
        <v>1439</v>
      </c>
      <c r="D702" s="13" t="s">
        <v>8</v>
      </c>
      <c r="E702" s="13" t="s">
        <v>70</v>
      </c>
      <c r="F702" s="13">
        <v>2019.0</v>
      </c>
      <c r="G702" s="13">
        <v>35141.0</v>
      </c>
      <c r="H702" s="13">
        <v>2221.39</v>
      </c>
      <c r="I702" s="13">
        <f>' car_sales_data 1'!$G702*0.2</f>
        <v>7028.2</v>
      </c>
      <c r="J702" s="13" t="str">
        <f>TEXT(' car_sales_data 1'!$A702,"mmmm")</f>
        <v>July</v>
      </c>
      <c r="K702" s="13" t="str">
        <f>IF(' car_sales_data 1'!$G702&gt;40000,"Premium",
 IF(' car_sales_data 1'!$G702&gt;=20000,"Mid Range","Budget"))</f>
        <v>Mid Range</v>
      </c>
      <c r="L702" s="13">
        <f>YEAR(TODAY())-' car_sales_data 1'!$F702</f>
        <v>6</v>
      </c>
    </row>
    <row r="703" ht="15.75" customHeight="1">
      <c r="A703" s="16">
        <v>44984.0</v>
      </c>
      <c r="B703" s="13" t="s">
        <v>1440</v>
      </c>
      <c r="C703" s="13" t="s">
        <v>1441</v>
      </c>
      <c r="D703" s="13" t="s">
        <v>10</v>
      </c>
      <c r="E703" s="13" t="s">
        <v>51</v>
      </c>
      <c r="F703" s="13">
        <v>2020.0</v>
      </c>
      <c r="G703" s="13">
        <v>13410.0</v>
      </c>
      <c r="H703" s="13">
        <v>1620.08</v>
      </c>
      <c r="I703" s="13">
        <f>' car_sales_data 1'!$G703*0.2</f>
        <v>2682</v>
      </c>
      <c r="J703" s="13" t="str">
        <f>TEXT(' car_sales_data 1'!$A703,"mmmm")</f>
        <v>February</v>
      </c>
      <c r="K703" s="13" t="str">
        <f>IF(' car_sales_data 1'!$G703&gt;40000,"Premium",
 IF(' car_sales_data 1'!$G703&gt;=20000,"Mid Range","Budget"))</f>
        <v>Budget</v>
      </c>
      <c r="L703" s="13">
        <f>YEAR(TODAY())-' car_sales_data 1'!$F703</f>
        <v>5</v>
      </c>
    </row>
    <row r="704" ht="15.75" customHeight="1">
      <c r="A704" s="16">
        <v>44806.0</v>
      </c>
      <c r="B704" s="13" t="s">
        <v>1442</v>
      </c>
      <c r="C704" s="13" t="s">
        <v>1443</v>
      </c>
      <c r="D704" s="13" t="s">
        <v>14</v>
      </c>
      <c r="E704" s="13" t="s">
        <v>51</v>
      </c>
      <c r="F704" s="13">
        <v>2014.0</v>
      </c>
      <c r="G704" s="13">
        <v>45067.0</v>
      </c>
      <c r="H704" s="13">
        <v>5307.42</v>
      </c>
      <c r="I704" s="13">
        <f>' car_sales_data 1'!$G704*0.2</f>
        <v>9013.4</v>
      </c>
      <c r="J704" s="13" t="str">
        <f>TEXT(' car_sales_data 1'!$A704,"mmmm")</f>
        <v>September</v>
      </c>
      <c r="K704" s="13" t="str">
        <f>IF(' car_sales_data 1'!$G704&gt;40000,"Premium",
 IF(' car_sales_data 1'!$G704&gt;=20000,"Mid Range","Budget"))</f>
        <v>Premium</v>
      </c>
      <c r="L704" s="13">
        <f>YEAR(TODAY())-' car_sales_data 1'!$F704</f>
        <v>11</v>
      </c>
    </row>
    <row r="705" ht="15.75" customHeight="1">
      <c r="A705" s="16">
        <v>44843.0</v>
      </c>
      <c r="B705" s="13" t="s">
        <v>1444</v>
      </c>
      <c r="C705" s="13" t="s">
        <v>1445</v>
      </c>
      <c r="D705" s="13" t="s">
        <v>8</v>
      </c>
      <c r="E705" s="13" t="s">
        <v>54</v>
      </c>
      <c r="F705" s="13">
        <v>2018.0</v>
      </c>
      <c r="G705" s="13">
        <v>26395.0</v>
      </c>
      <c r="H705" s="13">
        <v>1494.75</v>
      </c>
      <c r="I705" s="13">
        <f>' car_sales_data 1'!$G705*0.2</f>
        <v>5279</v>
      </c>
      <c r="J705" s="13" t="str">
        <f>TEXT(' car_sales_data 1'!$A705,"mmmm")</f>
        <v>October</v>
      </c>
      <c r="K705" s="13" t="str">
        <f>IF(' car_sales_data 1'!$G705&gt;40000,"Premium",
 IF(' car_sales_data 1'!$G705&gt;=20000,"Mid Range","Budget"))</f>
        <v>Mid Range</v>
      </c>
      <c r="L705" s="13">
        <f>YEAR(TODAY())-' car_sales_data 1'!$F705</f>
        <v>7</v>
      </c>
    </row>
    <row r="706" ht="15.75" customHeight="1">
      <c r="A706" s="16">
        <v>45008.0</v>
      </c>
      <c r="B706" s="13" t="s">
        <v>1446</v>
      </c>
      <c r="C706" s="13" t="s">
        <v>1447</v>
      </c>
      <c r="D706" s="13" t="s">
        <v>6</v>
      </c>
      <c r="E706" s="13" t="s">
        <v>57</v>
      </c>
      <c r="F706" s="13">
        <v>2022.0</v>
      </c>
      <c r="G706" s="13">
        <v>20875.0</v>
      </c>
      <c r="H706" s="13">
        <v>1910.43</v>
      </c>
      <c r="I706" s="13">
        <f>' car_sales_data 1'!$G706*0.2</f>
        <v>4175</v>
      </c>
      <c r="J706" s="13" t="str">
        <f>TEXT(' car_sales_data 1'!$A706,"mmmm")</f>
        <v>March</v>
      </c>
      <c r="K706" s="13" t="str">
        <f>IF(' car_sales_data 1'!$G706&gt;40000,"Premium",
 IF(' car_sales_data 1'!$G706&gt;=20000,"Mid Range","Budget"))</f>
        <v>Mid Range</v>
      </c>
      <c r="L706" s="13">
        <f>YEAR(TODAY())-' car_sales_data 1'!$F706</f>
        <v>3</v>
      </c>
    </row>
    <row r="707" ht="15.75" customHeight="1">
      <c r="A707" s="16">
        <v>44832.0</v>
      </c>
      <c r="B707" s="13" t="s">
        <v>1448</v>
      </c>
      <c r="C707" s="13" t="s">
        <v>1449</v>
      </c>
      <c r="D707" s="13" t="s">
        <v>8</v>
      </c>
      <c r="E707" s="13" t="s">
        <v>62</v>
      </c>
      <c r="F707" s="13">
        <v>2011.0</v>
      </c>
      <c r="G707" s="13">
        <v>33111.0</v>
      </c>
      <c r="H707" s="13">
        <v>3630.18</v>
      </c>
      <c r="I707" s="13">
        <f>' car_sales_data 1'!$G707*0.2</f>
        <v>6622.2</v>
      </c>
      <c r="J707" s="13" t="str">
        <f>TEXT(' car_sales_data 1'!$A707,"mmmm")</f>
        <v>September</v>
      </c>
      <c r="K707" s="13" t="str">
        <f>IF(' car_sales_data 1'!$G707&gt;40000,"Premium",
 IF(' car_sales_data 1'!$G707&gt;=20000,"Mid Range","Budget"))</f>
        <v>Mid Range</v>
      </c>
      <c r="L707" s="13">
        <f>YEAR(TODAY())-' car_sales_data 1'!$F707</f>
        <v>14</v>
      </c>
    </row>
    <row r="708" ht="15.75" customHeight="1">
      <c r="A708" s="16">
        <v>44847.0</v>
      </c>
      <c r="B708" s="13" t="s">
        <v>1450</v>
      </c>
      <c r="C708" s="13" t="s">
        <v>1451</v>
      </c>
      <c r="D708" s="13" t="s">
        <v>12</v>
      </c>
      <c r="E708" s="13" t="s">
        <v>62</v>
      </c>
      <c r="F708" s="13">
        <v>2012.0</v>
      </c>
      <c r="G708" s="13">
        <v>15964.0</v>
      </c>
      <c r="H708" s="13">
        <v>2110.31</v>
      </c>
      <c r="I708" s="13">
        <f>' car_sales_data 1'!$G708*0.2</f>
        <v>3192.8</v>
      </c>
      <c r="J708" s="13" t="str">
        <f>TEXT(' car_sales_data 1'!$A708,"mmmm")</f>
        <v>October</v>
      </c>
      <c r="K708" s="13" t="str">
        <f>IF(' car_sales_data 1'!$G708&gt;40000,"Premium",
 IF(' car_sales_data 1'!$G708&gt;=20000,"Mid Range","Budget"))</f>
        <v>Budget</v>
      </c>
      <c r="L708" s="13">
        <f>YEAR(TODAY())-' car_sales_data 1'!$F708</f>
        <v>13</v>
      </c>
    </row>
    <row r="709" ht="15.75" customHeight="1">
      <c r="A709" s="16">
        <v>45011.0</v>
      </c>
      <c r="B709" s="13" t="s">
        <v>1452</v>
      </c>
      <c r="C709" s="13" t="s">
        <v>1453</v>
      </c>
      <c r="D709" s="13" t="s">
        <v>8</v>
      </c>
      <c r="E709" s="13" t="s">
        <v>54</v>
      </c>
      <c r="F709" s="13">
        <v>2021.0</v>
      </c>
      <c r="G709" s="13">
        <v>35956.0</v>
      </c>
      <c r="H709" s="13">
        <v>4919.93</v>
      </c>
      <c r="I709" s="13">
        <f>' car_sales_data 1'!$G709*0.2</f>
        <v>7191.2</v>
      </c>
      <c r="J709" s="13" t="str">
        <f>TEXT(' car_sales_data 1'!$A709,"mmmm")</f>
        <v>March</v>
      </c>
      <c r="K709" s="13" t="str">
        <f>IF(' car_sales_data 1'!$G709&gt;40000,"Premium",
 IF(' car_sales_data 1'!$G709&gt;=20000,"Mid Range","Budget"))</f>
        <v>Mid Range</v>
      </c>
      <c r="L709" s="13">
        <f>YEAR(TODAY())-' car_sales_data 1'!$F709</f>
        <v>4</v>
      </c>
    </row>
    <row r="710" ht="15.75" customHeight="1">
      <c r="A710" s="16">
        <v>44824.0</v>
      </c>
      <c r="B710" s="13" t="s">
        <v>1454</v>
      </c>
      <c r="C710" s="13" t="s">
        <v>1455</v>
      </c>
      <c r="D710" s="13" t="s">
        <v>12</v>
      </c>
      <c r="E710" s="13" t="s">
        <v>57</v>
      </c>
      <c r="F710" s="13">
        <v>2020.0</v>
      </c>
      <c r="G710" s="13">
        <v>22486.0</v>
      </c>
      <c r="H710" s="13">
        <v>1225.09</v>
      </c>
      <c r="I710" s="13">
        <f>' car_sales_data 1'!$G710*0.2</f>
        <v>4497.2</v>
      </c>
      <c r="J710" s="13" t="str">
        <f>TEXT(' car_sales_data 1'!$A710,"mmmm")</f>
        <v>September</v>
      </c>
      <c r="K710" s="13" t="str">
        <f>IF(' car_sales_data 1'!$G710&gt;40000,"Premium",
 IF(' car_sales_data 1'!$G710&gt;=20000,"Mid Range","Budget"))</f>
        <v>Mid Range</v>
      </c>
      <c r="L710" s="13">
        <f>YEAR(TODAY())-' car_sales_data 1'!$F710</f>
        <v>5</v>
      </c>
    </row>
    <row r="711" ht="15.75" customHeight="1">
      <c r="A711" s="16">
        <v>44836.0</v>
      </c>
      <c r="B711" s="13" t="s">
        <v>1456</v>
      </c>
      <c r="C711" s="13" t="s">
        <v>1457</v>
      </c>
      <c r="D711" s="13" t="s">
        <v>6</v>
      </c>
      <c r="E711" s="13" t="s">
        <v>62</v>
      </c>
      <c r="F711" s="13">
        <v>2018.0</v>
      </c>
      <c r="G711" s="13">
        <v>30254.0</v>
      </c>
      <c r="H711" s="13">
        <v>2446.23</v>
      </c>
      <c r="I711" s="13">
        <f>' car_sales_data 1'!$G711*0.2</f>
        <v>6050.8</v>
      </c>
      <c r="J711" s="13" t="str">
        <f>TEXT(' car_sales_data 1'!$A711,"mmmm")</f>
        <v>October</v>
      </c>
      <c r="K711" s="13" t="str">
        <f>IF(' car_sales_data 1'!$G711&gt;40000,"Premium",
 IF(' car_sales_data 1'!$G711&gt;=20000,"Mid Range","Budget"))</f>
        <v>Mid Range</v>
      </c>
      <c r="L711" s="13">
        <f>YEAR(TODAY())-' car_sales_data 1'!$F711</f>
        <v>7</v>
      </c>
    </row>
    <row r="712" ht="15.75" customHeight="1">
      <c r="A712" s="16">
        <v>45009.0</v>
      </c>
      <c r="B712" s="13" t="s">
        <v>1458</v>
      </c>
      <c r="C712" s="13" t="s">
        <v>1459</v>
      </c>
      <c r="D712" s="13" t="s">
        <v>12</v>
      </c>
      <c r="E712" s="13" t="s">
        <v>57</v>
      </c>
      <c r="F712" s="13">
        <v>2018.0</v>
      </c>
      <c r="G712" s="13">
        <v>33991.0</v>
      </c>
      <c r="H712" s="13">
        <v>3020.18</v>
      </c>
      <c r="I712" s="13">
        <f>' car_sales_data 1'!$G712*0.2</f>
        <v>6798.2</v>
      </c>
      <c r="J712" s="13" t="str">
        <f>TEXT(' car_sales_data 1'!$A712,"mmmm")</f>
        <v>March</v>
      </c>
      <c r="K712" s="13" t="str">
        <f>IF(' car_sales_data 1'!$G712&gt;40000,"Premium",
 IF(' car_sales_data 1'!$G712&gt;=20000,"Mid Range","Budget"))</f>
        <v>Mid Range</v>
      </c>
      <c r="L712" s="13">
        <f>YEAR(TODAY())-' car_sales_data 1'!$F712</f>
        <v>7</v>
      </c>
    </row>
    <row r="713" ht="15.75" customHeight="1">
      <c r="A713" s="16">
        <v>44807.0</v>
      </c>
      <c r="B713" s="13" t="s">
        <v>1460</v>
      </c>
      <c r="C713" s="13" t="s">
        <v>1461</v>
      </c>
      <c r="D713" s="13" t="s">
        <v>8</v>
      </c>
      <c r="E713" s="13" t="s">
        <v>70</v>
      </c>
      <c r="F713" s="13">
        <v>2019.0</v>
      </c>
      <c r="G713" s="13">
        <v>38613.0</v>
      </c>
      <c r="H713" s="13">
        <v>4236.85</v>
      </c>
      <c r="I713" s="13">
        <f>' car_sales_data 1'!$G713*0.2</f>
        <v>7722.6</v>
      </c>
      <c r="J713" s="13" t="str">
        <f>TEXT(' car_sales_data 1'!$A713,"mmmm")</f>
        <v>September</v>
      </c>
      <c r="K713" s="13" t="str">
        <f>IF(' car_sales_data 1'!$G713&gt;40000,"Premium",
 IF(' car_sales_data 1'!$G713&gt;=20000,"Mid Range","Budget"))</f>
        <v>Mid Range</v>
      </c>
      <c r="L713" s="13">
        <f>YEAR(TODAY())-' car_sales_data 1'!$F713</f>
        <v>6</v>
      </c>
    </row>
    <row r="714" ht="15.75" customHeight="1">
      <c r="A714" s="16">
        <v>44961.0</v>
      </c>
      <c r="B714" s="13" t="s">
        <v>1462</v>
      </c>
      <c r="C714" s="13" t="s">
        <v>19</v>
      </c>
      <c r="D714" s="13" t="s">
        <v>8</v>
      </c>
      <c r="E714" s="13" t="s">
        <v>54</v>
      </c>
      <c r="F714" s="13">
        <v>2012.0</v>
      </c>
      <c r="G714" s="13">
        <v>32338.0</v>
      </c>
      <c r="H714" s="13">
        <v>2988.19</v>
      </c>
      <c r="I714" s="13">
        <f>' car_sales_data 1'!$G714*0.2</f>
        <v>6467.6</v>
      </c>
      <c r="J714" s="13" t="str">
        <f>TEXT(' car_sales_data 1'!$A714,"mmmm")</f>
        <v>February</v>
      </c>
      <c r="K714" s="13" t="str">
        <f>IF(' car_sales_data 1'!$G714&gt;40000,"Premium",
 IF(' car_sales_data 1'!$G714&gt;=20000,"Mid Range","Budget"))</f>
        <v>Mid Range</v>
      </c>
      <c r="L714" s="13">
        <f>YEAR(TODAY())-' car_sales_data 1'!$F714</f>
        <v>13</v>
      </c>
    </row>
    <row r="715" ht="15.75" customHeight="1">
      <c r="A715" s="16">
        <v>44764.0</v>
      </c>
      <c r="B715" s="13" t="s">
        <v>1463</v>
      </c>
      <c r="C715" s="13" t="s">
        <v>1464</v>
      </c>
      <c r="D715" s="13" t="s">
        <v>6</v>
      </c>
      <c r="E715" s="13" t="s">
        <v>70</v>
      </c>
      <c r="F715" s="13">
        <v>2016.0</v>
      </c>
      <c r="G715" s="13">
        <v>46402.0</v>
      </c>
      <c r="H715" s="13">
        <v>3944.84</v>
      </c>
      <c r="I715" s="13">
        <f>' car_sales_data 1'!$G715*0.2</f>
        <v>9280.4</v>
      </c>
      <c r="J715" s="13" t="str">
        <f>TEXT(' car_sales_data 1'!$A715,"mmmm")</f>
        <v>July</v>
      </c>
      <c r="K715" s="13" t="str">
        <f>IF(' car_sales_data 1'!$G715&gt;40000,"Premium",
 IF(' car_sales_data 1'!$G715&gt;=20000,"Mid Range","Budget"))</f>
        <v>Premium</v>
      </c>
      <c r="L715" s="13">
        <f>YEAR(TODAY())-' car_sales_data 1'!$F715</f>
        <v>9</v>
      </c>
    </row>
    <row r="716" ht="15.75" customHeight="1">
      <c r="A716" s="16">
        <v>44687.0</v>
      </c>
      <c r="B716" s="13" t="s">
        <v>1465</v>
      </c>
      <c r="C716" s="13" t="s">
        <v>1466</v>
      </c>
      <c r="D716" s="13" t="s">
        <v>14</v>
      </c>
      <c r="E716" s="13" t="s">
        <v>51</v>
      </c>
      <c r="F716" s="13">
        <v>2019.0</v>
      </c>
      <c r="G716" s="13">
        <v>13899.0</v>
      </c>
      <c r="H716" s="13">
        <v>1741.57</v>
      </c>
      <c r="I716" s="13">
        <f>' car_sales_data 1'!$G716*0.2</f>
        <v>2779.8</v>
      </c>
      <c r="J716" s="13" t="str">
        <f>TEXT(' car_sales_data 1'!$A716,"mmmm")</f>
        <v>May</v>
      </c>
      <c r="K716" s="13" t="str">
        <f>IF(' car_sales_data 1'!$G716&gt;40000,"Premium",
 IF(' car_sales_data 1'!$G716&gt;=20000,"Mid Range","Budget"))</f>
        <v>Budget</v>
      </c>
      <c r="L716" s="13">
        <f>YEAR(TODAY())-' car_sales_data 1'!$F716</f>
        <v>6</v>
      </c>
    </row>
    <row r="717" ht="15.75" customHeight="1">
      <c r="A717" s="16">
        <v>45023.0</v>
      </c>
      <c r="B717" s="13" t="s">
        <v>1467</v>
      </c>
      <c r="C717" s="13" t="s">
        <v>1468</v>
      </c>
      <c r="D717" s="13" t="s">
        <v>10</v>
      </c>
      <c r="E717" s="13" t="s">
        <v>54</v>
      </c>
      <c r="F717" s="13">
        <v>2016.0</v>
      </c>
      <c r="G717" s="13">
        <v>41683.0</v>
      </c>
      <c r="H717" s="13">
        <v>2706.33</v>
      </c>
      <c r="I717" s="13">
        <f>' car_sales_data 1'!$G717*0.2</f>
        <v>8336.6</v>
      </c>
      <c r="J717" s="13" t="str">
        <f>TEXT(' car_sales_data 1'!$A717,"mmmm")</f>
        <v>April</v>
      </c>
      <c r="K717" s="13" t="str">
        <f>IF(' car_sales_data 1'!$G717&gt;40000,"Premium",
 IF(' car_sales_data 1'!$G717&gt;=20000,"Mid Range","Budget"))</f>
        <v>Premium</v>
      </c>
      <c r="L717" s="13">
        <f>YEAR(TODAY())-' car_sales_data 1'!$F717</f>
        <v>9</v>
      </c>
    </row>
    <row r="718" ht="15.75" customHeight="1">
      <c r="A718" s="16">
        <v>44785.0</v>
      </c>
      <c r="B718" s="13" t="s">
        <v>1469</v>
      </c>
      <c r="C718" s="13" t="s">
        <v>1470</v>
      </c>
      <c r="D718" s="13" t="s">
        <v>10</v>
      </c>
      <c r="E718" s="13" t="s">
        <v>57</v>
      </c>
      <c r="F718" s="13">
        <v>2022.0</v>
      </c>
      <c r="G718" s="13">
        <v>49757.0</v>
      </c>
      <c r="H718" s="13">
        <v>3303.09</v>
      </c>
      <c r="I718" s="13">
        <f>' car_sales_data 1'!$G718*0.2</f>
        <v>9951.4</v>
      </c>
      <c r="J718" s="13" t="str">
        <f>TEXT(' car_sales_data 1'!$A718,"mmmm")</f>
        <v>August</v>
      </c>
      <c r="K718" s="13" t="str">
        <f>IF(' car_sales_data 1'!$G718&gt;40000,"Premium",
 IF(' car_sales_data 1'!$G718&gt;=20000,"Mid Range","Budget"))</f>
        <v>Premium</v>
      </c>
      <c r="L718" s="13">
        <f>YEAR(TODAY())-' car_sales_data 1'!$F718</f>
        <v>3</v>
      </c>
    </row>
    <row r="719" ht="15.75" customHeight="1">
      <c r="A719" s="16">
        <v>44833.0</v>
      </c>
      <c r="B719" s="13" t="s">
        <v>1471</v>
      </c>
      <c r="C719" s="13" t="s">
        <v>1472</v>
      </c>
      <c r="D719" s="13" t="s">
        <v>10</v>
      </c>
      <c r="E719" s="13" t="s">
        <v>54</v>
      </c>
      <c r="F719" s="13">
        <v>2013.0</v>
      </c>
      <c r="G719" s="13">
        <v>20208.0</v>
      </c>
      <c r="H719" s="13">
        <v>2505.51</v>
      </c>
      <c r="I719" s="13">
        <f>' car_sales_data 1'!$G719*0.2</f>
        <v>4041.6</v>
      </c>
      <c r="J719" s="13" t="str">
        <f>TEXT(' car_sales_data 1'!$A719,"mmmm")</f>
        <v>September</v>
      </c>
      <c r="K719" s="13" t="str">
        <f>IF(' car_sales_data 1'!$G719&gt;40000,"Premium",
 IF(' car_sales_data 1'!$G719&gt;=20000,"Mid Range","Budget"))</f>
        <v>Mid Range</v>
      </c>
      <c r="L719" s="13">
        <f>YEAR(TODAY())-' car_sales_data 1'!$F719</f>
        <v>12</v>
      </c>
    </row>
    <row r="720" ht="15.75" customHeight="1">
      <c r="A720" s="16">
        <v>44791.0</v>
      </c>
      <c r="B720" s="13" t="s">
        <v>1473</v>
      </c>
      <c r="C720" s="13" t="s">
        <v>719</v>
      </c>
      <c r="D720" s="13" t="s">
        <v>12</v>
      </c>
      <c r="E720" s="13" t="s">
        <v>70</v>
      </c>
      <c r="F720" s="13">
        <v>2011.0</v>
      </c>
      <c r="G720" s="13">
        <v>35218.0</v>
      </c>
      <c r="H720" s="13">
        <v>3129.4</v>
      </c>
      <c r="I720" s="13">
        <f>' car_sales_data 1'!$G720*0.2</f>
        <v>7043.6</v>
      </c>
      <c r="J720" s="13" t="str">
        <f>TEXT(' car_sales_data 1'!$A720,"mmmm")</f>
        <v>August</v>
      </c>
      <c r="K720" s="13" t="str">
        <f>IF(' car_sales_data 1'!$G720&gt;40000,"Premium",
 IF(' car_sales_data 1'!$G720&gt;=20000,"Mid Range","Budget"))</f>
        <v>Mid Range</v>
      </c>
      <c r="L720" s="13">
        <f>YEAR(TODAY())-' car_sales_data 1'!$F720</f>
        <v>14</v>
      </c>
    </row>
    <row r="721" ht="15.75" customHeight="1">
      <c r="A721" s="16">
        <v>44799.0</v>
      </c>
      <c r="B721" s="13" t="s">
        <v>1474</v>
      </c>
      <c r="C721" s="13" t="s">
        <v>1475</v>
      </c>
      <c r="D721" s="13" t="s">
        <v>6</v>
      </c>
      <c r="E721" s="13" t="s">
        <v>70</v>
      </c>
      <c r="F721" s="13">
        <v>2019.0</v>
      </c>
      <c r="G721" s="13">
        <v>30536.0</v>
      </c>
      <c r="H721" s="13">
        <v>3197.6</v>
      </c>
      <c r="I721" s="13">
        <f>' car_sales_data 1'!$G721*0.2</f>
        <v>6107.2</v>
      </c>
      <c r="J721" s="13" t="str">
        <f>TEXT(' car_sales_data 1'!$A721,"mmmm")</f>
        <v>August</v>
      </c>
      <c r="K721" s="13" t="str">
        <f>IF(' car_sales_data 1'!$G721&gt;40000,"Premium",
 IF(' car_sales_data 1'!$G721&gt;=20000,"Mid Range","Budget"))</f>
        <v>Mid Range</v>
      </c>
      <c r="L721" s="13">
        <f>YEAR(TODAY())-' car_sales_data 1'!$F721</f>
        <v>6</v>
      </c>
    </row>
    <row r="722" ht="15.75" customHeight="1">
      <c r="A722" s="16">
        <v>44822.0</v>
      </c>
      <c r="B722" s="13" t="s">
        <v>1476</v>
      </c>
      <c r="C722" s="13" t="s">
        <v>1477</v>
      </c>
      <c r="D722" s="13" t="s">
        <v>12</v>
      </c>
      <c r="E722" s="13" t="s">
        <v>57</v>
      </c>
      <c r="F722" s="13">
        <v>2017.0</v>
      </c>
      <c r="G722" s="13">
        <v>42363.0</v>
      </c>
      <c r="H722" s="13">
        <v>2800.34</v>
      </c>
      <c r="I722" s="13">
        <f>' car_sales_data 1'!$G722*0.2</f>
        <v>8472.6</v>
      </c>
      <c r="J722" s="13" t="str">
        <f>TEXT(' car_sales_data 1'!$A722,"mmmm")</f>
        <v>September</v>
      </c>
      <c r="K722" s="13" t="str">
        <f>IF(' car_sales_data 1'!$G722&gt;40000,"Premium",
 IF(' car_sales_data 1'!$G722&gt;=20000,"Mid Range","Budget"))</f>
        <v>Premium</v>
      </c>
      <c r="L722" s="13">
        <f>YEAR(TODAY())-' car_sales_data 1'!$F722</f>
        <v>8</v>
      </c>
    </row>
    <row r="723" ht="15.75" customHeight="1">
      <c r="A723" s="16">
        <v>44901.0</v>
      </c>
      <c r="B723" s="13" t="s">
        <v>1478</v>
      </c>
      <c r="C723" s="13" t="s">
        <v>1479</v>
      </c>
      <c r="D723" s="13" t="s">
        <v>14</v>
      </c>
      <c r="E723" s="13" t="s">
        <v>62</v>
      </c>
      <c r="F723" s="13">
        <v>2015.0</v>
      </c>
      <c r="G723" s="13">
        <v>13527.0</v>
      </c>
      <c r="H723" s="13">
        <v>960.08</v>
      </c>
      <c r="I723" s="13">
        <f>' car_sales_data 1'!$G723*0.2</f>
        <v>2705.4</v>
      </c>
      <c r="J723" s="13" t="str">
        <f>TEXT(' car_sales_data 1'!$A723,"mmmm")</f>
        <v>December</v>
      </c>
      <c r="K723" s="13" t="str">
        <f>IF(' car_sales_data 1'!$G723&gt;40000,"Premium",
 IF(' car_sales_data 1'!$G723&gt;=20000,"Mid Range","Budget"))</f>
        <v>Budget</v>
      </c>
      <c r="L723" s="13">
        <f>YEAR(TODAY())-' car_sales_data 1'!$F723</f>
        <v>10</v>
      </c>
    </row>
    <row r="724" ht="15.75" customHeight="1">
      <c r="A724" s="16">
        <v>44928.0</v>
      </c>
      <c r="B724" s="13" t="s">
        <v>1480</v>
      </c>
      <c r="C724" s="13" t="s">
        <v>1481</v>
      </c>
      <c r="D724" s="13" t="s">
        <v>6</v>
      </c>
      <c r="E724" s="13" t="s">
        <v>51</v>
      </c>
      <c r="F724" s="13">
        <v>2011.0</v>
      </c>
      <c r="G724" s="13">
        <v>29300.0</v>
      </c>
      <c r="H724" s="13">
        <v>1477.73</v>
      </c>
      <c r="I724" s="13">
        <f>' car_sales_data 1'!$G724*0.2</f>
        <v>5860</v>
      </c>
      <c r="J724" s="13" t="str">
        <f>TEXT(' car_sales_data 1'!$A724,"mmmm")</f>
        <v>January</v>
      </c>
      <c r="K724" s="13" t="str">
        <f>IF(' car_sales_data 1'!$G724&gt;40000,"Premium",
 IF(' car_sales_data 1'!$G724&gt;=20000,"Mid Range","Budget"))</f>
        <v>Mid Range</v>
      </c>
      <c r="L724" s="13">
        <f>YEAR(TODAY())-' car_sales_data 1'!$F724</f>
        <v>14</v>
      </c>
    </row>
    <row r="725" ht="15.75" customHeight="1">
      <c r="A725" s="16">
        <v>44870.0</v>
      </c>
      <c r="B725" s="13" t="s">
        <v>1482</v>
      </c>
      <c r="C725" s="13" t="s">
        <v>1483</v>
      </c>
      <c r="D725" s="13" t="s">
        <v>8</v>
      </c>
      <c r="E725" s="13" t="s">
        <v>57</v>
      </c>
      <c r="F725" s="13">
        <v>2015.0</v>
      </c>
      <c r="G725" s="13">
        <v>27807.0</v>
      </c>
      <c r="H725" s="13">
        <v>2547.22</v>
      </c>
      <c r="I725" s="13">
        <f>' car_sales_data 1'!$G725*0.2</f>
        <v>5561.4</v>
      </c>
      <c r="J725" s="13" t="str">
        <f>TEXT(' car_sales_data 1'!$A725,"mmmm")</f>
        <v>November</v>
      </c>
      <c r="K725" s="13" t="str">
        <f>IF(' car_sales_data 1'!$G725&gt;40000,"Premium",
 IF(' car_sales_data 1'!$G725&gt;=20000,"Mid Range","Budget"))</f>
        <v>Mid Range</v>
      </c>
      <c r="L725" s="13">
        <f>YEAR(TODAY())-' car_sales_data 1'!$F725</f>
        <v>10</v>
      </c>
    </row>
    <row r="726" ht="15.75" customHeight="1">
      <c r="A726" s="16">
        <v>45036.0</v>
      </c>
      <c r="B726" s="13" t="s">
        <v>1484</v>
      </c>
      <c r="C726" s="13" t="s">
        <v>1485</v>
      </c>
      <c r="D726" s="13" t="s">
        <v>10</v>
      </c>
      <c r="E726" s="13" t="s">
        <v>54</v>
      </c>
      <c r="F726" s="13">
        <v>2020.0</v>
      </c>
      <c r="G726" s="13">
        <v>20202.0</v>
      </c>
      <c r="H726" s="13">
        <v>1769.29</v>
      </c>
      <c r="I726" s="13">
        <f>' car_sales_data 1'!$G726*0.2</f>
        <v>4040.4</v>
      </c>
      <c r="J726" s="13" t="str">
        <f>TEXT(' car_sales_data 1'!$A726,"mmmm")</f>
        <v>April</v>
      </c>
      <c r="K726" s="13" t="str">
        <f>IF(' car_sales_data 1'!$G726&gt;40000,"Premium",
 IF(' car_sales_data 1'!$G726&gt;=20000,"Mid Range","Budget"))</f>
        <v>Mid Range</v>
      </c>
      <c r="L726" s="13">
        <f>YEAR(TODAY())-' car_sales_data 1'!$F726</f>
        <v>5</v>
      </c>
    </row>
    <row r="727" ht="15.75" customHeight="1">
      <c r="A727" s="16">
        <v>44782.0</v>
      </c>
      <c r="B727" s="13" t="s">
        <v>1486</v>
      </c>
      <c r="C727" s="13" t="s">
        <v>1487</v>
      </c>
      <c r="D727" s="13" t="s">
        <v>6</v>
      </c>
      <c r="E727" s="13" t="s">
        <v>57</v>
      </c>
      <c r="F727" s="13">
        <v>2014.0</v>
      </c>
      <c r="G727" s="13">
        <v>30799.0</v>
      </c>
      <c r="H727" s="13">
        <v>1713.66</v>
      </c>
      <c r="I727" s="13">
        <f>' car_sales_data 1'!$G727*0.2</f>
        <v>6159.8</v>
      </c>
      <c r="J727" s="13" t="str">
        <f>TEXT(' car_sales_data 1'!$A727,"mmmm")</f>
        <v>August</v>
      </c>
      <c r="K727" s="13" t="str">
        <f>IF(' car_sales_data 1'!$G727&gt;40000,"Premium",
 IF(' car_sales_data 1'!$G727&gt;=20000,"Mid Range","Budget"))</f>
        <v>Mid Range</v>
      </c>
      <c r="L727" s="13">
        <f>YEAR(TODAY())-' car_sales_data 1'!$F727</f>
        <v>11</v>
      </c>
    </row>
    <row r="728" ht="15.75" customHeight="1">
      <c r="A728" s="16">
        <v>45044.0</v>
      </c>
      <c r="B728" s="13" t="s">
        <v>954</v>
      </c>
      <c r="C728" s="13" t="s">
        <v>1488</v>
      </c>
      <c r="D728" s="13" t="s">
        <v>10</v>
      </c>
      <c r="E728" s="13" t="s">
        <v>70</v>
      </c>
      <c r="F728" s="13">
        <v>2021.0</v>
      </c>
      <c r="G728" s="13">
        <v>12931.0</v>
      </c>
      <c r="H728" s="13">
        <v>691.57</v>
      </c>
      <c r="I728" s="13">
        <f>' car_sales_data 1'!$G728*0.2</f>
        <v>2586.2</v>
      </c>
      <c r="J728" s="13" t="str">
        <f>TEXT(' car_sales_data 1'!$A728,"mmmm")</f>
        <v>April</v>
      </c>
      <c r="K728" s="13" t="str">
        <f>IF(' car_sales_data 1'!$G728&gt;40000,"Premium",
 IF(' car_sales_data 1'!$G728&gt;=20000,"Mid Range","Budget"))</f>
        <v>Budget</v>
      </c>
      <c r="L728" s="13">
        <f>YEAR(TODAY())-' car_sales_data 1'!$F728</f>
        <v>4</v>
      </c>
    </row>
    <row r="729" ht="15.75" customHeight="1">
      <c r="A729" s="16">
        <v>44889.0</v>
      </c>
      <c r="B729" s="13" t="s">
        <v>1489</v>
      </c>
      <c r="C729" s="13" t="s">
        <v>1490</v>
      </c>
      <c r="D729" s="13" t="s">
        <v>14</v>
      </c>
      <c r="E729" s="13" t="s">
        <v>70</v>
      </c>
      <c r="F729" s="13">
        <v>2010.0</v>
      </c>
      <c r="G729" s="13">
        <v>45591.0</v>
      </c>
      <c r="H729" s="13">
        <v>3741.35</v>
      </c>
      <c r="I729" s="13">
        <f>' car_sales_data 1'!$G729*0.2</f>
        <v>9118.2</v>
      </c>
      <c r="J729" s="13" t="str">
        <f>TEXT(' car_sales_data 1'!$A729,"mmmm")</f>
        <v>November</v>
      </c>
      <c r="K729" s="13" t="str">
        <f>IF(' car_sales_data 1'!$G729&gt;40000,"Premium",
 IF(' car_sales_data 1'!$G729&gt;=20000,"Mid Range","Budget"))</f>
        <v>Premium</v>
      </c>
      <c r="L729" s="13">
        <f>YEAR(TODAY())-' car_sales_data 1'!$F729</f>
        <v>15</v>
      </c>
    </row>
    <row r="730" ht="15.75" customHeight="1">
      <c r="A730" s="16">
        <v>44861.0</v>
      </c>
      <c r="B730" s="13" t="s">
        <v>1491</v>
      </c>
      <c r="C730" s="13" t="s">
        <v>1492</v>
      </c>
      <c r="D730" s="13" t="s">
        <v>12</v>
      </c>
      <c r="E730" s="13" t="s">
        <v>51</v>
      </c>
      <c r="F730" s="13">
        <v>2019.0</v>
      </c>
      <c r="G730" s="13">
        <v>41479.0</v>
      </c>
      <c r="H730" s="13">
        <v>2816.85</v>
      </c>
      <c r="I730" s="13">
        <f>' car_sales_data 1'!$G730*0.2</f>
        <v>8295.8</v>
      </c>
      <c r="J730" s="13" t="str">
        <f>TEXT(' car_sales_data 1'!$A730,"mmmm")</f>
        <v>October</v>
      </c>
      <c r="K730" s="13" t="str">
        <f>IF(' car_sales_data 1'!$G730&gt;40000,"Premium",
 IF(' car_sales_data 1'!$G730&gt;=20000,"Mid Range","Budget"))</f>
        <v>Premium</v>
      </c>
      <c r="L730" s="13">
        <f>YEAR(TODAY())-' car_sales_data 1'!$F730</f>
        <v>6</v>
      </c>
    </row>
    <row r="731" ht="15.75" customHeight="1">
      <c r="A731" s="16">
        <v>44963.0</v>
      </c>
      <c r="B731" s="13" t="s">
        <v>1493</v>
      </c>
      <c r="C731" s="13" t="s">
        <v>1494</v>
      </c>
      <c r="D731" s="13" t="s">
        <v>8</v>
      </c>
      <c r="E731" s="13" t="s">
        <v>62</v>
      </c>
      <c r="F731" s="13">
        <v>2020.0</v>
      </c>
      <c r="G731" s="13">
        <v>27402.0</v>
      </c>
      <c r="H731" s="13">
        <v>3857.89</v>
      </c>
      <c r="I731" s="13">
        <f>' car_sales_data 1'!$G731*0.2</f>
        <v>5480.4</v>
      </c>
      <c r="J731" s="13" t="str">
        <f>TEXT(' car_sales_data 1'!$A731,"mmmm")</f>
        <v>February</v>
      </c>
      <c r="K731" s="13" t="str">
        <f>IF(' car_sales_data 1'!$G731&gt;40000,"Premium",
 IF(' car_sales_data 1'!$G731&gt;=20000,"Mid Range","Budget"))</f>
        <v>Mid Range</v>
      </c>
      <c r="L731" s="13">
        <f>YEAR(TODAY())-' car_sales_data 1'!$F731</f>
        <v>5</v>
      </c>
    </row>
    <row r="732" ht="15.75" customHeight="1">
      <c r="A732" s="16">
        <v>45043.0</v>
      </c>
      <c r="B732" s="13" t="s">
        <v>1495</v>
      </c>
      <c r="C732" s="13" t="s">
        <v>1496</v>
      </c>
      <c r="D732" s="13" t="s">
        <v>14</v>
      </c>
      <c r="E732" s="13" t="s">
        <v>57</v>
      </c>
      <c r="F732" s="13">
        <v>2010.0</v>
      </c>
      <c r="G732" s="13">
        <v>36650.0</v>
      </c>
      <c r="H732" s="13">
        <v>5220.01</v>
      </c>
      <c r="I732" s="13">
        <f>' car_sales_data 1'!$G732*0.2</f>
        <v>7330</v>
      </c>
      <c r="J732" s="13" t="str">
        <f>TEXT(' car_sales_data 1'!$A732,"mmmm")</f>
        <v>April</v>
      </c>
      <c r="K732" s="13" t="str">
        <f>IF(' car_sales_data 1'!$G732&gt;40000,"Premium",
 IF(' car_sales_data 1'!$G732&gt;=20000,"Mid Range","Budget"))</f>
        <v>Mid Range</v>
      </c>
      <c r="L732" s="13">
        <f>YEAR(TODAY())-' car_sales_data 1'!$F732</f>
        <v>15</v>
      </c>
    </row>
    <row r="733" ht="15.75" customHeight="1">
      <c r="A733" s="16">
        <v>44939.0</v>
      </c>
      <c r="B733" s="13" t="s">
        <v>1497</v>
      </c>
      <c r="C733" s="13" t="s">
        <v>1498</v>
      </c>
      <c r="D733" s="13" t="s">
        <v>8</v>
      </c>
      <c r="E733" s="13" t="s">
        <v>70</v>
      </c>
      <c r="F733" s="13">
        <v>2020.0</v>
      </c>
      <c r="G733" s="13">
        <v>15391.0</v>
      </c>
      <c r="H733" s="13">
        <v>1302.86</v>
      </c>
      <c r="I733" s="13">
        <f>' car_sales_data 1'!$G733*0.2</f>
        <v>3078.2</v>
      </c>
      <c r="J733" s="13" t="str">
        <f>TEXT(' car_sales_data 1'!$A733,"mmmm")</f>
        <v>January</v>
      </c>
      <c r="K733" s="13" t="str">
        <f>IF(' car_sales_data 1'!$G733&gt;40000,"Premium",
 IF(' car_sales_data 1'!$G733&gt;=20000,"Mid Range","Budget"))</f>
        <v>Budget</v>
      </c>
      <c r="L733" s="13">
        <f>YEAR(TODAY())-' car_sales_data 1'!$F733</f>
        <v>5</v>
      </c>
    </row>
    <row r="734" ht="15.75" customHeight="1">
      <c r="A734" s="16">
        <v>44840.0</v>
      </c>
      <c r="B734" s="13" t="s">
        <v>1499</v>
      </c>
      <c r="C734" s="13" t="s">
        <v>1500</v>
      </c>
      <c r="D734" s="13" t="s">
        <v>14</v>
      </c>
      <c r="E734" s="13" t="s">
        <v>70</v>
      </c>
      <c r="F734" s="13">
        <v>2021.0</v>
      </c>
      <c r="G734" s="13">
        <v>35318.0</v>
      </c>
      <c r="H734" s="13">
        <v>5011.74</v>
      </c>
      <c r="I734" s="13">
        <f>' car_sales_data 1'!$G734*0.2</f>
        <v>7063.6</v>
      </c>
      <c r="J734" s="13" t="str">
        <f>TEXT(' car_sales_data 1'!$A734,"mmmm")</f>
        <v>October</v>
      </c>
      <c r="K734" s="13" t="str">
        <f>IF(' car_sales_data 1'!$G734&gt;40000,"Premium",
 IF(' car_sales_data 1'!$G734&gt;=20000,"Mid Range","Budget"))</f>
        <v>Mid Range</v>
      </c>
      <c r="L734" s="13">
        <f>YEAR(TODAY())-' car_sales_data 1'!$F734</f>
        <v>4</v>
      </c>
    </row>
    <row r="735" ht="15.75" customHeight="1">
      <c r="A735" s="16">
        <v>44682.0</v>
      </c>
      <c r="B735" s="13" t="s">
        <v>1501</v>
      </c>
      <c r="C735" s="13" t="s">
        <v>1502</v>
      </c>
      <c r="D735" s="13" t="s">
        <v>12</v>
      </c>
      <c r="E735" s="13" t="s">
        <v>62</v>
      </c>
      <c r="F735" s="13">
        <v>2017.0</v>
      </c>
      <c r="G735" s="13">
        <v>18213.0</v>
      </c>
      <c r="H735" s="13">
        <v>1197.73</v>
      </c>
      <c r="I735" s="13">
        <f>' car_sales_data 1'!$G735*0.2</f>
        <v>3642.6</v>
      </c>
      <c r="J735" s="13" t="str">
        <f>TEXT(' car_sales_data 1'!$A735,"mmmm")</f>
        <v>May</v>
      </c>
      <c r="K735" s="13" t="str">
        <f>IF(' car_sales_data 1'!$G735&gt;40000,"Premium",
 IF(' car_sales_data 1'!$G735&gt;=20000,"Mid Range","Budget"))</f>
        <v>Budget</v>
      </c>
      <c r="L735" s="13">
        <f>YEAR(TODAY())-' car_sales_data 1'!$F735</f>
        <v>8</v>
      </c>
    </row>
    <row r="736" ht="15.75" customHeight="1">
      <c r="A736" s="16">
        <v>44775.0</v>
      </c>
      <c r="B736" s="13" t="s">
        <v>1503</v>
      </c>
      <c r="C736" s="13" t="s">
        <v>1504</v>
      </c>
      <c r="D736" s="13" t="s">
        <v>8</v>
      </c>
      <c r="E736" s="13" t="s">
        <v>57</v>
      </c>
      <c r="F736" s="13">
        <v>2010.0</v>
      </c>
      <c r="G736" s="13">
        <v>24387.0</v>
      </c>
      <c r="H736" s="13">
        <v>2044.13</v>
      </c>
      <c r="I736" s="13">
        <f>' car_sales_data 1'!$G736*0.2</f>
        <v>4877.4</v>
      </c>
      <c r="J736" s="13" t="str">
        <f>TEXT(' car_sales_data 1'!$A736,"mmmm")</f>
        <v>August</v>
      </c>
      <c r="K736" s="13" t="str">
        <f>IF(' car_sales_data 1'!$G736&gt;40000,"Premium",
 IF(' car_sales_data 1'!$G736&gt;=20000,"Mid Range","Budget"))</f>
        <v>Mid Range</v>
      </c>
      <c r="L736" s="13">
        <f>YEAR(TODAY())-' car_sales_data 1'!$F736</f>
        <v>15</v>
      </c>
    </row>
    <row r="737" ht="15.75" customHeight="1">
      <c r="A737" s="16">
        <v>44799.0</v>
      </c>
      <c r="B737" s="13" t="s">
        <v>1505</v>
      </c>
      <c r="C737" s="13" t="s">
        <v>1506</v>
      </c>
      <c r="D737" s="13" t="s">
        <v>10</v>
      </c>
      <c r="E737" s="13" t="s">
        <v>57</v>
      </c>
      <c r="F737" s="13">
        <v>2012.0</v>
      </c>
      <c r="G737" s="13">
        <v>42079.0</v>
      </c>
      <c r="H737" s="13">
        <v>4560.89</v>
      </c>
      <c r="I737" s="13">
        <f>' car_sales_data 1'!$G737*0.2</f>
        <v>8415.8</v>
      </c>
      <c r="J737" s="13" t="str">
        <f>TEXT(' car_sales_data 1'!$A737,"mmmm")</f>
        <v>August</v>
      </c>
      <c r="K737" s="13" t="str">
        <f>IF(' car_sales_data 1'!$G737&gt;40000,"Premium",
 IF(' car_sales_data 1'!$G737&gt;=20000,"Mid Range","Budget"))</f>
        <v>Premium</v>
      </c>
      <c r="L737" s="13">
        <f>YEAR(TODAY())-' car_sales_data 1'!$F737</f>
        <v>13</v>
      </c>
    </row>
    <row r="738" ht="15.75" customHeight="1">
      <c r="A738" s="16">
        <v>44956.0</v>
      </c>
      <c r="B738" s="13" t="s">
        <v>1507</v>
      </c>
      <c r="C738" s="13" t="s">
        <v>1508</v>
      </c>
      <c r="D738" s="13" t="s">
        <v>14</v>
      </c>
      <c r="E738" s="13" t="s">
        <v>54</v>
      </c>
      <c r="F738" s="13">
        <v>2011.0</v>
      </c>
      <c r="G738" s="13">
        <v>44883.0</v>
      </c>
      <c r="H738" s="13">
        <v>3147.69</v>
      </c>
      <c r="I738" s="13">
        <f>' car_sales_data 1'!$G738*0.2</f>
        <v>8976.6</v>
      </c>
      <c r="J738" s="13" t="str">
        <f>TEXT(' car_sales_data 1'!$A738,"mmmm")</f>
        <v>January</v>
      </c>
      <c r="K738" s="13" t="str">
        <f>IF(' car_sales_data 1'!$G738&gt;40000,"Premium",
 IF(' car_sales_data 1'!$G738&gt;=20000,"Mid Range","Budget"))</f>
        <v>Premium</v>
      </c>
      <c r="L738" s="13">
        <f>YEAR(TODAY())-' car_sales_data 1'!$F738</f>
        <v>14</v>
      </c>
    </row>
    <row r="739" ht="15.75" customHeight="1">
      <c r="A739" s="16">
        <v>44816.0</v>
      </c>
      <c r="B739" s="13" t="s">
        <v>1509</v>
      </c>
      <c r="C739" s="13" t="s">
        <v>1510</v>
      </c>
      <c r="D739" s="13" t="s">
        <v>6</v>
      </c>
      <c r="E739" s="13" t="s">
        <v>51</v>
      </c>
      <c r="F739" s="13">
        <v>2010.0</v>
      </c>
      <c r="G739" s="13">
        <v>13697.0</v>
      </c>
      <c r="H739" s="13">
        <v>731.21</v>
      </c>
      <c r="I739" s="13">
        <f>' car_sales_data 1'!$G739*0.2</f>
        <v>2739.4</v>
      </c>
      <c r="J739" s="13" t="str">
        <f>TEXT(' car_sales_data 1'!$A739,"mmmm")</f>
        <v>September</v>
      </c>
      <c r="K739" s="13" t="str">
        <f>IF(' car_sales_data 1'!$G739&gt;40000,"Premium",
 IF(' car_sales_data 1'!$G739&gt;=20000,"Mid Range","Budget"))</f>
        <v>Budget</v>
      </c>
      <c r="L739" s="13">
        <f>YEAR(TODAY())-' car_sales_data 1'!$F739</f>
        <v>15</v>
      </c>
    </row>
    <row r="740" ht="15.75" customHeight="1">
      <c r="A740" s="16">
        <v>44935.0</v>
      </c>
      <c r="B740" s="13" t="s">
        <v>1511</v>
      </c>
      <c r="C740" s="13" t="s">
        <v>1512</v>
      </c>
      <c r="D740" s="13" t="s">
        <v>14</v>
      </c>
      <c r="E740" s="13" t="s">
        <v>51</v>
      </c>
      <c r="F740" s="13">
        <v>2019.0</v>
      </c>
      <c r="G740" s="13">
        <v>31976.0</v>
      </c>
      <c r="H740" s="13">
        <v>2644.9</v>
      </c>
      <c r="I740" s="13">
        <f>' car_sales_data 1'!$G740*0.2</f>
        <v>6395.2</v>
      </c>
      <c r="J740" s="13" t="str">
        <f>TEXT(' car_sales_data 1'!$A740,"mmmm")</f>
        <v>January</v>
      </c>
      <c r="K740" s="13" t="str">
        <f>IF(' car_sales_data 1'!$G740&gt;40000,"Premium",
 IF(' car_sales_data 1'!$G740&gt;=20000,"Mid Range","Budget"))</f>
        <v>Mid Range</v>
      </c>
      <c r="L740" s="13">
        <f>YEAR(TODAY())-' car_sales_data 1'!$F740</f>
        <v>6</v>
      </c>
    </row>
    <row r="741" ht="15.75" customHeight="1">
      <c r="A741" s="16">
        <v>44873.0</v>
      </c>
      <c r="B741" s="13" t="s">
        <v>1513</v>
      </c>
      <c r="C741" s="13" t="s">
        <v>1514</v>
      </c>
      <c r="D741" s="13" t="s">
        <v>6</v>
      </c>
      <c r="E741" s="13" t="s">
        <v>70</v>
      </c>
      <c r="F741" s="13">
        <v>2016.0</v>
      </c>
      <c r="G741" s="13">
        <v>40647.0</v>
      </c>
      <c r="H741" s="13">
        <v>2782.88</v>
      </c>
      <c r="I741" s="13">
        <f>' car_sales_data 1'!$G741*0.2</f>
        <v>8129.4</v>
      </c>
      <c r="J741" s="13" t="str">
        <f>TEXT(' car_sales_data 1'!$A741,"mmmm")</f>
        <v>November</v>
      </c>
      <c r="K741" s="13" t="str">
        <f>IF(' car_sales_data 1'!$G741&gt;40000,"Premium",
 IF(' car_sales_data 1'!$G741&gt;=20000,"Mid Range","Budget"))</f>
        <v>Premium</v>
      </c>
      <c r="L741" s="13">
        <f>YEAR(TODAY())-' car_sales_data 1'!$F741</f>
        <v>9</v>
      </c>
    </row>
    <row r="742" ht="15.75" customHeight="1">
      <c r="A742" s="16">
        <v>44823.0</v>
      </c>
      <c r="B742" s="13" t="s">
        <v>1515</v>
      </c>
      <c r="C742" s="13" t="s">
        <v>1516</v>
      </c>
      <c r="D742" s="13" t="s">
        <v>6</v>
      </c>
      <c r="E742" s="13" t="s">
        <v>51</v>
      </c>
      <c r="F742" s="13">
        <v>2013.0</v>
      </c>
      <c r="G742" s="13">
        <v>27330.0</v>
      </c>
      <c r="H742" s="13">
        <v>1793.51</v>
      </c>
      <c r="I742" s="13">
        <f>' car_sales_data 1'!$G742*0.2</f>
        <v>5466</v>
      </c>
      <c r="J742" s="13" t="str">
        <f>TEXT(' car_sales_data 1'!$A742,"mmmm")</f>
        <v>September</v>
      </c>
      <c r="K742" s="13" t="str">
        <f>IF(' car_sales_data 1'!$G742&gt;40000,"Premium",
 IF(' car_sales_data 1'!$G742&gt;=20000,"Mid Range","Budget"))</f>
        <v>Mid Range</v>
      </c>
      <c r="L742" s="13">
        <f>YEAR(TODAY())-' car_sales_data 1'!$F742</f>
        <v>12</v>
      </c>
    </row>
    <row r="743" ht="15.75" customHeight="1">
      <c r="A743" s="16">
        <v>44853.0</v>
      </c>
      <c r="B743" s="13" t="s">
        <v>1517</v>
      </c>
      <c r="C743" s="13" t="s">
        <v>1518</v>
      </c>
      <c r="D743" s="13" t="s">
        <v>12</v>
      </c>
      <c r="E743" s="13" t="s">
        <v>54</v>
      </c>
      <c r="F743" s="13">
        <v>2012.0</v>
      </c>
      <c r="G743" s="13">
        <v>41632.0</v>
      </c>
      <c r="H743" s="13">
        <v>2150.12</v>
      </c>
      <c r="I743" s="13">
        <f>' car_sales_data 1'!$G743*0.2</f>
        <v>8326.4</v>
      </c>
      <c r="J743" s="13" t="str">
        <f>TEXT(' car_sales_data 1'!$A743,"mmmm")</f>
        <v>October</v>
      </c>
      <c r="K743" s="13" t="str">
        <f>IF(' car_sales_data 1'!$G743&gt;40000,"Premium",
 IF(' car_sales_data 1'!$G743&gt;=20000,"Mid Range","Budget"))</f>
        <v>Premium</v>
      </c>
      <c r="L743" s="13">
        <f>YEAR(TODAY())-' car_sales_data 1'!$F743</f>
        <v>13</v>
      </c>
    </row>
    <row r="744" ht="15.75" customHeight="1">
      <c r="A744" s="16">
        <v>44751.0</v>
      </c>
      <c r="B744" s="13" t="s">
        <v>1519</v>
      </c>
      <c r="C744" s="13" t="s">
        <v>1520</v>
      </c>
      <c r="D744" s="13" t="s">
        <v>12</v>
      </c>
      <c r="E744" s="13" t="s">
        <v>54</v>
      </c>
      <c r="F744" s="13">
        <v>2021.0</v>
      </c>
      <c r="G744" s="13">
        <v>16443.0</v>
      </c>
      <c r="H744" s="13">
        <v>2157.61</v>
      </c>
      <c r="I744" s="13">
        <f>' car_sales_data 1'!$G744*0.2</f>
        <v>3288.6</v>
      </c>
      <c r="J744" s="13" t="str">
        <f>TEXT(' car_sales_data 1'!$A744,"mmmm")</f>
        <v>July</v>
      </c>
      <c r="K744" s="13" t="str">
        <f>IF(' car_sales_data 1'!$G744&gt;40000,"Premium",
 IF(' car_sales_data 1'!$G744&gt;=20000,"Mid Range","Budget"))</f>
        <v>Budget</v>
      </c>
      <c r="L744" s="13">
        <f>YEAR(TODAY())-' car_sales_data 1'!$F744</f>
        <v>4</v>
      </c>
    </row>
    <row r="745" ht="15.75" customHeight="1">
      <c r="A745" s="16">
        <v>44873.0</v>
      </c>
      <c r="B745" s="13" t="s">
        <v>1521</v>
      </c>
      <c r="C745" s="13" t="s">
        <v>1522</v>
      </c>
      <c r="D745" s="13" t="s">
        <v>12</v>
      </c>
      <c r="E745" s="13" t="s">
        <v>70</v>
      </c>
      <c r="F745" s="13">
        <v>2010.0</v>
      </c>
      <c r="G745" s="13">
        <v>42176.0</v>
      </c>
      <c r="H745" s="13">
        <v>3800.97</v>
      </c>
      <c r="I745" s="13">
        <f>' car_sales_data 1'!$G745*0.2</f>
        <v>8435.2</v>
      </c>
      <c r="J745" s="13" t="str">
        <f>TEXT(' car_sales_data 1'!$A745,"mmmm")</f>
        <v>November</v>
      </c>
      <c r="K745" s="13" t="str">
        <f>IF(' car_sales_data 1'!$G745&gt;40000,"Premium",
 IF(' car_sales_data 1'!$G745&gt;=20000,"Mid Range","Budget"))</f>
        <v>Premium</v>
      </c>
      <c r="L745" s="13">
        <f>YEAR(TODAY())-' car_sales_data 1'!$F745</f>
        <v>15</v>
      </c>
    </row>
    <row r="746" ht="15.75" customHeight="1">
      <c r="A746" s="16">
        <v>44956.0</v>
      </c>
      <c r="B746" s="13" t="s">
        <v>1523</v>
      </c>
      <c r="C746" s="13" t="s">
        <v>1524</v>
      </c>
      <c r="D746" s="13" t="s">
        <v>10</v>
      </c>
      <c r="E746" s="13" t="s">
        <v>51</v>
      </c>
      <c r="F746" s="13">
        <v>2012.0</v>
      </c>
      <c r="G746" s="13">
        <v>42396.0</v>
      </c>
      <c r="H746" s="13">
        <v>5266.98</v>
      </c>
      <c r="I746" s="13">
        <f>' car_sales_data 1'!$G746*0.2</f>
        <v>8479.2</v>
      </c>
      <c r="J746" s="13" t="str">
        <f>TEXT(' car_sales_data 1'!$A746,"mmmm")</f>
        <v>January</v>
      </c>
      <c r="K746" s="13" t="str">
        <f>IF(' car_sales_data 1'!$G746&gt;40000,"Premium",
 IF(' car_sales_data 1'!$G746&gt;=20000,"Mid Range","Budget"))</f>
        <v>Premium</v>
      </c>
      <c r="L746" s="13">
        <f>YEAR(TODAY())-' car_sales_data 1'!$F746</f>
        <v>13</v>
      </c>
    </row>
    <row r="747" ht="15.75" customHeight="1">
      <c r="A747" s="16">
        <v>44856.0</v>
      </c>
      <c r="B747" s="13" t="s">
        <v>20</v>
      </c>
      <c r="C747" s="13" t="s">
        <v>1525</v>
      </c>
      <c r="D747" s="13" t="s">
        <v>14</v>
      </c>
      <c r="E747" s="13" t="s">
        <v>62</v>
      </c>
      <c r="F747" s="13">
        <v>2018.0</v>
      </c>
      <c r="G747" s="13">
        <v>38643.0</v>
      </c>
      <c r="H747" s="13">
        <v>3929.35</v>
      </c>
      <c r="I747" s="13">
        <f>' car_sales_data 1'!$G747*0.2</f>
        <v>7728.6</v>
      </c>
      <c r="J747" s="13" t="str">
        <f>TEXT(' car_sales_data 1'!$A747,"mmmm")</f>
        <v>October</v>
      </c>
      <c r="K747" s="13" t="str">
        <f>IF(' car_sales_data 1'!$G747&gt;40000,"Premium",
 IF(' car_sales_data 1'!$G747&gt;=20000,"Mid Range","Budget"))</f>
        <v>Mid Range</v>
      </c>
      <c r="L747" s="13">
        <f>YEAR(TODAY())-' car_sales_data 1'!$F747</f>
        <v>7</v>
      </c>
    </row>
    <row r="748" ht="15.75" customHeight="1">
      <c r="A748" s="16">
        <v>44803.0</v>
      </c>
      <c r="B748" s="13" t="s">
        <v>1526</v>
      </c>
      <c r="C748" s="13" t="s">
        <v>1527</v>
      </c>
      <c r="D748" s="13" t="s">
        <v>14</v>
      </c>
      <c r="E748" s="13" t="s">
        <v>70</v>
      </c>
      <c r="F748" s="13">
        <v>2014.0</v>
      </c>
      <c r="G748" s="13">
        <v>28200.0</v>
      </c>
      <c r="H748" s="13">
        <v>1688.96</v>
      </c>
      <c r="I748" s="13">
        <f>' car_sales_data 1'!$G748*0.2</f>
        <v>5640</v>
      </c>
      <c r="J748" s="13" t="str">
        <f>TEXT(' car_sales_data 1'!$A748,"mmmm")</f>
        <v>August</v>
      </c>
      <c r="K748" s="13" t="str">
        <f>IF(' car_sales_data 1'!$G748&gt;40000,"Premium",
 IF(' car_sales_data 1'!$G748&gt;=20000,"Mid Range","Budget"))</f>
        <v>Mid Range</v>
      </c>
      <c r="L748" s="13">
        <f>YEAR(TODAY())-' car_sales_data 1'!$F748</f>
        <v>11</v>
      </c>
    </row>
    <row r="749" ht="15.75" customHeight="1">
      <c r="A749" s="16">
        <v>44980.0</v>
      </c>
      <c r="B749" s="13" t="s">
        <v>1528</v>
      </c>
      <c r="C749" s="13" t="s">
        <v>1529</v>
      </c>
      <c r="D749" s="13" t="s">
        <v>10</v>
      </c>
      <c r="E749" s="13" t="s">
        <v>54</v>
      </c>
      <c r="F749" s="13">
        <v>2020.0</v>
      </c>
      <c r="G749" s="13">
        <v>20478.0</v>
      </c>
      <c r="H749" s="13">
        <v>2592.43</v>
      </c>
      <c r="I749" s="13">
        <f>' car_sales_data 1'!$G749*0.2</f>
        <v>4095.6</v>
      </c>
      <c r="J749" s="13" t="str">
        <f>TEXT(' car_sales_data 1'!$A749,"mmmm")</f>
        <v>February</v>
      </c>
      <c r="K749" s="13" t="str">
        <f>IF(' car_sales_data 1'!$G749&gt;40000,"Premium",
 IF(' car_sales_data 1'!$G749&gt;=20000,"Mid Range","Budget"))</f>
        <v>Mid Range</v>
      </c>
      <c r="L749" s="13">
        <f>YEAR(TODAY())-' car_sales_data 1'!$F749</f>
        <v>5</v>
      </c>
    </row>
    <row r="750" ht="15.75" customHeight="1">
      <c r="A750" s="16">
        <v>44726.0</v>
      </c>
      <c r="B750" s="13" t="s">
        <v>1530</v>
      </c>
      <c r="C750" s="13" t="s">
        <v>1531</v>
      </c>
      <c r="D750" s="13" t="s">
        <v>12</v>
      </c>
      <c r="E750" s="13" t="s">
        <v>51</v>
      </c>
      <c r="F750" s="13">
        <v>2019.0</v>
      </c>
      <c r="G750" s="13">
        <v>23824.0</v>
      </c>
      <c r="H750" s="13">
        <v>2118.76</v>
      </c>
      <c r="I750" s="13">
        <f>' car_sales_data 1'!$G750*0.2</f>
        <v>4764.8</v>
      </c>
      <c r="J750" s="13" t="str">
        <f>TEXT(' car_sales_data 1'!$A750,"mmmm")</f>
        <v>June</v>
      </c>
      <c r="K750" s="13" t="str">
        <f>IF(' car_sales_data 1'!$G750&gt;40000,"Premium",
 IF(' car_sales_data 1'!$G750&gt;=20000,"Mid Range","Budget"))</f>
        <v>Mid Range</v>
      </c>
      <c r="L750" s="13">
        <f>YEAR(TODAY())-' car_sales_data 1'!$F750</f>
        <v>6</v>
      </c>
    </row>
    <row r="751" ht="15.75" customHeight="1">
      <c r="A751" s="16">
        <v>45032.0</v>
      </c>
      <c r="B751" s="13" t="s">
        <v>1532</v>
      </c>
      <c r="C751" s="13" t="s">
        <v>1533</v>
      </c>
      <c r="D751" s="13" t="s">
        <v>10</v>
      </c>
      <c r="E751" s="13" t="s">
        <v>54</v>
      </c>
      <c r="F751" s="13">
        <v>2012.0</v>
      </c>
      <c r="G751" s="13">
        <v>41658.0</v>
      </c>
      <c r="H751" s="13">
        <v>4106.06</v>
      </c>
      <c r="I751" s="13">
        <f>' car_sales_data 1'!$G751*0.2</f>
        <v>8331.6</v>
      </c>
      <c r="J751" s="13" t="str">
        <f>TEXT(' car_sales_data 1'!$A751,"mmmm")</f>
        <v>April</v>
      </c>
      <c r="K751" s="13" t="str">
        <f>IF(' car_sales_data 1'!$G751&gt;40000,"Premium",
 IF(' car_sales_data 1'!$G751&gt;=20000,"Mid Range","Budget"))</f>
        <v>Premium</v>
      </c>
      <c r="L751" s="13">
        <f>YEAR(TODAY())-' car_sales_data 1'!$F751</f>
        <v>13</v>
      </c>
    </row>
    <row r="752" ht="15.75" customHeight="1">
      <c r="A752" s="16">
        <v>44725.0</v>
      </c>
      <c r="B752" s="13" t="s">
        <v>1534</v>
      </c>
      <c r="C752" s="13" t="s">
        <v>1535</v>
      </c>
      <c r="D752" s="13" t="s">
        <v>14</v>
      </c>
      <c r="E752" s="13" t="s">
        <v>51</v>
      </c>
      <c r="F752" s="13">
        <v>2018.0</v>
      </c>
      <c r="G752" s="13">
        <v>15421.0</v>
      </c>
      <c r="H752" s="13">
        <v>1419.35</v>
      </c>
      <c r="I752" s="13">
        <f>' car_sales_data 1'!$G752*0.2</f>
        <v>3084.2</v>
      </c>
      <c r="J752" s="13" t="str">
        <f>TEXT(' car_sales_data 1'!$A752,"mmmm")</f>
        <v>June</v>
      </c>
      <c r="K752" s="13" t="str">
        <f>IF(' car_sales_data 1'!$G752&gt;40000,"Premium",
 IF(' car_sales_data 1'!$G752&gt;=20000,"Mid Range","Budget"))</f>
        <v>Budget</v>
      </c>
      <c r="L752" s="13">
        <f>YEAR(TODAY())-' car_sales_data 1'!$F752</f>
        <v>7</v>
      </c>
    </row>
    <row r="753" ht="15.75" customHeight="1">
      <c r="A753" s="16">
        <v>45004.0</v>
      </c>
      <c r="B753" s="13" t="s">
        <v>1536</v>
      </c>
      <c r="C753" s="13" t="s">
        <v>1537</v>
      </c>
      <c r="D753" s="13" t="s">
        <v>10</v>
      </c>
      <c r="E753" s="13" t="s">
        <v>62</v>
      </c>
      <c r="F753" s="13">
        <v>2012.0</v>
      </c>
      <c r="G753" s="13">
        <v>19574.0</v>
      </c>
      <c r="H753" s="13">
        <v>1948.74</v>
      </c>
      <c r="I753" s="13">
        <f>' car_sales_data 1'!$G753*0.2</f>
        <v>3914.8</v>
      </c>
      <c r="J753" s="13" t="str">
        <f>TEXT(' car_sales_data 1'!$A753,"mmmm")</f>
        <v>March</v>
      </c>
      <c r="K753" s="13" t="str">
        <f>IF(' car_sales_data 1'!$G753&gt;40000,"Premium",
 IF(' car_sales_data 1'!$G753&gt;=20000,"Mid Range","Budget"))</f>
        <v>Budget</v>
      </c>
      <c r="L753" s="13">
        <f>YEAR(TODAY())-' car_sales_data 1'!$F753</f>
        <v>13</v>
      </c>
    </row>
    <row r="754" ht="15.75" customHeight="1">
      <c r="A754" s="16">
        <v>44734.0</v>
      </c>
      <c r="B754" s="13" t="s">
        <v>1538</v>
      </c>
      <c r="C754" s="13" t="s">
        <v>1539</v>
      </c>
      <c r="D754" s="13" t="s">
        <v>8</v>
      </c>
      <c r="E754" s="13" t="s">
        <v>51</v>
      </c>
      <c r="F754" s="13">
        <v>2012.0</v>
      </c>
      <c r="G754" s="13">
        <v>22031.0</v>
      </c>
      <c r="H754" s="13">
        <v>1361.97</v>
      </c>
      <c r="I754" s="13">
        <f>' car_sales_data 1'!$G754*0.2</f>
        <v>4406.2</v>
      </c>
      <c r="J754" s="13" t="str">
        <f>TEXT(' car_sales_data 1'!$A754,"mmmm")</f>
        <v>June</v>
      </c>
      <c r="K754" s="13" t="str">
        <f>IF(' car_sales_data 1'!$G754&gt;40000,"Premium",
 IF(' car_sales_data 1'!$G754&gt;=20000,"Mid Range","Budget"))</f>
        <v>Mid Range</v>
      </c>
      <c r="L754" s="13">
        <f>YEAR(TODAY())-' car_sales_data 1'!$F754</f>
        <v>13</v>
      </c>
    </row>
    <row r="755" ht="15.75" customHeight="1">
      <c r="A755" s="16">
        <v>44971.0</v>
      </c>
      <c r="B755" s="13" t="s">
        <v>1540</v>
      </c>
      <c r="C755" s="13" t="s">
        <v>1541</v>
      </c>
      <c r="D755" s="13" t="s">
        <v>10</v>
      </c>
      <c r="E755" s="13" t="s">
        <v>57</v>
      </c>
      <c r="F755" s="13">
        <v>2011.0</v>
      </c>
      <c r="G755" s="13">
        <v>43919.0</v>
      </c>
      <c r="H755" s="13">
        <v>2601.5</v>
      </c>
      <c r="I755" s="13">
        <f>' car_sales_data 1'!$G755*0.2</f>
        <v>8783.8</v>
      </c>
      <c r="J755" s="13" t="str">
        <f>TEXT(' car_sales_data 1'!$A755,"mmmm")</f>
        <v>February</v>
      </c>
      <c r="K755" s="13" t="str">
        <f>IF(' car_sales_data 1'!$G755&gt;40000,"Premium",
 IF(' car_sales_data 1'!$G755&gt;=20000,"Mid Range","Budget"))</f>
        <v>Premium</v>
      </c>
      <c r="L755" s="13">
        <f>YEAR(TODAY())-' car_sales_data 1'!$F755</f>
        <v>14</v>
      </c>
    </row>
    <row r="756" ht="15.75" customHeight="1">
      <c r="A756" s="16">
        <v>44726.0</v>
      </c>
      <c r="B756" s="13" t="s">
        <v>1542</v>
      </c>
      <c r="C756" s="13" t="s">
        <v>1543</v>
      </c>
      <c r="D756" s="13" t="s">
        <v>10</v>
      </c>
      <c r="E756" s="13" t="s">
        <v>54</v>
      </c>
      <c r="F756" s="13">
        <v>2019.0</v>
      </c>
      <c r="G756" s="13">
        <v>32880.0</v>
      </c>
      <c r="H756" s="13">
        <v>4738.46</v>
      </c>
      <c r="I756" s="13">
        <f>' car_sales_data 1'!$G756*0.2</f>
        <v>6576</v>
      </c>
      <c r="J756" s="13" t="str">
        <f>TEXT(' car_sales_data 1'!$A756,"mmmm")</f>
        <v>June</v>
      </c>
      <c r="K756" s="13" t="str">
        <f>IF(' car_sales_data 1'!$G756&gt;40000,"Premium",
 IF(' car_sales_data 1'!$G756&gt;=20000,"Mid Range","Budget"))</f>
        <v>Mid Range</v>
      </c>
      <c r="L756" s="13">
        <f>YEAR(TODAY())-' car_sales_data 1'!$F756</f>
        <v>6</v>
      </c>
    </row>
    <row r="757" ht="15.75" customHeight="1">
      <c r="A757" s="16">
        <v>44778.0</v>
      </c>
      <c r="B757" s="13" t="s">
        <v>1544</v>
      </c>
      <c r="C757" s="13" t="s">
        <v>1477</v>
      </c>
      <c r="D757" s="13" t="s">
        <v>8</v>
      </c>
      <c r="E757" s="13" t="s">
        <v>62</v>
      </c>
      <c r="F757" s="13">
        <v>2021.0</v>
      </c>
      <c r="G757" s="13">
        <v>10429.0</v>
      </c>
      <c r="H757" s="13">
        <v>902.69</v>
      </c>
      <c r="I757" s="13">
        <f>' car_sales_data 1'!$G757*0.2</f>
        <v>2085.8</v>
      </c>
      <c r="J757" s="13" t="str">
        <f>TEXT(' car_sales_data 1'!$A757,"mmmm")</f>
        <v>August</v>
      </c>
      <c r="K757" s="13" t="str">
        <f>IF(' car_sales_data 1'!$G757&gt;40000,"Premium",
 IF(' car_sales_data 1'!$G757&gt;=20000,"Mid Range","Budget"))</f>
        <v>Budget</v>
      </c>
      <c r="L757" s="13">
        <f>YEAR(TODAY())-' car_sales_data 1'!$F757</f>
        <v>4</v>
      </c>
    </row>
    <row r="758" ht="15.75" customHeight="1">
      <c r="A758" s="16">
        <v>44856.0</v>
      </c>
      <c r="B758" s="13" t="s">
        <v>1545</v>
      </c>
      <c r="C758" s="13" t="s">
        <v>1546</v>
      </c>
      <c r="D758" s="13" t="s">
        <v>10</v>
      </c>
      <c r="E758" s="13" t="s">
        <v>62</v>
      </c>
      <c r="F758" s="13">
        <v>2019.0</v>
      </c>
      <c r="G758" s="13">
        <v>17542.0</v>
      </c>
      <c r="H758" s="13">
        <v>2258.09</v>
      </c>
      <c r="I758" s="13">
        <f>' car_sales_data 1'!$G758*0.2</f>
        <v>3508.4</v>
      </c>
      <c r="J758" s="13" t="str">
        <f>TEXT(' car_sales_data 1'!$A758,"mmmm")</f>
        <v>October</v>
      </c>
      <c r="K758" s="13" t="str">
        <f>IF(' car_sales_data 1'!$G758&gt;40000,"Premium",
 IF(' car_sales_data 1'!$G758&gt;=20000,"Mid Range","Budget"))</f>
        <v>Budget</v>
      </c>
      <c r="L758" s="13">
        <f>YEAR(TODAY())-' car_sales_data 1'!$F758</f>
        <v>6</v>
      </c>
    </row>
    <row r="759" ht="15.75" customHeight="1">
      <c r="A759" s="16">
        <v>44999.0</v>
      </c>
      <c r="B759" s="13" t="s">
        <v>1547</v>
      </c>
      <c r="C759" s="13" t="s">
        <v>1548</v>
      </c>
      <c r="D759" s="13" t="s">
        <v>12</v>
      </c>
      <c r="E759" s="13" t="s">
        <v>54</v>
      </c>
      <c r="F759" s="13">
        <v>2013.0</v>
      </c>
      <c r="G759" s="13">
        <v>31472.0</v>
      </c>
      <c r="H759" s="13">
        <v>4490.75</v>
      </c>
      <c r="I759" s="13">
        <f>' car_sales_data 1'!$G759*0.2</f>
        <v>6294.4</v>
      </c>
      <c r="J759" s="13" t="str">
        <f>TEXT(' car_sales_data 1'!$A759,"mmmm")</f>
        <v>March</v>
      </c>
      <c r="K759" s="13" t="str">
        <f>IF(' car_sales_data 1'!$G759&gt;40000,"Premium",
 IF(' car_sales_data 1'!$G759&gt;=20000,"Mid Range","Budget"))</f>
        <v>Mid Range</v>
      </c>
      <c r="L759" s="13">
        <f>YEAR(TODAY())-' car_sales_data 1'!$F759</f>
        <v>12</v>
      </c>
    </row>
    <row r="760" ht="15.75" customHeight="1">
      <c r="A760" s="16">
        <v>44895.0</v>
      </c>
      <c r="B760" s="13" t="s">
        <v>1549</v>
      </c>
      <c r="C760" s="13" t="s">
        <v>1550</v>
      </c>
      <c r="D760" s="13" t="s">
        <v>12</v>
      </c>
      <c r="E760" s="13" t="s">
        <v>70</v>
      </c>
      <c r="F760" s="13">
        <v>2016.0</v>
      </c>
      <c r="G760" s="13">
        <v>19976.0</v>
      </c>
      <c r="H760" s="13">
        <v>2308.13</v>
      </c>
      <c r="I760" s="13">
        <f>' car_sales_data 1'!$G760*0.2</f>
        <v>3995.2</v>
      </c>
      <c r="J760" s="13" t="str">
        <f>TEXT(' car_sales_data 1'!$A760,"mmmm")</f>
        <v>November</v>
      </c>
      <c r="K760" s="13" t="str">
        <f>IF(' car_sales_data 1'!$G760&gt;40000,"Premium",
 IF(' car_sales_data 1'!$G760&gt;=20000,"Mid Range","Budget"))</f>
        <v>Budget</v>
      </c>
      <c r="L760" s="13">
        <f>YEAR(TODAY())-' car_sales_data 1'!$F760</f>
        <v>9</v>
      </c>
    </row>
    <row r="761" ht="15.75" customHeight="1">
      <c r="A761" s="16">
        <v>44746.0</v>
      </c>
      <c r="B761" s="13" t="s">
        <v>1551</v>
      </c>
      <c r="C761" s="13" t="s">
        <v>1552</v>
      </c>
      <c r="D761" s="13" t="s">
        <v>12</v>
      </c>
      <c r="E761" s="13" t="s">
        <v>70</v>
      </c>
      <c r="F761" s="13">
        <v>2019.0</v>
      </c>
      <c r="G761" s="13">
        <v>34018.0</v>
      </c>
      <c r="H761" s="13">
        <v>4941.9</v>
      </c>
      <c r="I761" s="13">
        <f>' car_sales_data 1'!$G761*0.2</f>
        <v>6803.6</v>
      </c>
      <c r="J761" s="13" t="str">
        <f>TEXT(' car_sales_data 1'!$A761,"mmmm")</f>
        <v>July</v>
      </c>
      <c r="K761" s="13" t="str">
        <f>IF(' car_sales_data 1'!$G761&gt;40000,"Premium",
 IF(' car_sales_data 1'!$G761&gt;=20000,"Mid Range","Budget"))</f>
        <v>Mid Range</v>
      </c>
      <c r="L761" s="13">
        <f>YEAR(TODAY())-' car_sales_data 1'!$F761</f>
        <v>6</v>
      </c>
    </row>
    <row r="762" ht="15.75" customHeight="1">
      <c r="A762" s="16">
        <v>44757.0</v>
      </c>
      <c r="B762" s="13" t="s">
        <v>1553</v>
      </c>
      <c r="C762" s="13" t="s">
        <v>1554</v>
      </c>
      <c r="D762" s="13" t="s">
        <v>10</v>
      </c>
      <c r="E762" s="13" t="s">
        <v>62</v>
      </c>
      <c r="F762" s="13">
        <v>2015.0</v>
      </c>
      <c r="G762" s="13">
        <v>18778.0</v>
      </c>
      <c r="H762" s="13">
        <v>1427.8</v>
      </c>
      <c r="I762" s="13">
        <f>' car_sales_data 1'!$G762*0.2</f>
        <v>3755.6</v>
      </c>
      <c r="J762" s="13" t="str">
        <f>TEXT(' car_sales_data 1'!$A762,"mmmm")</f>
        <v>July</v>
      </c>
      <c r="K762" s="13" t="str">
        <f>IF(' car_sales_data 1'!$G762&gt;40000,"Premium",
 IF(' car_sales_data 1'!$G762&gt;=20000,"Mid Range","Budget"))</f>
        <v>Budget</v>
      </c>
      <c r="L762" s="13">
        <f>YEAR(TODAY())-' car_sales_data 1'!$F762</f>
        <v>10</v>
      </c>
    </row>
    <row r="763" ht="15.75" customHeight="1">
      <c r="A763" s="16">
        <v>44964.0</v>
      </c>
      <c r="B763" s="13" t="s">
        <v>1555</v>
      </c>
      <c r="C763" s="13" t="s">
        <v>1556</v>
      </c>
      <c r="D763" s="13" t="s">
        <v>10</v>
      </c>
      <c r="E763" s="13" t="s">
        <v>57</v>
      </c>
      <c r="F763" s="13">
        <v>2020.0</v>
      </c>
      <c r="G763" s="13">
        <v>46032.0</v>
      </c>
      <c r="H763" s="13">
        <v>4594.86</v>
      </c>
      <c r="I763" s="13">
        <f>' car_sales_data 1'!$G763*0.2</f>
        <v>9206.4</v>
      </c>
      <c r="J763" s="13" t="str">
        <f>TEXT(' car_sales_data 1'!$A763,"mmmm")</f>
        <v>February</v>
      </c>
      <c r="K763" s="13" t="str">
        <f>IF(' car_sales_data 1'!$G763&gt;40000,"Premium",
 IF(' car_sales_data 1'!$G763&gt;=20000,"Mid Range","Budget"))</f>
        <v>Premium</v>
      </c>
      <c r="L763" s="13">
        <f>YEAR(TODAY())-' car_sales_data 1'!$F763</f>
        <v>5</v>
      </c>
    </row>
    <row r="764" ht="15.75" customHeight="1">
      <c r="A764" s="16">
        <v>45004.0</v>
      </c>
      <c r="B764" s="13" t="s">
        <v>1557</v>
      </c>
      <c r="C764" s="13" t="s">
        <v>1558</v>
      </c>
      <c r="D764" s="13" t="s">
        <v>8</v>
      </c>
      <c r="E764" s="13" t="s">
        <v>57</v>
      </c>
      <c r="F764" s="13">
        <v>2014.0</v>
      </c>
      <c r="G764" s="13">
        <v>45521.0</v>
      </c>
      <c r="H764" s="13">
        <v>3131.04</v>
      </c>
      <c r="I764" s="13">
        <f>' car_sales_data 1'!$G764*0.2</f>
        <v>9104.2</v>
      </c>
      <c r="J764" s="13" t="str">
        <f>TEXT(' car_sales_data 1'!$A764,"mmmm")</f>
        <v>March</v>
      </c>
      <c r="K764" s="13" t="str">
        <f>IF(' car_sales_data 1'!$G764&gt;40000,"Premium",
 IF(' car_sales_data 1'!$G764&gt;=20000,"Mid Range","Budget"))</f>
        <v>Premium</v>
      </c>
      <c r="L764" s="13">
        <f>YEAR(TODAY())-' car_sales_data 1'!$F764</f>
        <v>11</v>
      </c>
    </row>
    <row r="765" ht="15.75" customHeight="1">
      <c r="A765" s="16">
        <v>44907.0</v>
      </c>
      <c r="B765" s="13" t="s">
        <v>1559</v>
      </c>
      <c r="C765" s="13" t="s">
        <v>1560</v>
      </c>
      <c r="D765" s="13" t="s">
        <v>12</v>
      </c>
      <c r="E765" s="13" t="s">
        <v>70</v>
      </c>
      <c r="F765" s="13">
        <v>2018.0</v>
      </c>
      <c r="G765" s="13">
        <v>18717.0</v>
      </c>
      <c r="H765" s="13">
        <v>1670.89</v>
      </c>
      <c r="I765" s="13">
        <f>' car_sales_data 1'!$G765*0.2</f>
        <v>3743.4</v>
      </c>
      <c r="J765" s="13" t="str">
        <f>TEXT(' car_sales_data 1'!$A765,"mmmm")</f>
        <v>December</v>
      </c>
      <c r="K765" s="13" t="str">
        <f>IF(' car_sales_data 1'!$G765&gt;40000,"Premium",
 IF(' car_sales_data 1'!$G765&gt;=20000,"Mid Range","Budget"))</f>
        <v>Budget</v>
      </c>
      <c r="L765" s="13">
        <f>YEAR(TODAY())-' car_sales_data 1'!$F765</f>
        <v>7</v>
      </c>
    </row>
    <row r="766" ht="15.75" customHeight="1">
      <c r="A766" s="16">
        <v>45047.0</v>
      </c>
      <c r="B766" s="13" t="s">
        <v>1561</v>
      </c>
      <c r="C766" s="13" t="s">
        <v>1562</v>
      </c>
      <c r="D766" s="13" t="s">
        <v>6</v>
      </c>
      <c r="E766" s="13" t="s">
        <v>70</v>
      </c>
      <c r="F766" s="13">
        <v>2014.0</v>
      </c>
      <c r="G766" s="13">
        <v>18736.0</v>
      </c>
      <c r="H766" s="13">
        <v>1470.08</v>
      </c>
      <c r="I766" s="13">
        <f>' car_sales_data 1'!$G766*0.2</f>
        <v>3747.2</v>
      </c>
      <c r="J766" s="13" t="str">
        <f>TEXT(' car_sales_data 1'!$A766,"mmmm")</f>
        <v>May</v>
      </c>
      <c r="K766" s="13" t="str">
        <f>IF(' car_sales_data 1'!$G766&gt;40000,"Premium",
 IF(' car_sales_data 1'!$G766&gt;=20000,"Mid Range","Budget"))</f>
        <v>Budget</v>
      </c>
      <c r="L766" s="13">
        <f>YEAR(TODAY())-' car_sales_data 1'!$F766</f>
        <v>11</v>
      </c>
    </row>
    <row r="767" ht="15.75" customHeight="1">
      <c r="A767" s="16">
        <v>44899.0</v>
      </c>
      <c r="B767" s="13" t="s">
        <v>1563</v>
      </c>
      <c r="C767" s="13" t="s">
        <v>1564</v>
      </c>
      <c r="D767" s="13" t="s">
        <v>10</v>
      </c>
      <c r="E767" s="13" t="s">
        <v>62</v>
      </c>
      <c r="F767" s="13">
        <v>2021.0</v>
      </c>
      <c r="G767" s="13">
        <v>39490.0</v>
      </c>
      <c r="H767" s="13">
        <v>4389.57</v>
      </c>
      <c r="I767" s="13">
        <f>' car_sales_data 1'!$G767*0.2</f>
        <v>7898</v>
      </c>
      <c r="J767" s="13" t="str">
        <f>TEXT(' car_sales_data 1'!$A767,"mmmm")</f>
        <v>December</v>
      </c>
      <c r="K767" s="13" t="str">
        <f>IF(' car_sales_data 1'!$G767&gt;40000,"Premium",
 IF(' car_sales_data 1'!$G767&gt;=20000,"Mid Range","Budget"))</f>
        <v>Mid Range</v>
      </c>
      <c r="L767" s="13">
        <f>YEAR(TODAY())-' car_sales_data 1'!$F767</f>
        <v>4</v>
      </c>
    </row>
    <row r="768" ht="15.75" customHeight="1">
      <c r="A768" s="16">
        <v>44919.0</v>
      </c>
      <c r="B768" s="13" t="s">
        <v>1565</v>
      </c>
      <c r="C768" s="13" t="s">
        <v>1566</v>
      </c>
      <c r="D768" s="13" t="s">
        <v>14</v>
      </c>
      <c r="E768" s="13" t="s">
        <v>54</v>
      </c>
      <c r="F768" s="13">
        <v>2016.0</v>
      </c>
      <c r="G768" s="13">
        <v>29498.0</v>
      </c>
      <c r="H768" s="13">
        <v>2155.64</v>
      </c>
      <c r="I768" s="13">
        <f>' car_sales_data 1'!$G768*0.2</f>
        <v>5899.6</v>
      </c>
      <c r="J768" s="13" t="str">
        <f>TEXT(' car_sales_data 1'!$A768,"mmmm")</f>
        <v>December</v>
      </c>
      <c r="K768" s="13" t="str">
        <f>IF(' car_sales_data 1'!$G768&gt;40000,"Premium",
 IF(' car_sales_data 1'!$G768&gt;=20000,"Mid Range","Budget"))</f>
        <v>Mid Range</v>
      </c>
      <c r="L768" s="13">
        <f>YEAR(TODAY())-' car_sales_data 1'!$F768</f>
        <v>9</v>
      </c>
    </row>
    <row r="769" ht="15.75" customHeight="1">
      <c r="A769" s="16">
        <v>44942.0</v>
      </c>
      <c r="B769" s="13" t="s">
        <v>1567</v>
      </c>
      <c r="C769" s="13" t="s">
        <v>1568</v>
      </c>
      <c r="D769" s="13" t="s">
        <v>12</v>
      </c>
      <c r="E769" s="13" t="s">
        <v>62</v>
      </c>
      <c r="F769" s="13">
        <v>2020.0</v>
      </c>
      <c r="G769" s="13">
        <v>47219.0</v>
      </c>
      <c r="H769" s="13">
        <v>4531.18</v>
      </c>
      <c r="I769" s="13">
        <f>' car_sales_data 1'!$G769*0.2</f>
        <v>9443.8</v>
      </c>
      <c r="J769" s="13" t="str">
        <f>TEXT(' car_sales_data 1'!$A769,"mmmm")</f>
        <v>January</v>
      </c>
      <c r="K769" s="13" t="str">
        <f>IF(' car_sales_data 1'!$G769&gt;40000,"Premium",
 IF(' car_sales_data 1'!$G769&gt;=20000,"Mid Range","Budget"))</f>
        <v>Premium</v>
      </c>
      <c r="L769" s="13">
        <f>YEAR(TODAY())-' car_sales_data 1'!$F769</f>
        <v>5</v>
      </c>
    </row>
    <row r="770" ht="15.75" customHeight="1">
      <c r="A770" s="16">
        <v>44956.0</v>
      </c>
      <c r="B770" s="13" t="s">
        <v>1569</v>
      </c>
      <c r="C770" s="13" t="s">
        <v>1570</v>
      </c>
      <c r="D770" s="13" t="s">
        <v>6</v>
      </c>
      <c r="E770" s="13" t="s">
        <v>54</v>
      </c>
      <c r="F770" s="13">
        <v>2016.0</v>
      </c>
      <c r="G770" s="13">
        <v>45100.0</v>
      </c>
      <c r="H770" s="13">
        <v>5775.5</v>
      </c>
      <c r="I770" s="13">
        <f>' car_sales_data 1'!$G770*0.2</f>
        <v>9020</v>
      </c>
      <c r="J770" s="13" t="str">
        <f>TEXT(' car_sales_data 1'!$A770,"mmmm")</f>
        <v>January</v>
      </c>
      <c r="K770" s="13" t="str">
        <f>IF(' car_sales_data 1'!$G770&gt;40000,"Premium",
 IF(' car_sales_data 1'!$G770&gt;=20000,"Mid Range","Budget"))</f>
        <v>Premium</v>
      </c>
      <c r="L770" s="13">
        <f>YEAR(TODAY())-' car_sales_data 1'!$F770</f>
        <v>9</v>
      </c>
    </row>
    <row r="771" ht="15.75" customHeight="1">
      <c r="A771" s="16">
        <v>44993.0</v>
      </c>
      <c r="B771" s="13" t="s">
        <v>1571</v>
      </c>
      <c r="C771" s="13" t="s">
        <v>1572</v>
      </c>
      <c r="D771" s="13" t="s">
        <v>6</v>
      </c>
      <c r="E771" s="13" t="s">
        <v>70</v>
      </c>
      <c r="F771" s="13">
        <v>2011.0</v>
      </c>
      <c r="G771" s="13">
        <v>48755.0</v>
      </c>
      <c r="H771" s="13">
        <v>5565.45</v>
      </c>
      <c r="I771" s="13">
        <f>' car_sales_data 1'!$G771*0.2</f>
        <v>9751</v>
      </c>
      <c r="J771" s="13" t="str">
        <f>TEXT(' car_sales_data 1'!$A771,"mmmm")</f>
        <v>March</v>
      </c>
      <c r="K771" s="13" t="str">
        <f>IF(' car_sales_data 1'!$G771&gt;40000,"Premium",
 IF(' car_sales_data 1'!$G771&gt;=20000,"Mid Range","Budget"))</f>
        <v>Premium</v>
      </c>
      <c r="L771" s="13">
        <f>YEAR(TODAY())-' car_sales_data 1'!$F771</f>
        <v>14</v>
      </c>
    </row>
    <row r="772" ht="15.75" customHeight="1">
      <c r="A772" s="16">
        <v>44950.0</v>
      </c>
      <c r="B772" s="13" t="s">
        <v>1573</v>
      </c>
      <c r="C772" s="13" t="s">
        <v>1574</v>
      </c>
      <c r="D772" s="13" t="s">
        <v>8</v>
      </c>
      <c r="E772" s="13" t="s">
        <v>54</v>
      </c>
      <c r="F772" s="13">
        <v>2015.0</v>
      </c>
      <c r="G772" s="13">
        <v>41863.0</v>
      </c>
      <c r="H772" s="13">
        <v>5115.53</v>
      </c>
      <c r="I772" s="13">
        <f>' car_sales_data 1'!$G772*0.2</f>
        <v>8372.6</v>
      </c>
      <c r="J772" s="13" t="str">
        <f>TEXT(' car_sales_data 1'!$A772,"mmmm")</f>
        <v>January</v>
      </c>
      <c r="K772" s="13" t="str">
        <f>IF(' car_sales_data 1'!$G772&gt;40000,"Premium",
 IF(' car_sales_data 1'!$G772&gt;=20000,"Mid Range","Budget"))</f>
        <v>Premium</v>
      </c>
      <c r="L772" s="13">
        <f>YEAR(TODAY())-' car_sales_data 1'!$F772</f>
        <v>10</v>
      </c>
    </row>
    <row r="773" ht="15.75" customHeight="1">
      <c r="A773" s="16">
        <v>44772.0</v>
      </c>
      <c r="B773" s="13" t="s">
        <v>1244</v>
      </c>
      <c r="C773" s="13" t="s">
        <v>1575</v>
      </c>
      <c r="D773" s="13" t="s">
        <v>8</v>
      </c>
      <c r="E773" s="13" t="s">
        <v>51</v>
      </c>
      <c r="F773" s="13">
        <v>2015.0</v>
      </c>
      <c r="G773" s="13">
        <v>19183.0</v>
      </c>
      <c r="H773" s="13">
        <v>2439.34</v>
      </c>
      <c r="I773" s="13">
        <f>' car_sales_data 1'!$G773*0.2</f>
        <v>3836.6</v>
      </c>
      <c r="J773" s="13" t="str">
        <f>TEXT(' car_sales_data 1'!$A773,"mmmm")</f>
        <v>July</v>
      </c>
      <c r="K773" s="13" t="str">
        <f>IF(' car_sales_data 1'!$G773&gt;40000,"Premium",
 IF(' car_sales_data 1'!$G773&gt;=20000,"Mid Range","Budget"))</f>
        <v>Budget</v>
      </c>
      <c r="L773" s="13">
        <f>YEAR(TODAY())-' car_sales_data 1'!$F773</f>
        <v>10</v>
      </c>
    </row>
    <row r="774" ht="15.75" customHeight="1">
      <c r="A774" s="16">
        <v>44984.0</v>
      </c>
      <c r="B774" s="13" t="s">
        <v>1576</v>
      </c>
      <c r="C774" s="13" t="s">
        <v>1577</v>
      </c>
      <c r="D774" s="13" t="s">
        <v>10</v>
      </c>
      <c r="E774" s="13" t="s">
        <v>57</v>
      </c>
      <c r="F774" s="13">
        <v>2019.0</v>
      </c>
      <c r="G774" s="13">
        <v>46303.0</v>
      </c>
      <c r="H774" s="13">
        <v>3650.05</v>
      </c>
      <c r="I774" s="13">
        <f>' car_sales_data 1'!$G774*0.2</f>
        <v>9260.6</v>
      </c>
      <c r="J774" s="13" t="str">
        <f>TEXT(' car_sales_data 1'!$A774,"mmmm")</f>
        <v>February</v>
      </c>
      <c r="K774" s="13" t="str">
        <f>IF(' car_sales_data 1'!$G774&gt;40000,"Premium",
 IF(' car_sales_data 1'!$G774&gt;=20000,"Mid Range","Budget"))</f>
        <v>Premium</v>
      </c>
      <c r="L774" s="13">
        <f>YEAR(TODAY())-' car_sales_data 1'!$F774</f>
        <v>6</v>
      </c>
    </row>
    <row r="775" ht="15.75" customHeight="1">
      <c r="A775" s="16">
        <v>44687.0</v>
      </c>
      <c r="B775" s="13" t="s">
        <v>1578</v>
      </c>
      <c r="C775" s="13" t="s">
        <v>1579</v>
      </c>
      <c r="D775" s="13" t="s">
        <v>8</v>
      </c>
      <c r="E775" s="13" t="s">
        <v>70</v>
      </c>
      <c r="F775" s="13">
        <v>2020.0</v>
      </c>
      <c r="G775" s="13">
        <v>45321.0</v>
      </c>
      <c r="H775" s="13">
        <v>5787.15</v>
      </c>
      <c r="I775" s="13">
        <f>' car_sales_data 1'!$G775*0.2</f>
        <v>9064.2</v>
      </c>
      <c r="J775" s="13" t="str">
        <f>TEXT(' car_sales_data 1'!$A775,"mmmm")</f>
        <v>May</v>
      </c>
      <c r="K775" s="13" t="str">
        <f>IF(' car_sales_data 1'!$G775&gt;40000,"Premium",
 IF(' car_sales_data 1'!$G775&gt;=20000,"Mid Range","Budget"))</f>
        <v>Premium</v>
      </c>
      <c r="L775" s="13">
        <f>YEAR(TODAY())-' car_sales_data 1'!$F775</f>
        <v>5</v>
      </c>
    </row>
    <row r="776" ht="15.75" customHeight="1">
      <c r="A776" s="16">
        <v>44805.0</v>
      </c>
      <c r="B776" s="13" t="s">
        <v>1580</v>
      </c>
      <c r="C776" s="13" t="s">
        <v>1581</v>
      </c>
      <c r="D776" s="13" t="s">
        <v>12</v>
      </c>
      <c r="E776" s="13" t="s">
        <v>51</v>
      </c>
      <c r="F776" s="13">
        <v>2010.0</v>
      </c>
      <c r="G776" s="13">
        <v>22113.0</v>
      </c>
      <c r="H776" s="13">
        <v>1586.33</v>
      </c>
      <c r="I776" s="13">
        <f>' car_sales_data 1'!$G776*0.2</f>
        <v>4422.6</v>
      </c>
      <c r="J776" s="13" t="str">
        <f>TEXT(' car_sales_data 1'!$A776,"mmmm")</f>
        <v>September</v>
      </c>
      <c r="K776" s="13" t="str">
        <f>IF(' car_sales_data 1'!$G776&gt;40000,"Premium",
 IF(' car_sales_data 1'!$G776&gt;=20000,"Mid Range","Budget"))</f>
        <v>Mid Range</v>
      </c>
      <c r="L776" s="13">
        <f>YEAR(TODAY())-' car_sales_data 1'!$F776</f>
        <v>15</v>
      </c>
    </row>
    <row r="777" ht="15.75" customHeight="1">
      <c r="A777" s="16">
        <v>44953.0</v>
      </c>
      <c r="B777" s="13" t="s">
        <v>1582</v>
      </c>
      <c r="C777" s="13" t="s">
        <v>1583</v>
      </c>
      <c r="D777" s="13" t="s">
        <v>8</v>
      </c>
      <c r="E777" s="13" t="s">
        <v>54</v>
      </c>
      <c r="F777" s="13">
        <v>2013.0</v>
      </c>
      <c r="G777" s="13">
        <v>33901.0</v>
      </c>
      <c r="H777" s="13">
        <v>3824.92</v>
      </c>
      <c r="I777" s="13">
        <f>' car_sales_data 1'!$G777*0.2</f>
        <v>6780.2</v>
      </c>
      <c r="J777" s="13" t="str">
        <f>TEXT(' car_sales_data 1'!$A777,"mmmm")</f>
        <v>January</v>
      </c>
      <c r="K777" s="13" t="str">
        <f>IF(' car_sales_data 1'!$G777&gt;40000,"Premium",
 IF(' car_sales_data 1'!$G777&gt;=20000,"Mid Range","Budget"))</f>
        <v>Mid Range</v>
      </c>
      <c r="L777" s="13">
        <f>YEAR(TODAY())-' car_sales_data 1'!$F777</f>
        <v>12</v>
      </c>
    </row>
    <row r="778" ht="15.75" customHeight="1">
      <c r="A778" s="16">
        <v>44694.0</v>
      </c>
      <c r="B778" s="13" t="s">
        <v>17</v>
      </c>
      <c r="C778" s="13" t="s">
        <v>1584</v>
      </c>
      <c r="D778" s="13" t="s">
        <v>8</v>
      </c>
      <c r="E778" s="13" t="s">
        <v>62</v>
      </c>
      <c r="F778" s="13">
        <v>2013.0</v>
      </c>
      <c r="G778" s="13">
        <v>46053.0</v>
      </c>
      <c r="H778" s="13">
        <v>6482.87</v>
      </c>
      <c r="I778" s="13">
        <f>' car_sales_data 1'!$G778*0.2</f>
        <v>9210.6</v>
      </c>
      <c r="J778" s="13" t="str">
        <f>TEXT(' car_sales_data 1'!$A778,"mmmm")</f>
        <v>May</v>
      </c>
      <c r="K778" s="13" t="str">
        <f>IF(' car_sales_data 1'!$G778&gt;40000,"Premium",
 IF(' car_sales_data 1'!$G778&gt;=20000,"Mid Range","Budget"))</f>
        <v>Premium</v>
      </c>
      <c r="L778" s="13">
        <f>YEAR(TODAY())-' car_sales_data 1'!$F778</f>
        <v>12</v>
      </c>
    </row>
    <row r="779" ht="15.75" customHeight="1">
      <c r="A779" s="16">
        <v>44815.0</v>
      </c>
      <c r="B779" s="13" t="s">
        <v>1585</v>
      </c>
      <c r="C779" s="13" t="s">
        <v>1586</v>
      </c>
      <c r="D779" s="13" t="s">
        <v>14</v>
      </c>
      <c r="E779" s="13" t="s">
        <v>57</v>
      </c>
      <c r="F779" s="13">
        <v>2019.0</v>
      </c>
      <c r="G779" s="13">
        <v>22170.0</v>
      </c>
      <c r="H779" s="13">
        <v>2573.59</v>
      </c>
      <c r="I779" s="13">
        <f>' car_sales_data 1'!$G779*0.2</f>
        <v>4434</v>
      </c>
      <c r="J779" s="13" t="str">
        <f>TEXT(' car_sales_data 1'!$A779,"mmmm")</f>
        <v>September</v>
      </c>
      <c r="K779" s="13" t="str">
        <f>IF(' car_sales_data 1'!$G779&gt;40000,"Premium",
 IF(' car_sales_data 1'!$G779&gt;=20000,"Mid Range","Budget"))</f>
        <v>Mid Range</v>
      </c>
      <c r="L779" s="13">
        <f>YEAR(TODAY())-' car_sales_data 1'!$F779</f>
        <v>6</v>
      </c>
    </row>
    <row r="780" ht="15.75" customHeight="1">
      <c r="A780" s="16">
        <v>44817.0</v>
      </c>
      <c r="B780" s="13" t="s">
        <v>1587</v>
      </c>
      <c r="C780" s="13" t="s">
        <v>1588</v>
      </c>
      <c r="D780" s="13" t="s">
        <v>6</v>
      </c>
      <c r="E780" s="13" t="s">
        <v>51</v>
      </c>
      <c r="F780" s="13">
        <v>2016.0</v>
      </c>
      <c r="G780" s="13">
        <v>33534.0</v>
      </c>
      <c r="H780" s="13">
        <v>3367.45</v>
      </c>
      <c r="I780" s="13">
        <f>' car_sales_data 1'!$G780*0.2</f>
        <v>6706.8</v>
      </c>
      <c r="J780" s="13" t="str">
        <f>TEXT(' car_sales_data 1'!$A780,"mmmm")</f>
        <v>September</v>
      </c>
      <c r="K780" s="13" t="str">
        <f>IF(' car_sales_data 1'!$G780&gt;40000,"Premium",
 IF(' car_sales_data 1'!$G780&gt;=20000,"Mid Range","Budget"))</f>
        <v>Mid Range</v>
      </c>
      <c r="L780" s="13">
        <f>YEAR(TODAY())-' car_sales_data 1'!$F780</f>
        <v>9</v>
      </c>
    </row>
    <row r="781" ht="15.75" customHeight="1">
      <c r="A781" s="16">
        <v>44946.0</v>
      </c>
      <c r="B781" s="13" t="s">
        <v>1589</v>
      </c>
      <c r="C781" s="13" t="s">
        <v>1590</v>
      </c>
      <c r="D781" s="13" t="s">
        <v>14</v>
      </c>
      <c r="E781" s="13" t="s">
        <v>57</v>
      </c>
      <c r="F781" s="13">
        <v>2017.0</v>
      </c>
      <c r="G781" s="13">
        <v>29607.0</v>
      </c>
      <c r="H781" s="13">
        <v>2616.5</v>
      </c>
      <c r="I781" s="13">
        <f>' car_sales_data 1'!$G781*0.2</f>
        <v>5921.4</v>
      </c>
      <c r="J781" s="13" t="str">
        <f>TEXT(' car_sales_data 1'!$A781,"mmmm")</f>
        <v>January</v>
      </c>
      <c r="K781" s="13" t="str">
        <f>IF(' car_sales_data 1'!$G781&gt;40000,"Premium",
 IF(' car_sales_data 1'!$G781&gt;=20000,"Mid Range","Budget"))</f>
        <v>Mid Range</v>
      </c>
      <c r="L781" s="13">
        <f>YEAR(TODAY())-' car_sales_data 1'!$F781</f>
        <v>8</v>
      </c>
    </row>
    <row r="782" ht="15.75" customHeight="1">
      <c r="A782" s="16">
        <v>44714.0</v>
      </c>
      <c r="B782" s="13" t="s">
        <v>1591</v>
      </c>
      <c r="C782" s="13" t="s">
        <v>1592</v>
      </c>
      <c r="D782" s="13" t="s">
        <v>8</v>
      </c>
      <c r="E782" s="13" t="s">
        <v>57</v>
      </c>
      <c r="F782" s="13">
        <v>2014.0</v>
      </c>
      <c r="G782" s="13">
        <v>47209.0</v>
      </c>
      <c r="H782" s="13">
        <v>2963.85</v>
      </c>
      <c r="I782" s="13">
        <f>' car_sales_data 1'!$G782*0.2</f>
        <v>9441.8</v>
      </c>
      <c r="J782" s="13" t="str">
        <f>TEXT(' car_sales_data 1'!$A782,"mmmm")</f>
        <v>June</v>
      </c>
      <c r="K782" s="13" t="str">
        <f>IF(' car_sales_data 1'!$G782&gt;40000,"Premium",
 IF(' car_sales_data 1'!$G782&gt;=20000,"Mid Range","Budget"))</f>
        <v>Premium</v>
      </c>
      <c r="L782" s="13">
        <f>YEAR(TODAY())-' car_sales_data 1'!$F782</f>
        <v>11</v>
      </c>
    </row>
    <row r="783" ht="15.75" customHeight="1">
      <c r="A783" s="16">
        <v>44841.0</v>
      </c>
      <c r="B783" s="13" t="s">
        <v>1593</v>
      </c>
      <c r="C783" s="13" t="s">
        <v>1594</v>
      </c>
      <c r="D783" s="13" t="s">
        <v>10</v>
      </c>
      <c r="E783" s="13" t="s">
        <v>57</v>
      </c>
      <c r="F783" s="13">
        <v>2010.0</v>
      </c>
      <c r="G783" s="13">
        <v>18074.0</v>
      </c>
      <c r="H783" s="13">
        <v>1932.37</v>
      </c>
      <c r="I783" s="13">
        <f>' car_sales_data 1'!$G783*0.2</f>
        <v>3614.8</v>
      </c>
      <c r="J783" s="13" t="str">
        <f>TEXT(' car_sales_data 1'!$A783,"mmmm")</f>
        <v>October</v>
      </c>
      <c r="K783" s="13" t="str">
        <f>IF(' car_sales_data 1'!$G783&gt;40000,"Premium",
 IF(' car_sales_data 1'!$G783&gt;=20000,"Mid Range","Budget"))</f>
        <v>Budget</v>
      </c>
      <c r="L783" s="13">
        <f>YEAR(TODAY())-' car_sales_data 1'!$F783</f>
        <v>15</v>
      </c>
    </row>
    <row r="784" ht="15.75" customHeight="1">
      <c r="A784" s="16">
        <v>44729.0</v>
      </c>
      <c r="B784" s="13" t="s">
        <v>1595</v>
      </c>
      <c r="C784" s="13" t="s">
        <v>1596</v>
      </c>
      <c r="D784" s="13" t="s">
        <v>8</v>
      </c>
      <c r="E784" s="13" t="s">
        <v>62</v>
      </c>
      <c r="F784" s="13">
        <v>2017.0</v>
      </c>
      <c r="G784" s="13">
        <v>31220.0</v>
      </c>
      <c r="H784" s="13">
        <v>1862.52</v>
      </c>
      <c r="I784" s="13">
        <f>' car_sales_data 1'!$G784*0.2</f>
        <v>6244</v>
      </c>
      <c r="J784" s="13" t="str">
        <f>TEXT(' car_sales_data 1'!$A784,"mmmm")</f>
        <v>June</v>
      </c>
      <c r="K784" s="13" t="str">
        <f>IF(' car_sales_data 1'!$G784&gt;40000,"Premium",
 IF(' car_sales_data 1'!$G784&gt;=20000,"Mid Range","Budget"))</f>
        <v>Mid Range</v>
      </c>
      <c r="L784" s="13">
        <f>YEAR(TODAY())-' car_sales_data 1'!$F784</f>
        <v>8</v>
      </c>
    </row>
    <row r="785" ht="15.75" customHeight="1">
      <c r="A785" s="16">
        <v>44765.0</v>
      </c>
      <c r="B785" s="13" t="s">
        <v>1597</v>
      </c>
      <c r="C785" s="13" t="s">
        <v>1598</v>
      </c>
      <c r="D785" s="13" t="s">
        <v>12</v>
      </c>
      <c r="E785" s="13" t="s">
        <v>51</v>
      </c>
      <c r="F785" s="13">
        <v>2021.0</v>
      </c>
      <c r="G785" s="13">
        <v>49877.0</v>
      </c>
      <c r="H785" s="13">
        <v>2534.66</v>
      </c>
      <c r="I785" s="13">
        <f>' car_sales_data 1'!$G785*0.2</f>
        <v>9975.4</v>
      </c>
      <c r="J785" s="13" t="str">
        <f>TEXT(' car_sales_data 1'!$A785,"mmmm")</f>
        <v>July</v>
      </c>
      <c r="K785" s="13" t="str">
        <f>IF(' car_sales_data 1'!$G785&gt;40000,"Premium",
 IF(' car_sales_data 1'!$G785&gt;=20000,"Mid Range","Budget"))</f>
        <v>Premium</v>
      </c>
      <c r="L785" s="13">
        <f>YEAR(TODAY())-' car_sales_data 1'!$F785</f>
        <v>4</v>
      </c>
    </row>
    <row r="786" ht="15.75" customHeight="1">
      <c r="A786" s="16">
        <v>44996.0</v>
      </c>
      <c r="B786" s="13" t="s">
        <v>1599</v>
      </c>
      <c r="C786" s="13" t="s">
        <v>1600</v>
      </c>
      <c r="D786" s="13" t="s">
        <v>6</v>
      </c>
      <c r="E786" s="13" t="s">
        <v>70</v>
      </c>
      <c r="F786" s="13">
        <v>2019.0</v>
      </c>
      <c r="G786" s="13">
        <v>28858.0</v>
      </c>
      <c r="H786" s="13">
        <v>2532.46</v>
      </c>
      <c r="I786" s="13">
        <f>' car_sales_data 1'!$G786*0.2</f>
        <v>5771.6</v>
      </c>
      <c r="J786" s="13" t="str">
        <f>TEXT(' car_sales_data 1'!$A786,"mmmm")</f>
        <v>March</v>
      </c>
      <c r="K786" s="13" t="str">
        <f>IF(' car_sales_data 1'!$G786&gt;40000,"Premium",
 IF(' car_sales_data 1'!$G786&gt;=20000,"Mid Range","Budget"))</f>
        <v>Mid Range</v>
      </c>
      <c r="L786" s="13">
        <f>YEAR(TODAY())-' car_sales_data 1'!$F786</f>
        <v>6</v>
      </c>
    </row>
    <row r="787" ht="15.75" customHeight="1">
      <c r="A787" s="16">
        <v>45022.0</v>
      </c>
      <c r="B787" s="13" t="s">
        <v>1601</v>
      </c>
      <c r="C787" s="13" t="s">
        <v>1602</v>
      </c>
      <c r="D787" s="13" t="s">
        <v>12</v>
      </c>
      <c r="E787" s="13" t="s">
        <v>70</v>
      </c>
      <c r="F787" s="13">
        <v>2011.0</v>
      </c>
      <c r="G787" s="13">
        <v>14327.0</v>
      </c>
      <c r="H787" s="13">
        <v>1163.5</v>
      </c>
      <c r="I787" s="13">
        <f>' car_sales_data 1'!$G787*0.2</f>
        <v>2865.4</v>
      </c>
      <c r="J787" s="13" t="str">
        <f>TEXT(' car_sales_data 1'!$A787,"mmmm")</f>
        <v>April</v>
      </c>
      <c r="K787" s="13" t="str">
        <f>IF(' car_sales_data 1'!$G787&gt;40000,"Premium",
 IF(' car_sales_data 1'!$G787&gt;=20000,"Mid Range","Budget"))</f>
        <v>Budget</v>
      </c>
      <c r="L787" s="13">
        <f>YEAR(TODAY())-' car_sales_data 1'!$F787</f>
        <v>14</v>
      </c>
    </row>
    <row r="788" ht="15.75" customHeight="1">
      <c r="A788" s="16">
        <v>44709.0</v>
      </c>
      <c r="B788" s="13" t="s">
        <v>1603</v>
      </c>
      <c r="C788" s="13" t="s">
        <v>1604</v>
      </c>
      <c r="D788" s="13" t="s">
        <v>6</v>
      </c>
      <c r="E788" s="13" t="s">
        <v>51</v>
      </c>
      <c r="F788" s="13">
        <v>2016.0</v>
      </c>
      <c r="G788" s="13">
        <v>38031.0</v>
      </c>
      <c r="H788" s="13">
        <v>5675.18</v>
      </c>
      <c r="I788" s="13">
        <f>' car_sales_data 1'!$G788*0.2</f>
        <v>7606.2</v>
      </c>
      <c r="J788" s="13" t="str">
        <f>TEXT(' car_sales_data 1'!$A788,"mmmm")</f>
        <v>May</v>
      </c>
      <c r="K788" s="13" t="str">
        <f>IF(' car_sales_data 1'!$G788&gt;40000,"Premium",
 IF(' car_sales_data 1'!$G788&gt;=20000,"Mid Range","Budget"))</f>
        <v>Mid Range</v>
      </c>
      <c r="L788" s="13">
        <f>YEAR(TODAY())-' car_sales_data 1'!$F788</f>
        <v>9</v>
      </c>
    </row>
    <row r="789" ht="15.75" customHeight="1">
      <c r="A789" s="16">
        <v>44712.0</v>
      </c>
      <c r="B789" s="13" t="s">
        <v>1605</v>
      </c>
      <c r="C789" s="13" t="s">
        <v>1606</v>
      </c>
      <c r="D789" s="13" t="s">
        <v>12</v>
      </c>
      <c r="E789" s="13" t="s">
        <v>62</v>
      </c>
      <c r="F789" s="13">
        <v>2013.0</v>
      </c>
      <c r="G789" s="13">
        <v>38692.0</v>
      </c>
      <c r="H789" s="13">
        <v>2805.32</v>
      </c>
      <c r="I789" s="13">
        <f>' car_sales_data 1'!$G789*0.2</f>
        <v>7738.4</v>
      </c>
      <c r="J789" s="13" t="str">
        <f>TEXT(' car_sales_data 1'!$A789,"mmmm")</f>
        <v>May</v>
      </c>
      <c r="K789" s="13" t="str">
        <f>IF(' car_sales_data 1'!$G789&gt;40000,"Premium",
 IF(' car_sales_data 1'!$G789&gt;=20000,"Mid Range","Budget"))</f>
        <v>Mid Range</v>
      </c>
      <c r="L789" s="13">
        <f>YEAR(TODAY())-' car_sales_data 1'!$F789</f>
        <v>12</v>
      </c>
    </row>
    <row r="790" ht="15.75" customHeight="1">
      <c r="A790" s="16">
        <v>44770.0</v>
      </c>
      <c r="B790" s="13" t="s">
        <v>1607</v>
      </c>
      <c r="C790" s="13" t="s">
        <v>1608</v>
      </c>
      <c r="D790" s="13" t="s">
        <v>8</v>
      </c>
      <c r="E790" s="13" t="s">
        <v>70</v>
      </c>
      <c r="F790" s="13">
        <v>2019.0</v>
      </c>
      <c r="G790" s="13">
        <v>41606.0</v>
      </c>
      <c r="H790" s="13">
        <v>5374.77</v>
      </c>
      <c r="I790" s="13">
        <f>' car_sales_data 1'!$G790*0.2</f>
        <v>8321.2</v>
      </c>
      <c r="J790" s="13" t="str">
        <f>TEXT(' car_sales_data 1'!$A790,"mmmm")</f>
        <v>July</v>
      </c>
      <c r="K790" s="13" t="str">
        <f>IF(' car_sales_data 1'!$G790&gt;40000,"Premium",
 IF(' car_sales_data 1'!$G790&gt;=20000,"Mid Range","Budget"))</f>
        <v>Premium</v>
      </c>
      <c r="L790" s="13">
        <f>YEAR(TODAY())-' car_sales_data 1'!$F790</f>
        <v>6</v>
      </c>
    </row>
    <row r="791" ht="15.75" customHeight="1">
      <c r="A791" s="16">
        <v>44793.0</v>
      </c>
      <c r="B791" s="13" t="s">
        <v>1609</v>
      </c>
      <c r="C791" s="13" t="s">
        <v>1610</v>
      </c>
      <c r="D791" s="13" t="s">
        <v>8</v>
      </c>
      <c r="E791" s="13" t="s">
        <v>51</v>
      </c>
      <c r="F791" s="13">
        <v>2020.0</v>
      </c>
      <c r="G791" s="13">
        <v>26205.0</v>
      </c>
      <c r="H791" s="13">
        <v>3879.5</v>
      </c>
      <c r="I791" s="13">
        <f>' car_sales_data 1'!$G791*0.2</f>
        <v>5241</v>
      </c>
      <c r="J791" s="13" t="str">
        <f>TEXT(' car_sales_data 1'!$A791,"mmmm")</f>
        <v>August</v>
      </c>
      <c r="K791" s="13" t="str">
        <f>IF(' car_sales_data 1'!$G791&gt;40000,"Premium",
 IF(' car_sales_data 1'!$G791&gt;=20000,"Mid Range","Budget"))</f>
        <v>Mid Range</v>
      </c>
      <c r="L791" s="13">
        <f>YEAR(TODAY())-' car_sales_data 1'!$F791</f>
        <v>5</v>
      </c>
    </row>
    <row r="792" ht="15.75" customHeight="1">
      <c r="A792" s="16">
        <v>45014.0</v>
      </c>
      <c r="B792" s="13" t="s">
        <v>1611</v>
      </c>
      <c r="C792" s="13" t="s">
        <v>1612</v>
      </c>
      <c r="D792" s="13" t="s">
        <v>14</v>
      </c>
      <c r="E792" s="13" t="s">
        <v>57</v>
      </c>
      <c r="F792" s="13">
        <v>2012.0</v>
      </c>
      <c r="G792" s="13">
        <v>22821.0</v>
      </c>
      <c r="H792" s="13">
        <v>1801.81</v>
      </c>
      <c r="I792" s="13">
        <f>' car_sales_data 1'!$G792*0.2</f>
        <v>4564.2</v>
      </c>
      <c r="J792" s="13" t="str">
        <f>TEXT(' car_sales_data 1'!$A792,"mmmm")</f>
        <v>March</v>
      </c>
      <c r="K792" s="13" t="str">
        <f>IF(' car_sales_data 1'!$G792&gt;40000,"Premium",
 IF(' car_sales_data 1'!$G792&gt;=20000,"Mid Range","Budget"))</f>
        <v>Mid Range</v>
      </c>
      <c r="L792" s="13">
        <f>YEAR(TODAY())-' car_sales_data 1'!$F792</f>
        <v>13</v>
      </c>
    </row>
    <row r="793" ht="15.75" customHeight="1">
      <c r="A793" s="16">
        <v>45023.0</v>
      </c>
      <c r="B793" s="13" t="s">
        <v>1613</v>
      </c>
      <c r="C793" s="13" t="s">
        <v>1614</v>
      </c>
      <c r="D793" s="13" t="s">
        <v>8</v>
      </c>
      <c r="E793" s="13" t="s">
        <v>62</v>
      </c>
      <c r="F793" s="13">
        <v>2013.0</v>
      </c>
      <c r="G793" s="13">
        <v>31661.0</v>
      </c>
      <c r="H793" s="13">
        <v>2553.27</v>
      </c>
      <c r="I793" s="13">
        <f>' car_sales_data 1'!$G793*0.2</f>
        <v>6332.2</v>
      </c>
      <c r="J793" s="13" t="str">
        <f>TEXT(' car_sales_data 1'!$A793,"mmmm")</f>
        <v>April</v>
      </c>
      <c r="K793" s="13" t="str">
        <f>IF(' car_sales_data 1'!$G793&gt;40000,"Premium",
 IF(' car_sales_data 1'!$G793&gt;=20000,"Mid Range","Budget"))</f>
        <v>Mid Range</v>
      </c>
      <c r="L793" s="13">
        <f>YEAR(TODAY())-' car_sales_data 1'!$F793</f>
        <v>12</v>
      </c>
    </row>
    <row r="794" ht="15.75" customHeight="1">
      <c r="A794" s="16">
        <v>44724.0</v>
      </c>
      <c r="B794" s="13" t="s">
        <v>1615</v>
      </c>
      <c r="C794" s="13" t="s">
        <v>1616</v>
      </c>
      <c r="D794" s="13" t="s">
        <v>10</v>
      </c>
      <c r="E794" s="13" t="s">
        <v>51</v>
      </c>
      <c r="F794" s="13">
        <v>2020.0</v>
      </c>
      <c r="G794" s="13">
        <v>30418.0</v>
      </c>
      <c r="H794" s="13">
        <v>4547.56</v>
      </c>
      <c r="I794" s="13">
        <f>' car_sales_data 1'!$G794*0.2</f>
        <v>6083.6</v>
      </c>
      <c r="J794" s="13" t="str">
        <f>TEXT(' car_sales_data 1'!$A794,"mmmm")</f>
        <v>June</v>
      </c>
      <c r="K794" s="13" t="str">
        <f>IF(' car_sales_data 1'!$G794&gt;40000,"Premium",
 IF(' car_sales_data 1'!$G794&gt;=20000,"Mid Range","Budget"))</f>
        <v>Mid Range</v>
      </c>
      <c r="L794" s="13">
        <f>YEAR(TODAY())-' car_sales_data 1'!$F794</f>
        <v>5</v>
      </c>
    </row>
    <row r="795" ht="15.75" customHeight="1">
      <c r="A795" s="16">
        <v>44738.0</v>
      </c>
      <c r="B795" s="13" t="s">
        <v>1617</v>
      </c>
      <c r="C795" s="13" t="s">
        <v>1618</v>
      </c>
      <c r="D795" s="13" t="s">
        <v>12</v>
      </c>
      <c r="E795" s="13" t="s">
        <v>54</v>
      </c>
      <c r="F795" s="13">
        <v>2022.0</v>
      </c>
      <c r="G795" s="13">
        <v>24797.0</v>
      </c>
      <c r="H795" s="13">
        <v>3415.95</v>
      </c>
      <c r="I795" s="13">
        <f>' car_sales_data 1'!$G795*0.2</f>
        <v>4959.4</v>
      </c>
      <c r="J795" s="13" t="str">
        <f>TEXT(' car_sales_data 1'!$A795,"mmmm")</f>
        <v>June</v>
      </c>
      <c r="K795" s="13" t="str">
        <f>IF(' car_sales_data 1'!$G795&gt;40000,"Premium",
 IF(' car_sales_data 1'!$G795&gt;=20000,"Mid Range","Budget"))</f>
        <v>Mid Range</v>
      </c>
      <c r="L795" s="13">
        <f>YEAR(TODAY())-' car_sales_data 1'!$F795</f>
        <v>3</v>
      </c>
    </row>
    <row r="796" ht="15.75" customHeight="1">
      <c r="A796" s="16">
        <v>44963.0</v>
      </c>
      <c r="B796" s="13" t="s">
        <v>1619</v>
      </c>
      <c r="C796" s="13" t="s">
        <v>1620</v>
      </c>
      <c r="D796" s="13" t="s">
        <v>8</v>
      </c>
      <c r="E796" s="13" t="s">
        <v>62</v>
      </c>
      <c r="F796" s="13">
        <v>2010.0</v>
      </c>
      <c r="G796" s="13">
        <v>25608.0</v>
      </c>
      <c r="H796" s="13">
        <v>3233.93</v>
      </c>
      <c r="I796" s="13">
        <f>' car_sales_data 1'!$G796*0.2</f>
        <v>5121.6</v>
      </c>
      <c r="J796" s="13" t="str">
        <f>TEXT(' car_sales_data 1'!$A796,"mmmm")</f>
        <v>February</v>
      </c>
      <c r="K796" s="13" t="str">
        <f>IF(' car_sales_data 1'!$G796&gt;40000,"Premium",
 IF(' car_sales_data 1'!$G796&gt;=20000,"Mid Range","Budget"))</f>
        <v>Mid Range</v>
      </c>
      <c r="L796" s="13">
        <f>YEAR(TODAY())-' car_sales_data 1'!$F796</f>
        <v>15</v>
      </c>
    </row>
    <row r="797" ht="15.75" customHeight="1">
      <c r="A797" s="16">
        <v>44971.0</v>
      </c>
      <c r="B797" s="13" t="s">
        <v>1621</v>
      </c>
      <c r="C797" s="13" t="s">
        <v>1622</v>
      </c>
      <c r="D797" s="13" t="s">
        <v>8</v>
      </c>
      <c r="E797" s="13" t="s">
        <v>70</v>
      </c>
      <c r="F797" s="13">
        <v>2020.0</v>
      </c>
      <c r="G797" s="13">
        <v>45212.0</v>
      </c>
      <c r="H797" s="13">
        <v>5609.19</v>
      </c>
      <c r="I797" s="13">
        <f>' car_sales_data 1'!$G797*0.2</f>
        <v>9042.4</v>
      </c>
      <c r="J797" s="13" t="str">
        <f>TEXT(' car_sales_data 1'!$A797,"mmmm")</f>
        <v>February</v>
      </c>
      <c r="K797" s="13" t="str">
        <f>IF(' car_sales_data 1'!$G797&gt;40000,"Premium",
 IF(' car_sales_data 1'!$G797&gt;=20000,"Mid Range","Budget"))</f>
        <v>Premium</v>
      </c>
      <c r="L797" s="13">
        <f>YEAR(TODAY())-' car_sales_data 1'!$F797</f>
        <v>5</v>
      </c>
    </row>
    <row r="798" ht="15.75" customHeight="1">
      <c r="A798" s="16">
        <v>44950.0</v>
      </c>
      <c r="B798" s="13" t="s">
        <v>1623</v>
      </c>
      <c r="C798" s="13" t="s">
        <v>1624</v>
      </c>
      <c r="D798" s="13" t="s">
        <v>12</v>
      </c>
      <c r="E798" s="13" t="s">
        <v>51</v>
      </c>
      <c r="F798" s="13">
        <v>2011.0</v>
      </c>
      <c r="G798" s="13">
        <v>23307.0</v>
      </c>
      <c r="H798" s="13">
        <v>1744.3</v>
      </c>
      <c r="I798" s="13">
        <f>' car_sales_data 1'!$G798*0.2</f>
        <v>4661.4</v>
      </c>
      <c r="J798" s="13" t="str">
        <f>TEXT(' car_sales_data 1'!$A798,"mmmm")</f>
        <v>January</v>
      </c>
      <c r="K798" s="13" t="str">
        <f>IF(' car_sales_data 1'!$G798&gt;40000,"Premium",
 IF(' car_sales_data 1'!$G798&gt;=20000,"Mid Range","Budget"))</f>
        <v>Mid Range</v>
      </c>
      <c r="L798" s="13">
        <f>YEAR(TODAY())-' car_sales_data 1'!$F798</f>
        <v>14</v>
      </c>
    </row>
    <row r="799" ht="15.75" customHeight="1">
      <c r="A799" s="16">
        <v>44731.0</v>
      </c>
      <c r="B799" s="13" t="s">
        <v>1625</v>
      </c>
      <c r="C799" s="13" t="s">
        <v>1626</v>
      </c>
      <c r="D799" s="13" t="s">
        <v>8</v>
      </c>
      <c r="E799" s="13" t="s">
        <v>70</v>
      </c>
      <c r="F799" s="13">
        <v>2013.0</v>
      </c>
      <c r="G799" s="13">
        <v>25844.0</v>
      </c>
      <c r="H799" s="13">
        <v>1446.56</v>
      </c>
      <c r="I799" s="13">
        <f>' car_sales_data 1'!$G799*0.2</f>
        <v>5168.8</v>
      </c>
      <c r="J799" s="13" t="str">
        <f>TEXT(' car_sales_data 1'!$A799,"mmmm")</f>
        <v>June</v>
      </c>
      <c r="K799" s="13" t="str">
        <f>IF(' car_sales_data 1'!$G799&gt;40000,"Premium",
 IF(' car_sales_data 1'!$G799&gt;=20000,"Mid Range","Budget"))</f>
        <v>Mid Range</v>
      </c>
      <c r="L799" s="13">
        <f>YEAR(TODAY())-' car_sales_data 1'!$F799</f>
        <v>12</v>
      </c>
    </row>
    <row r="800" ht="15.75" customHeight="1">
      <c r="A800" s="16">
        <v>44768.0</v>
      </c>
      <c r="B800" s="13" t="s">
        <v>1627</v>
      </c>
      <c r="C800" s="13" t="s">
        <v>1628</v>
      </c>
      <c r="D800" s="13" t="s">
        <v>14</v>
      </c>
      <c r="E800" s="13" t="s">
        <v>57</v>
      </c>
      <c r="F800" s="13">
        <v>2016.0</v>
      </c>
      <c r="G800" s="13">
        <v>31947.0</v>
      </c>
      <c r="H800" s="13">
        <v>3627.82</v>
      </c>
      <c r="I800" s="13">
        <f>' car_sales_data 1'!$G800*0.2</f>
        <v>6389.4</v>
      </c>
      <c r="J800" s="13" t="str">
        <f>TEXT(' car_sales_data 1'!$A800,"mmmm")</f>
        <v>July</v>
      </c>
      <c r="K800" s="13" t="str">
        <f>IF(' car_sales_data 1'!$G800&gt;40000,"Premium",
 IF(' car_sales_data 1'!$G800&gt;=20000,"Mid Range","Budget"))</f>
        <v>Mid Range</v>
      </c>
      <c r="L800" s="13">
        <f>YEAR(TODAY())-' car_sales_data 1'!$F800</f>
        <v>9</v>
      </c>
    </row>
    <row r="801" ht="15.75" customHeight="1">
      <c r="A801" s="16">
        <v>44695.0</v>
      </c>
      <c r="B801" s="13" t="s">
        <v>1629</v>
      </c>
      <c r="C801" s="13" t="s">
        <v>1630</v>
      </c>
      <c r="D801" s="13" t="s">
        <v>14</v>
      </c>
      <c r="E801" s="13" t="s">
        <v>54</v>
      </c>
      <c r="F801" s="13">
        <v>2017.0</v>
      </c>
      <c r="G801" s="13">
        <v>26826.0</v>
      </c>
      <c r="H801" s="13">
        <v>1512.83</v>
      </c>
      <c r="I801" s="13">
        <f>' car_sales_data 1'!$G801*0.2</f>
        <v>5365.2</v>
      </c>
      <c r="J801" s="13" t="str">
        <f>TEXT(' car_sales_data 1'!$A801,"mmmm")</f>
        <v>May</v>
      </c>
      <c r="K801" s="13" t="str">
        <f>IF(' car_sales_data 1'!$G801&gt;40000,"Premium",
 IF(' car_sales_data 1'!$G801&gt;=20000,"Mid Range","Budget"))</f>
        <v>Mid Range</v>
      </c>
      <c r="L801" s="13">
        <f>YEAR(TODAY())-' car_sales_data 1'!$F801</f>
        <v>8</v>
      </c>
    </row>
    <row r="802" ht="15.75" customHeight="1">
      <c r="A802" s="16">
        <v>44903.0</v>
      </c>
      <c r="B802" s="13" t="s">
        <v>1631</v>
      </c>
      <c r="C802" s="13" t="s">
        <v>1632</v>
      </c>
      <c r="D802" s="13" t="s">
        <v>10</v>
      </c>
      <c r="E802" s="13" t="s">
        <v>62</v>
      </c>
      <c r="F802" s="13">
        <v>2018.0</v>
      </c>
      <c r="G802" s="13">
        <v>19833.0</v>
      </c>
      <c r="H802" s="13">
        <v>1590.54</v>
      </c>
      <c r="I802" s="13">
        <f>' car_sales_data 1'!$G802*0.2</f>
        <v>3966.6</v>
      </c>
      <c r="J802" s="13" t="str">
        <f>TEXT(' car_sales_data 1'!$A802,"mmmm")</f>
        <v>December</v>
      </c>
      <c r="K802" s="13" t="str">
        <f>IF(' car_sales_data 1'!$G802&gt;40000,"Premium",
 IF(' car_sales_data 1'!$G802&gt;=20000,"Mid Range","Budget"))</f>
        <v>Budget</v>
      </c>
      <c r="L802" s="13">
        <f>YEAR(TODAY())-' car_sales_data 1'!$F802</f>
        <v>7</v>
      </c>
    </row>
    <row r="803" ht="15.75" customHeight="1">
      <c r="A803" s="16">
        <v>44746.0</v>
      </c>
      <c r="B803" s="13" t="s">
        <v>1633</v>
      </c>
      <c r="C803" s="13" t="s">
        <v>1634</v>
      </c>
      <c r="D803" s="13" t="s">
        <v>12</v>
      </c>
      <c r="E803" s="13" t="s">
        <v>54</v>
      </c>
      <c r="F803" s="13">
        <v>2019.0</v>
      </c>
      <c r="G803" s="13">
        <v>41820.0</v>
      </c>
      <c r="H803" s="13">
        <v>3331.61</v>
      </c>
      <c r="I803" s="13">
        <f>' car_sales_data 1'!$G803*0.2</f>
        <v>8364</v>
      </c>
      <c r="J803" s="13" t="str">
        <f>TEXT(' car_sales_data 1'!$A803,"mmmm")</f>
        <v>July</v>
      </c>
      <c r="K803" s="13" t="str">
        <f>IF(' car_sales_data 1'!$G803&gt;40000,"Premium",
 IF(' car_sales_data 1'!$G803&gt;=20000,"Mid Range","Budget"))</f>
        <v>Premium</v>
      </c>
      <c r="L803" s="13">
        <f>YEAR(TODAY())-' car_sales_data 1'!$F803</f>
        <v>6</v>
      </c>
    </row>
    <row r="804" ht="15.75" customHeight="1">
      <c r="A804" s="16">
        <v>44918.0</v>
      </c>
      <c r="B804" s="13" t="s">
        <v>1635</v>
      </c>
      <c r="C804" s="13" t="s">
        <v>1636</v>
      </c>
      <c r="D804" s="13" t="s">
        <v>10</v>
      </c>
      <c r="E804" s="13" t="s">
        <v>70</v>
      </c>
      <c r="F804" s="13">
        <v>2017.0</v>
      </c>
      <c r="G804" s="13">
        <v>18161.0</v>
      </c>
      <c r="H804" s="13">
        <v>2464.62</v>
      </c>
      <c r="I804" s="13">
        <f>' car_sales_data 1'!$G804*0.2</f>
        <v>3632.2</v>
      </c>
      <c r="J804" s="13" t="str">
        <f>TEXT(' car_sales_data 1'!$A804,"mmmm")</f>
        <v>December</v>
      </c>
      <c r="K804" s="13" t="str">
        <f>IF(' car_sales_data 1'!$G804&gt;40000,"Premium",
 IF(' car_sales_data 1'!$G804&gt;=20000,"Mid Range","Budget"))</f>
        <v>Budget</v>
      </c>
      <c r="L804" s="13">
        <f>YEAR(TODAY())-' car_sales_data 1'!$F804</f>
        <v>8</v>
      </c>
    </row>
    <row r="805" ht="15.75" customHeight="1">
      <c r="A805" s="16">
        <v>45040.0</v>
      </c>
      <c r="B805" s="13" t="s">
        <v>1637</v>
      </c>
      <c r="C805" s="13" t="s">
        <v>1638</v>
      </c>
      <c r="D805" s="13" t="s">
        <v>10</v>
      </c>
      <c r="E805" s="13" t="s">
        <v>57</v>
      </c>
      <c r="F805" s="13">
        <v>2013.0</v>
      </c>
      <c r="G805" s="13">
        <v>45652.0</v>
      </c>
      <c r="H805" s="13">
        <v>4724.0</v>
      </c>
      <c r="I805" s="13">
        <f>' car_sales_data 1'!$G805*0.2</f>
        <v>9130.4</v>
      </c>
      <c r="J805" s="13" t="str">
        <f>TEXT(' car_sales_data 1'!$A805,"mmmm")</f>
        <v>April</v>
      </c>
      <c r="K805" s="13" t="str">
        <f>IF(' car_sales_data 1'!$G805&gt;40000,"Premium",
 IF(' car_sales_data 1'!$G805&gt;=20000,"Mid Range","Budget"))</f>
        <v>Premium</v>
      </c>
      <c r="L805" s="13">
        <f>YEAR(TODAY())-' car_sales_data 1'!$F805</f>
        <v>12</v>
      </c>
    </row>
    <row r="806" ht="15.75" customHeight="1">
      <c r="A806" s="16">
        <v>45009.0</v>
      </c>
      <c r="B806" s="13" t="s">
        <v>1639</v>
      </c>
      <c r="C806" s="13" t="s">
        <v>1640</v>
      </c>
      <c r="D806" s="13" t="s">
        <v>12</v>
      </c>
      <c r="E806" s="13" t="s">
        <v>62</v>
      </c>
      <c r="F806" s="13">
        <v>2014.0</v>
      </c>
      <c r="G806" s="13">
        <v>29795.0</v>
      </c>
      <c r="H806" s="13">
        <v>3513.78</v>
      </c>
      <c r="I806" s="13">
        <f>' car_sales_data 1'!$G806*0.2</f>
        <v>5959</v>
      </c>
      <c r="J806" s="13" t="str">
        <f>TEXT(' car_sales_data 1'!$A806,"mmmm")</f>
        <v>March</v>
      </c>
      <c r="K806" s="13" t="str">
        <f>IF(' car_sales_data 1'!$G806&gt;40000,"Premium",
 IF(' car_sales_data 1'!$G806&gt;=20000,"Mid Range","Budget"))</f>
        <v>Mid Range</v>
      </c>
      <c r="L806" s="13">
        <f>YEAR(TODAY())-' car_sales_data 1'!$F806</f>
        <v>11</v>
      </c>
    </row>
    <row r="807" ht="15.75" customHeight="1">
      <c r="A807" s="16">
        <v>44850.0</v>
      </c>
      <c r="B807" s="13" t="s">
        <v>1641</v>
      </c>
      <c r="C807" s="13" t="s">
        <v>1642</v>
      </c>
      <c r="D807" s="13" t="s">
        <v>14</v>
      </c>
      <c r="E807" s="13" t="s">
        <v>57</v>
      </c>
      <c r="F807" s="13">
        <v>2022.0</v>
      </c>
      <c r="G807" s="13">
        <v>37932.0</v>
      </c>
      <c r="H807" s="13">
        <v>3266.77</v>
      </c>
      <c r="I807" s="13">
        <f>' car_sales_data 1'!$G807*0.2</f>
        <v>7586.4</v>
      </c>
      <c r="J807" s="13" t="str">
        <f>TEXT(' car_sales_data 1'!$A807,"mmmm")</f>
        <v>October</v>
      </c>
      <c r="K807" s="13" t="str">
        <f>IF(' car_sales_data 1'!$G807&gt;40000,"Premium",
 IF(' car_sales_data 1'!$G807&gt;=20000,"Mid Range","Budget"))</f>
        <v>Mid Range</v>
      </c>
      <c r="L807" s="13">
        <f>YEAR(TODAY())-' car_sales_data 1'!$F807</f>
        <v>3</v>
      </c>
    </row>
    <row r="808" ht="15.75" customHeight="1">
      <c r="A808" s="16">
        <v>44787.0</v>
      </c>
      <c r="B808" s="13" t="s">
        <v>1643</v>
      </c>
      <c r="C808" s="13" t="s">
        <v>1644</v>
      </c>
      <c r="D808" s="13" t="s">
        <v>8</v>
      </c>
      <c r="E808" s="13" t="s">
        <v>70</v>
      </c>
      <c r="F808" s="13">
        <v>2015.0</v>
      </c>
      <c r="G808" s="13">
        <v>20727.0</v>
      </c>
      <c r="H808" s="13">
        <v>1717.7</v>
      </c>
      <c r="I808" s="13">
        <f>' car_sales_data 1'!$G808*0.2</f>
        <v>4145.4</v>
      </c>
      <c r="J808" s="13" t="str">
        <f>TEXT(' car_sales_data 1'!$A808,"mmmm")</f>
        <v>August</v>
      </c>
      <c r="K808" s="13" t="str">
        <f>IF(' car_sales_data 1'!$G808&gt;40000,"Premium",
 IF(' car_sales_data 1'!$G808&gt;=20000,"Mid Range","Budget"))</f>
        <v>Mid Range</v>
      </c>
      <c r="L808" s="13">
        <f>YEAR(TODAY())-' car_sales_data 1'!$F808</f>
        <v>10</v>
      </c>
    </row>
    <row r="809" ht="15.75" customHeight="1">
      <c r="A809" s="16">
        <v>44720.0</v>
      </c>
      <c r="B809" s="13" t="s">
        <v>1645</v>
      </c>
      <c r="C809" s="13" t="s">
        <v>1646</v>
      </c>
      <c r="D809" s="13" t="s">
        <v>8</v>
      </c>
      <c r="E809" s="13" t="s">
        <v>57</v>
      </c>
      <c r="F809" s="13">
        <v>2019.0</v>
      </c>
      <c r="G809" s="13">
        <v>34559.0</v>
      </c>
      <c r="H809" s="13">
        <v>3949.63</v>
      </c>
      <c r="I809" s="13">
        <f>' car_sales_data 1'!$G809*0.2</f>
        <v>6911.8</v>
      </c>
      <c r="J809" s="13" t="str">
        <f>TEXT(' car_sales_data 1'!$A809,"mmmm")</f>
        <v>June</v>
      </c>
      <c r="K809" s="13" t="str">
        <f>IF(' car_sales_data 1'!$G809&gt;40000,"Premium",
 IF(' car_sales_data 1'!$G809&gt;=20000,"Mid Range","Budget"))</f>
        <v>Mid Range</v>
      </c>
      <c r="L809" s="13">
        <f>YEAR(TODAY())-' car_sales_data 1'!$F809</f>
        <v>6</v>
      </c>
    </row>
    <row r="810" ht="15.75" customHeight="1">
      <c r="A810" s="16">
        <v>44766.0</v>
      </c>
      <c r="B810" s="13" t="s">
        <v>1647</v>
      </c>
      <c r="C810" s="13" t="s">
        <v>1648</v>
      </c>
      <c r="D810" s="13" t="s">
        <v>6</v>
      </c>
      <c r="E810" s="13" t="s">
        <v>62</v>
      </c>
      <c r="F810" s="13">
        <v>2018.0</v>
      </c>
      <c r="G810" s="13">
        <v>11459.0</v>
      </c>
      <c r="H810" s="13">
        <v>922.78</v>
      </c>
      <c r="I810" s="13">
        <f>' car_sales_data 1'!$G810*0.2</f>
        <v>2291.8</v>
      </c>
      <c r="J810" s="13" t="str">
        <f>TEXT(' car_sales_data 1'!$A810,"mmmm")</f>
        <v>July</v>
      </c>
      <c r="K810" s="13" t="str">
        <f>IF(' car_sales_data 1'!$G810&gt;40000,"Premium",
 IF(' car_sales_data 1'!$G810&gt;=20000,"Mid Range","Budget"))</f>
        <v>Budget</v>
      </c>
      <c r="L810" s="13">
        <f>YEAR(TODAY())-' car_sales_data 1'!$F810</f>
        <v>7</v>
      </c>
    </row>
    <row r="811" ht="15.75" customHeight="1">
      <c r="A811" s="16">
        <v>45018.0</v>
      </c>
      <c r="B811" s="13" t="s">
        <v>1649</v>
      </c>
      <c r="C811" s="13" t="s">
        <v>1650</v>
      </c>
      <c r="D811" s="13" t="s">
        <v>10</v>
      </c>
      <c r="E811" s="13" t="s">
        <v>70</v>
      </c>
      <c r="F811" s="13">
        <v>2017.0</v>
      </c>
      <c r="G811" s="13">
        <v>39818.0</v>
      </c>
      <c r="H811" s="13">
        <v>2346.05</v>
      </c>
      <c r="I811" s="13">
        <f>' car_sales_data 1'!$G811*0.2</f>
        <v>7963.6</v>
      </c>
      <c r="J811" s="13" t="str">
        <f>TEXT(' car_sales_data 1'!$A811,"mmmm")</f>
        <v>April</v>
      </c>
      <c r="K811" s="13" t="str">
        <f>IF(' car_sales_data 1'!$G811&gt;40000,"Premium",
 IF(' car_sales_data 1'!$G811&gt;=20000,"Mid Range","Budget"))</f>
        <v>Mid Range</v>
      </c>
      <c r="L811" s="13">
        <f>YEAR(TODAY())-' car_sales_data 1'!$F811</f>
        <v>8</v>
      </c>
    </row>
    <row r="812" ht="15.75" customHeight="1">
      <c r="A812" s="16">
        <v>44793.0</v>
      </c>
      <c r="B812" s="13" t="s">
        <v>1651</v>
      </c>
      <c r="C812" s="13" t="s">
        <v>1652</v>
      </c>
      <c r="D812" s="13" t="s">
        <v>12</v>
      </c>
      <c r="E812" s="13" t="s">
        <v>70</v>
      </c>
      <c r="F812" s="13">
        <v>2010.0</v>
      </c>
      <c r="G812" s="13">
        <v>27133.0</v>
      </c>
      <c r="H812" s="13">
        <v>1678.07</v>
      </c>
      <c r="I812" s="13">
        <f>' car_sales_data 1'!$G812*0.2</f>
        <v>5426.6</v>
      </c>
      <c r="J812" s="13" t="str">
        <f>TEXT(' car_sales_data 1'!$A812,"mmmm")</f>
        <v>August</v>
      </c>
      <c r="K812" s="13" t="str">
        <f>IF(' car_sales_data 1'!$G812&gt;40000,"Premium",
 IF(' car_sales_data 1'!$G812&gt;=20000,"Mid Range","Budget"))</f>
        <v>Mid Range</v>
      </c>
      <c r="L812" s="13">
        <f>YEAR(TODAY())-' car_sales_data 1'!$F812</f>
        <v>15</v>
      </c>
    </row>
    <row r="813" ht="15.75" customHeight="1">
      <c r="A813" s="16">
        <v>44921.0</v>
      </c>
      <c r="B813" s="13" t="s">
        <v>1653</v>
      </c>
      <c r="C813" s="13" t="s">
        <v>1654</v>
      </c>
      <c r="D813" s="13" t="s">
        <v>8</v>
      </c>
      <c r="E813" s="13" t="s">
        <v>57</v>
      </c>
      <c r="F813" s="13">
        <v>2017.0</v>
      </c>
      <c r="G813" s="13">
        <v>17010.0</v>
      </c>
      <c r="H813" s="13">
        <v>1305.67</v>
      </c>
      <c r="I813" s="13">
        <f>' car_sales_data 1'!$G813*0.2</f>
        <v>3402</v>
      </c>
      <c r="J813" s="13" t="str">
        <f>TEXT(' car_sales_data 1'!$A813,"mmmm")</f>
        <v>December</v>
      </c>
      <c r="K813" s="13" t="str">
        <f>IF(' car_sales_data 1'!$G813&gt;40000,"Premium",
 IF(' car_sales_data 1'!$G813&gt;=20000,"Mid Range","Budget"))</f>
        <v>Budget</v>
      </c>
      <c r="L813" s="13">
        <f>YEAR(TODAY())-' car_sales_data 1'!$F813</f>
        <v>8</v>
      </c>
    </row>
    <row r="814" ht="15.75" customHeight="1">
      <c r="A814" s="16">
        <v>44802.0</v>
      </c>
      <c r="B814" s="13" t="s">
        <v>1655</v>
      </c>
      <c r="C814" s="13" t="s">
        <v>1656</v>
      </c>
      <c r="D814" s="13" t="s">
        <v>10</v>
      </c>
      <c r="E814" s="13" t="s">
        <v>51</v>
      </c>
      <c r="F814" s="13">
        <v>2010.0</v>
      </c>
      <c r="G814" s="13">
        <v>35635.0</v>
      </c>
      <c r="H814" s="13">
        <v>4771.21</v>
      </c>
      <c r="I814" s="13">
        <f>' car_sales_data 1'!$G814*0.2</f>
        <v>7127</v>
      </c>
      <c r="J814" s="13" t="str">
        <f>TEXT(' car_sales_data 1'!$A814,"mmmm")</f>
        <v>August</v>
      </c>
      <c r="K814" s="13" t="str">
        <f>IF(' car_sales_data 1'!$G814&gt;40000,"Premium",
 IF(' car_sales_data 1'!$G814&gt;=20000,"Mid Range","Budget"))</f>
        <v>Mid Range</v>
      </c>
      <c r="L814" s="13">
        <f>YEAR(TODAY())-' car_sales_data 1'!$F814</f>
        <v>15</v>
      </c>
    </row>
    <row r="815" ht="15.75" customHeight="1">
      <c r="A815" s="16">
        <v>44780.0</v>
      </c>
      <c r="B815" s="13" t="s">
        <v>1657</v>
      </c>
      <c r="C815" s="13" t="s">
        <v>1658</v>
      </c>
      <c r="D815" s="13" t="s">
        <v>8</v>
      </c>
      <c r="E815" s="13" t="s">
        <v>51</v>
      </c>
      <c r="F815" s="13">
        <v>2022.0</v>
      </c>
      <c r="G815" s="13">
        <v>34566.0</v>
      </c>
      <c r="H815" s="13">
        <v>4267.24</v>
      </c>
      <c r="I815" s="13">
        <f>' car_sales_data 1'!$G815*0.2</f>
        <v>6913.2</v>
      </c>
      <c r="J815" s="13" t="str">
        <f>TEXT(' car_sales_data 1'!$A815,"mmmm")</f>
        <v>August</v>
      </c>
      <c r="K815" s="13" t="str">
        <f>IF(' car_sales_data 1'!$G815&gt;40000,"Premium",
 IF(' car_sales_data 1'!$G815&gt;=20000,"Mid Range","Budget"))</f>
        <v>Mid Range</v>
      </c>
      <c r="L815" s="13">
        <f>YEAR(TODAY())-' car_sales_data 1'!$F815</f>
        <v>3</v>
      </c>
    </row>
    <row r="816" ht="15.75" customHeight="1">
      <c r="A816" s="16">
        <v>44826.0</v>
      </c>
      <c r="B816" s="13" t="s">
        <v>1659</v>
      </c>
      <c r="C816" s="13" t="s">
        <v>1660</v>
      </c>
      <c r="D816" s="13" t="s">
        <v>10</v>
      </c>
      <c r="E816" s="13" t="s">
        <v>70</v>
      </c>
      <c r="F816" s="13">
        <v>2022.0</v>
      </c>
      <c r="G816" s="13">
        <v>48351.0</v>
      </c>
      <c r="H816" s="13">
        <v>4802.07</v>
      </c>
      <c r="I816" s="13">
        <f>' car_sales_data 1'!$G816*0.2</f>
        <v>9670.2</v>
      </c>
      <c r="J816" s="13" t="str">
        <f>TEXT(' car_sales_data 1'!$A816,"mmmm")</f>
        <v>September</v>
      </c>
      <c r="K816" s="13" t="str">
        <f>IF(' car_sales_data 1'!$G816&gt;40000,"Premium",
 IF(' car_sales_data 1'!$G816&gt;=20000,"Mid Range","Budget"))</f>
        <v>Premium</v>
      </c>
      <c r="L816" s="13">
        <f>YEAR(TODAY())-' car_sales_data 1'!$F816</f>
        <v>3</v>
      </c>
    </row>
    <row r="817" ht="15.75" customHeight="1">
      <c r="A817" s="16">
        <v>45043.0</v>
      </c>
      <c r="B817" s="13" t="s">
        <v>1661</v>
      </c>
      <c r="C817" s="13" t="s">
        <v>1662</v>
      </c>
      <c r="D817" s="13" t="s">
        <v>10</v>
      </c>
      <c r="E817" s="13" t="s">
        <v>62</v>
      </c>
      <c r="F817" s="13">
        <v>2010.0</v>
      </c>
      <c r="G817" s="13">
        <v>25490.0</v>
      </c>
      <c r="H817" s="13">
        <v>1355.11</v>
      </c>
      <c r="I817" s="13">
        <f>' car_sales_data 1'!$G817*0.2</f>
        <v>5098</v>
      </c>
      <c r="J817" s="13" t="str">
        <f>TEXT(' car_sales_data 1'!$A817,"mmmm")</f>
        <v>April</v>
      </c>
      <c r="K817" s="13" t="str">
        <f>IF(' car_sales_data 1'!$G817&gt;40000,"Premium",
 IF(' car_sales_data 1'!$G817&gt;=20000,"Mid Range","Budget"))</f>
        <v>Mid Range</v>
      </c>
      <c r="L817" s="13">
        <f>YEAR(TODAY())-' car_sales_data 1'!$F817</f>
        <v>15</v>
      </c>
    </row>
    <row r="818" ht="15.75" customHeight="1">
      <c r="A818" s="16">
        <v>44931.0</v>
      </c>
      <c r="B818" s="13" t="s">
        <v>1663</v>
      </c>
      <c r="C818" s="13" t="s">
        <v>1403</v>
      </c>
      <c r="D818" s="13" t="s">
        <v>8</v>
      </c>
      <c r="E818" s="13" t="s">
        <v>51</v>
      </c>
      <c r="F818" s="13">
        <v>2011.0</v>
      </c>
      <c r="G818" s="13">
        <v>19525.0</v>
      </c>
      <c r="H818" s="13">
        <v>1109.73</v>
      </c>
      <c r="I818" s="13">
        <f>' car_sales_data 1'!$G818*0.2</f>
        <v>3905</v>
      </c>
      <c r="J818" s="13" t="str">
        <f>TEXT(' car_sales_data 1'!$A818,"mmmm")</f>
        <v>January</v>
      </c>
      <c r="K818" s="13" t="str">
        <f>IF(' car_sales_data 1'!$G818&gt;40000,"Premium",
 IF(' car_sales_data 1'!$G818&gt;=20000,"Mid Range","Budget"))</f>
        <v>Budget</v>
      </c>
      <c r="L818" s="13">
        <f>YEAR(TODAY())-' car_sales_data 1'!$F818</f>
        <v>14</v>
      </c>
    </row>
    <row r="819" ht="15.75" customHeight="1">
      <c r="A819" s="16">
        <v>44848.0</v>
      </c>
      <c r="B819" s="13" t="s">
        <v>1664</v>
      </c>
      <c r="C819" s="13" t="s">
        <v>1665</v>
      </c>
      <c r="D819" s="13" t="s">
        <v>12</v>
      </c>
      <c r="E819" s="13" t="s">
        <v>51</v>
      </c>
      <c r="F819" s="13">
        <v>2011.0</v>
      </c>
      <c r="G819" s="13">
        <v>15433.0</v>
      </c>
      <c r="H819" s="13">
        <v>1252.78</v>
      </c>
      <c r="I819" s="13">
        <f>' car_sales_data 1'!$G819*0.2</f>
        <v>3086.6</v>
      </c>
      <c r="J819" s="13" t="str">
        <f>TEXT(' car_sales_data 1'!$A819,"mmmm")</f>
        <v>October</v>
      </c>
      <c r="K819" s="13" t="str">
        <f>IF(' car_sales_data 1'!$G819&gt;40000,"Premium",
 IF(' car_sales_data 1'!$G819&gt;=20000,"Mid Range","Budget"))</f>
        <v>Budget</v>
      </c>
      <c r="L819" s="13">
        <f>YEAR(TODAY())-' car_sales_data 1'!$F819</f>
        <v>14</v>
      </c>
    </row>
    <row r="820" ht="15.75" customHeight="1">
      <c r="A820" s="16">
        <v>44812.0</v>
      </c>
      <c r="B820" s="13" t="s">
        <v>1666</v>
      </c>
      <c r="C820" s="13" t="s">
        <v>1667</v>
      </c>
      <c r="D820" s="13" t="s">
        <v>8</v>
      </c>
      <c r="E820" s="13" t="s">
        <v>70</v>
      </c>
      <c r="F820" s="13">
        <v>2018.0</v>
      </c>
      <c r="G820" s="13">
        <v>34285.0</v>
      </c>
      <c r="H820" s="13">
        <v>2386.0</v>
      </c>
      <c r="I820" s="13">
        <f>' car_sales_data 1'!$G820*0.2</f>
        <v>6857</v>
      </c>
      <c r="J820" s="13" t="str">
        <f>TEXT(' car_sales_data 1'!$A820,"mmmm")</f>
        <v>September</v>
      </c>
      <c r="K820" s="13" t="str">
        <f>IF(' car_sales_data 1'!$G820&gt;40000,"Premium",
 IF(' car_sales_data 1'!$G820&gt;=20000,"Mid Range","Budget"))</f>
        <v>Mid Range</v>
      </c>
      <c r="L820" s="13">
        <f>YEAR(TODAY())-' car_sales_data 1'!$F820</f>
        <v>7</v>
      </c>
    </row>
    <row r="821" ht="15.75" customHeight="1">
      <c r="A821" s="16">
        <v>44694.0</v>
      </c>
      <c r="B821" s="13" t="s">
        <v>1668</v>
      </c>
      <c r="C821" s="13" t="s">
        <v>1669</v>
      </c>
      <c r="D821" s="13" t="s">
        <v>8</v>
      </c>
      <c r="E821" s="13" t="s">
        <v>70</v>
      </c>
      <c r="F821" s="13">
        <v>2017.0</v>
      </c>
      <c r="G821" s="13">
        <v>39880.0</v>
      </c>
      <c r="H821" s="13">
        <v>2998.79</v>
      </c>
      <c r="I821" s="13">
        <f>' car_sales_data 1'!$G821*0.2</f>
        <v>7976</v>
      </c>
      <c r="J821" s="13" t="str">
        <f>TEXT(' car_sales_data 1'!$A821,"mmmm")</f>
        <v>May</v>
      </c>
      <c r="K821" s="13" t="str">
        <f>IF(' car_sales_data 1'!$G821&gt;40000,"Premium",
 IF(' car_sales_data 1'!$G821&gt;=20000,"Mid Range","Budget"))</f>
        <v>Mid Range</v>
      </c>
      <c r="L821" s="13">
        <f>YEAR(TODAY())-' car_sales_data 1'!$F821</f>
        <v>8</v>
      </c>
    </row>
    <row r="822" ht="15.75" customHeight="1">
      <c r="A822" s="16">
        <v>44883.0</v>
      </c>
      <c r="B822" s="13" t="s">
        <v>1670</v>
      </c>
      <c r="C822" s="13" t="s">
        <v>1671</v>
      </c>
      <c r="D822" s="13" t="s">
        <v>12</v>
      </c>
      <c r="E822" s="13" t="s">
        <v>70</v>
      </c>
      <c r="F822" s="13">
        <v>2021.0</v>
      </c>
      <c r="G822" s="13">
        <v>22871.0</v>
      </c>
      <c r="H822" s="13">
        <v>1336.58</v>
      </c>
      <c r="I822" s="13">
        <f>' car_sales_data 1'!$G822*0.2</f>
        <v>4574.2</v>
      </c>
      <c r="J822" s="13" t="str">
        <f>TEXT(' car_sales_data 1'!$A822,"mmmm")</f>
        <v>November</v>
      </c>
      <c r="K822" s="13" t="str">
        <f>IF(' car_sales_data 1'!$G822&gt;40000,"Premium",
 IF(' car_sales_data 1'!$G822&gt;=20000,"Mid Range","Budget"))</f>
        <v>Mid Range</v>
      </c>
      <c r="L822" s="13">
        <f>YEAR(TODAY())-' car_sales_data 1'!$F822</f>
        <v>4</v>
      </c>
    </row>
    <row r="823" ht="15.75" customHeight="1">
      <c r="A823" s="16">
        <v>44916.0</v>
      </c>
      <c r="B823" s="13" t="s">
        <v>1672</v>
      </c>
      <c r="C823" s="13" t="s">
        <v>1673</v>
      </c>
      <c r="D823" s="13" t="s">
        <v>8</v>
      </c>
      <c r="E823" s="13" t="s">
        <v>62</v>
      </c>
      <c r="F823" s="13">
        <v>2019.0</v>
      </c>
      <c r="G823" s="13">
        <v>16631.0</v>
      </c>
      <c r="H823" s="13">
        <v>1894.79</v>
      </c>
      <c r="I823" s="13">
        <f>' car_sales_data 1'!$G823*0.2</f>
        <v>3326.2</v>
      </c>
      <c r="J823" s="13" t="str">
        <f>TEXT(' car_sales_data 1'!$A823,"mmmm")</f>
        <v>December</v>
      </c>
      <c r="K823" s="13" t="str">
        <f>IF(' car_sales_data 1'!$G823&gt;40000,"Premium",
 IF(' car_sales_data 1'!$G823&gt;=20000,"Mid Range","Budget"))</f>
        <v>Budget</v>
      </c>
      <c r="L823" s="13">
        <f>YEAR(TODAY())-' car_sales_data 1'!$F823</f>
        <v>6</v>
      </c>
    </row>
    <row r="824" ht="15.75" customHeight="1">
      <c r="A824" s="16">
        <v>44817.0</v>
      </c>
      <c r="B824" s="13" t="s">
        <v>1674</v>
      </c>
      <c r="C824" s="13" t="s">
        <v>1675</v>
      </c>
      <c r="D824" s="13" t="s">
        <v>12</v>
      </c>
      <c r="E824" s="13" t="s">
        <v>54</v>
      </c>
      <c r="F824" s="13">
        <v>2021.0</v>
      </c>
      <c r="G824" s="13">
        <v>46092.0</v>
      </c>
      <c r="H824" s="13">
        <v>2900.7</v>
      </c>
      <c r="I824" s="13">
        <f>' car_sales_data 1'!$G824*0.2</f>
        <v>9218.4</v>
      </c>
      <c r="J824" s="13" t="str">
        <f>TEXT(' car_sales_data 1'!$A824,"mmmm")</f>
        <v>September</v>
      </c>
      <c r="K824" s="13" t="str">
        <f>IF(' car_sales_data 1'!$G824&gt;40000,"Premium",
 IF(' car_sales_data 1'!$G824&gt;=20000,"Mid Range","Budget"))</f>
        <v>Premium</v>
      </c>
      <c r="L824" s="13">
        <f>YEAR(TODAY())-' car_sales_data 1'!$F824</f>
        <v>4</v>
      </c>
    </row>
    <row r="825" ht="15.75" customHeight="1">
      <c r="A825" s="16">
        <v>44751.0</v>
      </c>
      <c r="B825" s="13" t="s">
        <v>1676</v>
      </c>
      <c r="C825" s="13" t="s">
        <v>519</v>
      </c>
      <c r="D825" s="13" t="s">
        <v>12</v>
      </c>
      <c r="E825" s="13" t="s">
        <v>54</v>
      </c>
      <c r="F825" s="13">
        <v>2022.0</v>
      </c>
      <c r="G825" s="13">
        <v>34778.0</v>
      </c>
      <c r="H825" s="13">
        <v>4330.78</v>
      </c>
      <c r="I825" s="13">
        <f>' car_sales_data 1'!$G825*0.2</f>
        <v>6955.6</v>
      </c>
      <c r="J825" s="13" t="str">
        <f>TEXT(' car_sales_data 1'!$A825,"mmmm")</f>
        <v>July</v>
      </c>
      <c r="K825" s="13" t="str">
        <f>IF(' car_sales_data 1'!$G825&gt;40000,"Premium",
 IF(' car_sales_data 1'!$G825&gt;=20000,"Mid Range","Budget"))</f>
        <v>Mid Range</v>
      </c>
      <c r="L825" s="13">
        <f>YEAR(TODAY())-' car_sales_data 1'!$F825</f>
        <v>3</v>
      </c>
    </row>
    <row r="826" ht="15.75" customHeight="1">
      <c r="A826" s="16">
        <v>44981.0</v>
      </c>
      <c r="B826" s="13" t="s">
        <v>1677</v>
      </c>
      <c r="C826" s="13" t="s">
        <v>1678</v>
      </c>
      <c r="D826" s="13" t="s">
        <v>12</v>
      </c>
      <c r="E826" s="13" t="s">
        <v>54</v>
      </c>
      <c r="F826" s="13">
        <v>2013.0</v>
      </c>
      <c r="G826" s="13">
        <v>49436.0</v>
      </c>
      <c r="H826" s="13">
        <v>3471.79</v>
      </c>
      <c r="I826" s="13">
        <f>' car_sales_data 1'!$G826*0.2</f>
        <v>9887.2</v>
      </c>
      <c r="J826" s="13" t="str">
        <f>TEXT(' car_sales_data 1'!$A826,"mmmm")</f>
        <v>February</v>
      </c>
      <c r="K826" s="13" t="str">
        <f>IF(' car_sales_data 1'!$G826&gt;40000,"Premium",
 IF(' car_sales_data 1'!$G826&gt;=20000,"Mid Range","Budget"))</f>
        <v>Premium</v>
      </c>
      <c r="L826" s="13">
        <f>YEAR(TODAY())-' car_sales_data 1'!$F826</f>
        <v>12</v>
      </c>
    </row>
    <row r="827" ht="15.75" customHeight="1">
      <c r="A827" s="16">
        <v>44878.0</v>
      </c>
      <c r="B827" s="13" t="s">
        <v>1679</v>
      </c>
      <c r="C827" s="13" t="s">
        <v>1680</v>
      </c>
      <c r="D827" s="13" t="s">
        <v>10</v>
      </c>
      <c r="E827" s="13" t="s">
        <v>51</v>
      </c>
      <c r="F827" s="13">
        <v>2011.0</v>
      </c>
      <c r="G827" s="13">
        <v>30348.0</v>
      </c>
      <c r="H827" s="13">
        <v>1539.38</v>
      </c>
      <c r="I827" s="13">
        <f>' car_sales_data 1'!$G827*0.2</f>
        <v>6069.6</v>
      </c>
      <c r="J827" s="13" t="str">
        <f>TEXT(' car_sales_data 1'!$A827,"mmmm")</f>
        <v>November</v>
      </c>
      <c r="K827" s="13" t="str">
        <f>IF(' car_sales_data 1'!$G827&gt;40000,"Premium",
 IF(' car_sales_data 1'!$G827&gt;=20000,"Mid Range","Budget"))</f>
        <v>Mid Range</v>
      </c>
      <c r="L827" s="13">
        <f>YEAR(TODAY())-' car_sales_data 1'!$F827</f>
        <v>14</v>
      </c>
    </row>
    <row r="828" ht="15.75" customHeight="1">
      <c r="A828" s="16">
        <v>45023.0</v>
      </c>
      <c r="B828" s="13" t="s">
        <v>1109</v>
      </c>
      <c r="C828" s="13" t="s">
        <v>1681</v>
      </c>
      <c r="D828" s="13" t="s">
        <v>10</v>
      </c>
      <c r="E828" s="13" t="s">
        <v>57</v>
      </c>
      <c r="F828" s="13">
        <v>2016.0</v>
      </c>
      <c r="G828" s="13">
        <v>16412.0</v>
      </c>
      <c r="H828" s="13">
        <v>2061.33</v>
      </c>
      <c r="I828" s="13">
        <f>' car_sales_data 1'!$G828*0.2</f>
        <v>3282.4</v>
      </c>
      <c r="J828" s="13" t="str">
        <f>TEXT(' car_sales_data 1'!$A828,"mmmm")</f>
        <v>April</v>
      </c>
      <c r="K828" s="13" t="str">
        <f>IF(' car_sales_data 1'!$G828&gt;40000,"Premium",
 IF(' car_sales_data 1'!$G828&gt;=20000,"Mid Range","Budget"))</f>
        <v>Budget</v>
      </c>
      <c r="L828" s="13">
        <f>YEAR(TODAY())-' car_sales_data 1'!$F828</f>
        <v>9</v>
      </c>
    </row>
    <row r="829" ht="15.75" customHeight="1">
      <c r="A829" s="16">
        <v>44770.0</v>
      </c>
      <c r="B829" s="13" t="s">
        <v>1682</v>
      </c>
      <c r="C829" s="13" t="s">
        <v>1683</v>
      </c>
      <c r="D829" s="13" t="s">
        <v>10</v>
      </c>
      <c r="E829" s="13" t="s">
        <v>57</v>
      </c>
      <c r="F829" s="13">
        <v>2021.0</v>
      </c>
      <c r="G829" s="13">
        <v>19966.0</v>
      </c>
      <c r="H829" s="13">
        <v>1324.65</v>
      </c>
      <c r="I829" s="13">
        <f>' car_sales_data 1'!$G829*0.2</f>
        <v>3993.2</v>
      </c>
      <c r="J829" s="13" t="str">
        <f>TEXT(' car_sales_data 1'!$A829,"mmmm")</f>
        <v>July</v>
      </c>
      <c r="K829" s="13" t="str">
        <f>IF(' car_sales_data 1'!$G829&gt;40000,"Premium",
 IF(' car_sales_data 1'!$G829&gt;=20000,"Mid Range","Budget"))</f>
        <v>Budget</v>
      </c>
      <c r="L829" s="13">
        <f>YEAR(TODAY())-' car_sales_data 1'!$F829</f>
        <v>4</v>
      </c>
    </row>
    <row r="830" ht="15.75" customHeight="1">
      <c r="A830" s="16">
        <v>45045.0</v>
      </c>
      <c r="B830" s="13" t="s">
        <v>1684</v>
      </c>
      <c r="C830" s="13" t="s">
        <v>1685</v>
      </c>
      <c r="D830" s="13" t="s">
        <v>12</v>
      </c>
      <c r="E830" s="13" t="s">
        <v>54</v>
      </c>
      <c r="F830" s="13">
        <v>2015.0</v>
      </c>
      <c r="G830" s="13">
        <v>14960.0</v>
      </c>
      <c r="H830" s="13">
        <v>2060.69</v>
      </c>
      <c r="I830" s="13">
        <f>' car_sales_data 1'!$G830*0.2</f>
        <v>2992</v>
      </c>
      <c r="J830" s="13" t="str">
        <f>TEXT(' car_sales_data 1'!$A830,"mmmm")</f>
        <v>April</v>
      </c>
      <c r="K830" s="13" t="str">
        <f>IF(' car_sales_data 1'!$G830&gt;40000,"Premium",
 IF(' car_sales_data 1'!$G830&gt;=20000,"Mid Range","Budget"))</f>
        <v>Budget</v>
      </c>
      <c r="L830" s="13">
        <f>YEAR(TODAY())-' car_sales_data 1'!$F830</f>
        <v>10</v>
      </c>
    </row>
    <row r="831" ht="15.75" customHeight="1">
      <c r="A831" s="16">
        <v>44713.0</v>
      </c>
      <c r="B831" s="13" t="s">
        <v>1686</v>
      </c>
      <c r="C831" s="13" t="s">
        <v>1687</v>
      </c>
      <c r="D831" s="13" t="s">
        <v>12</v>
      </c>
      <c r="E831" s="13" t="s">
        <v>57</v>
      </c>
      <c r="F831" s="13">
        <v>2020.0</v>
      </c>
      <c r="G831" s="13">
        <v>38219.0</v>
      </c>
      <c r="H831" s="13">
        <v>4186.12</v>
      </c>
      <c r="I831" s="13">
        <f>' car_sales_data 1'!$G831*0.2</f>
        <v>7643.8</v>
      </c>
      <c r="J831" s="13" t="str">
        <f>TEXT(' car_sales_data 1'!$A831,"mmmm")</f>
        <v>June</v>
      </c>
      <c r="K831" s="13" t="str">
        <f>IF(' car_sales_data 1'!$G831&gt;40000,"Premium",
 IF(' car_sales_data 1'!$G831&gt;=20000,"Mid Range","Budget"))</f>
        <v>Mid Range</v>
      </c>
      <c r="L831" s="13">
        <f>YEAR(TODAY())-' car_sales_data 1'!$F831</f>
        <v>5</v>
      </c>
    </row>
    <row r="832" ht="15.75" customHeight="1">
      <c r="A832" s="16">
        <v>44769.0</v>
      </c>
      <c r="B832" s="13" t="s">
        <v>1688</v>
      </c>
      <c r="C832" s="13" t="s">
        <v>1689</v>
      </c>
      <c r="D832" s="13" t="s">
        <v>8</v>
      </c>
      <c r="E832" s="13" t="s">
        <v>62</v>
      </c>
      <c r="F832" s="13">
        <v>2012.0</v>
      </c>
      <c r="G832" s="13">
        <v>49621.0</v>
      </c>
      <c r="H832" s="13">
        <v>5178.66</v>
      </c>
      <c r="I832" s="13">
        <f>' car_sales_data 1'!$G832*0.2</f>
        <v>9924.2</v>
      </c>
      <c r="J832" s="13" t="str">
        <f>TEXT(' car_sales_data 1'!$A832,"mmmm")</f>
        <v>July</v>
      </c>
      <c r="K832" s="13" t="str">
        <f>IF(' car_sales_data 1'!$G832&gt;40000,"Premium",
 IF(' car_sales_data 1'!$G832&gt;=20000,"Mid Range","Budget"))</f>
        <v>Premium</v>
      </c>
      <c r="L832" s="13">
        <f>YEAR(TODAY())-' car_sales_data 1'!$F832</f>
        <v>13</v>
      </c>
    </row>
    <row r="833" ht="15.75" customHeight="1">
      <c r="A833" s="16">
        <v>44951.0</v>
      </c>
      <c r="B833" s="13" t="s">
        <v>1690</v>
      </c>
      <c r="C833" s="13" t="s">
        <v>1691</v>
      </c>
      <c r="D833" s="13" t="s">
        <v>6</v>
      </c>
      <c r="E833" s="13" t="s">
        <v>62</v>
      </c>
      <c r="F833" s="13">
        <v>2013.0</v>
      </c>
      <c r="G833" s="13">
        <v>26965.0</v>
      </c>
      <c r="H833" s="13">
        <v>2033.56</v>
      </c>
      <c r="I833" s="13">
        <f>' car_sales_data 1'!$G833*0.2</f>
        <v>5393</v>
      </c>
      <c r="J833" s="13" t="str">
        <f>TEXT(' car_sales_data 1'!$A833,"mmmm")</f>
        <v>January</v>
      </c>
      <c r="K833" s="13" t="str">
        <f>IF(' car_sales_data 1'!$G833&gt;40000,"Premium",
 IF(' car_sales_data 1'!$G833&gt;=20000,"Mid Range","Budget"))</f>
        <v>Mid Range</v>
      </c>
      <c r="L833" s="13">
        <f>YEAR(TODAY())-' car_sales_data 1'!$F833</f>
        <v>12</v>
      </c>
    </row>
    <row r="834" ht="15.75" customHeight="1">
      <c r="A834" s="16">
        <v>44720.0</v>
      </c>
      <c r="B834" s="13" t="s">
        <v>1692</v>
      </c>
      <c r="C834" s="13" t="s">
        <v>1693</v>
      </c>
      <c r="D834" s="13" t="s">
        <v>6</v>
      </c>
      <c r="E834" s="13" t="s">
        <v>51</v>
      </c>
      <c r="F834" s="13">
        <v>2015.0</v>
      </c>
      <c r="G834" s="13">
        <v>12128.0</v>
      </c>
      <c r="H834" s="13">
        <v>718.02</v>
      </c>
      <c r="I834" s="13">
        <f>' car_sales_data 1'!$G834*0.2</f>
        <v>2425.6</v>
      </c>
      <c r="J834" s="13" t="str">
        <f>TEXT(' car_sales_data 1'!$A834,"mmmm")</f>
        <v>June</v>
      </c>
      <c r="K834" s="13" t="str">
        <f>IF(' car_sales_data 1'!$G834&gt;40000,"Premium",
 IF(' car_sales_data 1'!$G834&gt;=20000,"Mid Range","Budget"))</f>
        <v>Budget</v>
      </c>
      <c r="L834" s="13">
        <f>YEAR(TODAY())-' car_sales_data 1'!$F834</f>
        <v>10</v>
      </c>
    </row>
    <row r="835" ht="15.75" customHeight="1">
      <c r="A835" s="16">
        <v>44701.0</v>
      </c>
      <c r="B835" s="13" t="s">
        <v>1694</v>
      </c>
      <c r="C835" s="13" t="s">
        <v>1695</v>
      </c>
      <c r="D835" s="13" t="s">
        <v>14</v>
      </c>
      <c r="E835" s="13" t="s">
        <v>70</v>
      </c>
      <c r="F835" s="13">
        <v>2013.0</v>
      </c>
      <c r="G835" s="13">
        <v>38892.0</v>
      </c>
      <c r="H835" s="13">
        <v>4369.09</v>
      </c>
      <c r="I835" s="13">
        <f>' car_sales_data 1'!$G835*0.2</f>
        <v>7778.4</v>
      </c>
      <c r="J835" s="13" t="str">
        <f>TEXT(' car_sales_data 1'!$A835,"mmmm")</f>
        <v>May</v>
      </c>
      <c r="K835" s="13" t="str">
        <f>IF(' car_sales_data 1'!$G835&gt;40000,"Premium",
 IF(' car_sales_data 1'!$G835&gt;=20000,"Mid Range","Budget"))</f>
        <v>Mid Range</v>
      </c>
      <c r="L835" s="13">
        <f>YEAR(TODAY())-' car_sales_data 1'!$F835</f>
        <v>12</v>
      </c>
    </row>
    <row r="836" ht="15.75" customHeight="1">
      <c r="A836" s="16">
        <v>44807.0</v>
      </c>
      <c r="B836" s="13" t="s">
        <v>1696</v>
      </c>
      <c r="C836" s="13" t="s">
        <v>1697</v>
      </c>
      <c r="D836" s="13" t="s">
        <v>14</v>
      </c>
      <c r="E836" s="13" t="s">
        <v>57</v>
      </c>
      <c r="F836" s="13">
        <v>2013.0</v>
      </c>
      <c r="G836" s="13">
        <v>39760.0</v>
      </c>
      <c r="H836" s="13">
        <v>5587.72</v>
      </c>
      <c r="I836" s="13">
        <f>' car_sales_data 1'!$G836*0.2</f>
        <v>7952</v>
      </c>
      <c r="J836" s="13" t="str">
        <f>TEXT(' car_sales_data 1'!$A836,"mmmm")</f>
        <v>September</v>
      </c>
      <c r="K836" s="13" t="str">
        <f>IF(' car_sales_data 1'!$G836&gt;40000,"Premium",
 IF(' car_sales_data 1'!$G836&gt;=20000,"Mid Range","Budget"))</f>
        <v>Mid Range</v>
      </c>
      <c r="L836" s="13">
        <f>YEAR(TODAY())-' car_sales_data 1'!$F836</f>
        <v>12</v>
      </c>
    </row>
    <row r="837" ht="15.75" customHeight="1">
      <c r="A837" s="16">
        <v>44993.0</v>
      </c>
      <c r="B837" s="13" t="s">
        <v>1698</v>
      </c>
      <c r="C837" s="13" t="s">
        <v>1699</v>
      </c>
      <c r="D837" s="13" t="s">
        <v>6</v>
      </c>
      <c r="E837" s="13" t="s">
        <v>51</v>
      </c>
      <c r="F837" s="13">
        <v>2021.0</v>
      </c>
      <c r="G837" s="13">
        <v>17096.0</v>
      </c>
      <c r="H837" s="13">
        <v>2086.3</v>
      </c>
      <c r="I837" s="13">
        <f>' car_sales_data 1'!$G837*0.2</f>
        <v>3419.2</v>
      </c>
      <c r="J837" s="13" t="str">
        <f>TEXT(' car_sales_data 1'!$A837,"mmmm")</f>
        <v>March</v>
      </c>
      <c r="K837" s="13" t="str">
        <f>IF(' car_sales_data 1'!$G837&gt;40000,"Premium",
 IF(' car_sales_data 1'!$G837&gt;=20000,"Mid Range","Budget"))</f>
        <v>Budget</v>
      </c>
      <c r="L837" s="13">
        <f>YEAR(TODAY())-' car_sales_data 1'!$F837</f>
        <v>4</v>
      </c>
    </row>
    <row r="838" ht="15.75" customHeight="1">
      <c r="A838" s="16">
        <v>44922.0</v>
      </c>
      <c r="B838" s="13" t="s">
        <v>1700</v>
      </c>
      <c r="C838" s="13" t="s">
        <v>1701</v>
      </c>
      <c r="D838" s="13" t="s">
        <v>6</v>
      </c>
      <c r="E838" s="13" t="s">
        <v>70</v>
      </c>
      <c r="F838" s="13">
        <v>2020.0</v>
      </c>
      <c r="G838" s="13">
        <v>12805.0</v>
      </c>
      <c r="H838" s="13">
        <v>969.51</v>
      </c>
      <c r="I838" s="13">
        <f>' car_sales_data 1'!$G838*0.2</f>
        <v>2561</v>
      </c>
      <c r="J838" s="13" t="str">
        <f>TEXT(' car_sales_data 1'!$A838,"mmmm")</f>
        <v>December</v>
      </c>
      <c r="K838" s="13" t="str">
        <f>IF(' car_sales_data 1'!$G838&gt;40000,"Premium",
 IF(' car_sales_data 1'!$G838&gt;=20000,"Mid Range","Budget"))</f>
        <v>Budget</v>
      </c>
      <c r="L838" s="13">
        <f>YEAR(TODAY())-' car_sales_data 1'!$F838</f>
        <v>5</v>
      </c>
    </row>
    <row r="839" ht="15.75" customHeight="1">
      <c r="A839" s="16">
        <v>45042.0</v>
      </c>
      <c r="B839" s="13" t="s">
        <v>1702</v>
      </c>
      <c r="C839" s="13" t="s">
        <v>1703</v>
      </c>
      <c r="D839" s="13" t="s">
        <v>6</v>
      </c>
      <c r="E839" s="13" t="s">
        <v>54</v>
      </c>
      <c r="F839" s="13">
        <v>2022.0</v>
      </c>
      <c r="G839" s="13">
        <v>13337.0</v>
      </c>
      <c r="H839" s="13">
        <v>943.05</v>
      </c>
      <c r="I839" s="13">
        <f>' car_sales_data 1'!$G839*0.2</f>
        <v>2667.4</v>
      </c>
      <c r="J839" s="13" t="str">
        <f>TEXT(' car_sales_data 1'!$A839,"mmmm")</f>
        <v>April</v>
      </c>
      <c r="K839" s="13" t="str">
        <f>IF(' car_sales_data 1'!$G839&gt;40000,"Premium",
 IF(' car_sales_data 1'!$G839&gt;=20000,"Mid Range","Budget"))</f>
        <v>Budget</v>
      </c>
      <c r="L839" s="13">
        <f>YEAR(TODAY())-' car_sales_data 1'!$F839</f>
        <v>3</v>
      </c>
    </row>
    <row r="840" ht="15.75" customHeight="1">
      <c r="A840" s="16">
        <v>45035.0</v>
      </c>
      <c r="B840" s="13" t="s">
        <v>1704</v>
      </c>
      <c r="C840" s="13" t="s">
        <v>1705</v>
      </c>
      <c r="D840" s="13" t="s">
        <v>10</v>
      </c>
      <c r="E840" s="13" t="s">
        <v>70</v>
      </c>
      <c r="F840" s="13">
        <v>2016.0</v>
      </c>
      <c r="G840" s="13">
        <v>16666.0</v>
      </c>
      <c r="H840" s="13">
        <v>1667.97</v>
      </c>
      <c r="I840" s="13">
        <f>' car_sales_data 1'!$G840*0.2</f>
        <v>3333.2</v>
      </c>
      <c r="J840" s="13" t="str">
        <f>TEXT(' car_sales_data 1'!$A840,"mmmm")</f>
        <v>April</v>
      </c>
      <c r="K840" s="13" t="str">
        <f>IF(' car_sales_data 1'!$G840&gt;40000,"Premium",
 IF(' car_sales_data 1'!$G840&gt;=20000,"Mid Range","Budget"))</f>
        <v>Budget</v>
      </c>
      <c r="L840" s="13">
        <f>YEAR(TODAY())-' car_sales_data 1'!$F840</f>
        <v>9</v>
      </c>
    </row>
    <row r="841" ht="15.75" customHeight="1">
      <c r="A841" s="16">
        <v>44808.0</v>
      </c>
      <c r="B841" s="13" t="s">
        <v>1706</v>
      </c>
      <c r="C841" s="13" t="s">
        <v>1707</v>
      </c>
      <c r="D841" s="13" t="s">
        <v>6</v>
      </c>
      <c r="E841" s="13" t="s">
        <v>70</v>
      </c>
      <c r="F841" s="13">
        <v>2021.0</v>
      </c>
      <c r="G841" s="13">
        <v>30719.0</v>
      </c>
      <c r="H841" s="13">
        <v>2734.6</v>
      </c>
      <c r="I841" s="13">
        <f>' car_sales_data 1'!$G841*0.2</f>
        <v>6143.8</v>
      </c>
      <c r="J841" s="13" t="str">
        <f>TEXT(' car_sales_data 1'!$A841,"mmmm")</f>
        <v>September</v>
      </c>
      <c r="K841" s="13" t="str">
        <f>IF(' car_sales_data 1'!$G841&gt;40000,"Premium",
 IF(' car_sales_data 1'!$G841&gt;=20000,"Mid Range","Budget"))</f>
        <v>Mid Range</v>
      </c>
      <c r="L841" s="13">
        <f>YEAR(TODAY())-' car_sales_data 1'!$F841</f>
        <v>4</v>
      </c>
    </row>
    <row r="842" ht="15.75" customHeight="1">
      <c r="A842" s="16">
        <v>44812.0</v>
      </c>
      <c r="B842" s="13" t="s">
        <v>1708</v>
      </c>
      <c r="C842" s="13" t="s">
        <v>1709</v>
      </c>
      <c r="D842" s="13" t="s">
        <v>14</v>
      </c>
      <c r="E842" s="13" t="s">
        <v>51</v>
      </c>
      <c r="F842" s="13">
        <v>2022.0</v>
      </c>
      <c r="G842" s="13">
        <v>33162.0</v>
      </c>
      <c r="H842" s="13">
        <v>2801.32</v>
      </c>
      <c r="I842" s="13">
        <f>' car_sales_data 1'!$G842*0.2</f>
        <v>6632.4</v>
      </c>
      <c r="J842" s="13" t="str">
        <f>TEXT(' car_sales_data 1'!$A842,"mmmm")</f>
        <v>September</v>
      </c>
      <c r="K842" s="13" t="str">
        <f>IF(' car_sales_data 1'!$G842&gt;40000,"Premium",
 IF(' car_sales_data 1'!$G842&gt;=20000,"Mid Range","Budget"))</f>
        <v>Mid Range</v>
      </c>
      <c r="L842" s="13">
        <f>YEAR(TODAY())-' car_sales_data 1'!$F842</f>
        <v>3</v>
      </c>
    </row>
    <row r="843" ht="15.75" customHeight="1">
      <c r="A843" s="16">
        <v>44990.0</v>
      </c>
      <c r="B843" s="13" t="s">
        <v>1710</v>
      </c>
      <c r="C843" s="13" t="s">
        <v>1711</v>
      </c>
      <c r="D843" s="13" t="s">
        <v>14</v>
      </c>
      <c r="E843" s="13" t="s">
        <v>57</v>
      </c>
      <c r="F843" s="13">
        <v>2018.0</v>
      </c>
      <c r="G843" s="13">
        <v>24254.0</v>
      </c>
      <c r="H843" s="13">
        <v>1740.99</v>
      </c>
      <c r="I843" s="13">
        <f>' car_sales_data 1'!$G843*0.2</f>
        <v>4850.8</v>
      </c>
      <c r="J843" s="13" t="str">
        <f>TEXT(' car_sales_data 1'!$A843,"mmmm")</f>
        <v>March</v>
      </c>
      <c r="K843" s="13" t="str">
        <f>IF(' car_sales_data 1'!$G843&gt;40000,"Premium",
 IF(' car_sales_data 1'!$G843&gt;=20000,"Mid Range","Budget"))</f>
        <v>Mid Range</v>
      </c>
      <c r="L843" s="13">
        <f>YEAR(TODAY())-' car_sales_data 1'!$F843</f>
        <v>7</v>
      </c>
    </row>
    <row r="844" ht="15.75" customHeight="1">
      <c r="A844" s="16">
        <v>44958.0</v>
      </c>
      <c r="B844" s="13" t="s">
        <v>1712</v>
      </c>
      <c r="C844" s="13" t="s">
        <v>1713</v>
      </c>
      <c r="D844" s="13" t="s">
        <v>10</v>
      </c>
      <c r="E844" s="13" t="s">
        <v>51</v>
      </c>
      <c r="F844" s="13">
        <v>2013.0</v>
      </c>
      <c r="G844" s="13">
        <v>46421.0</v>
      </c>
      <c r="H844" s="13">
        <v>6006.72</v>
      </c>
      <c r="I844" s="13">
        <f>' car_sales_data 1'!$G844*0.2</f>
        <v>9284.2</v>
      </c>
      <c r="J844" s="13" t="str">
        <f>TEXT(' car_sales_data 1'!$A844,"mmmm")</f>
        <v>February</v>
      </c>
      <c r="K844" s="13" t="str">
        <f>IF(' car_sales_data 1'!$G844&gt;40000,"Premium",
 IF(' car_sales_data 1'!$G844&gt;=20000,"Mid Range","Budget"))</f>
        <v>Premium</v>
      </c>
      <c r="L844" s="13">
        <f>YEAR(TODAY())-' car_sales_data 1'!$F844</f>
        <v>12</v>
      </c>
    </row>
    <row r="845" ht="15.75" customHeight="1">
      <c r="A845" s="16">
        <v>44715.0</v>
      </c>
      <c r="B845" s="13" t="s">
        <v>1714</v>
      </c>
      <c r="C845" s="13" t="s">
        <v>1715</v>
      </c>
      <c r="D845" s="13" t="s">
        <v>8</v>
      </c>
      <c r="E845" s="13" t="s">
        <v>70</v>
      </c>
      <c r="F845" s="13">
        <v>2013.0</v>
      </c>
      <c r="G845" s="13">
        <v>40917.0</v>
      </c>
      <c r="H845" s="13">
        <v>4116.34</v>
      </c>
      <c r="I845" s="13">
        <f>' car_sales_data 1'!$G845*0.2</f>
        <v>8183.4</v>
      </c>
      <c r="J845" s="13" t="str">
        <f>TEXT(' car_sales_data 1'!$A845,"mmmm")</f>
        <v>June</v>
      </c>
      <c r="K845" s="13" t="str">
        <f>IF(' car_sales_data 1'!$G845&gt;40000,"Premium",
 IF(' car_sales_data 1'!$G845&gt;=20000,"Mid Range","Budget"))</f>
        <v>Premium</v>
      </c>
      <c r="L845" s="13">
        <f>YEAR(TODAY())-' car_sales_data 1'!$F845</f>
        <v>12</v>
      </c>
    </row>
    <row r="846" ht="15.75" customHeight="1">
      <c r="A846" s="16">
        <v>44845.0</v>
      </c>
      <c r="B846" s="13" t="s">
        <v>1716</v>
      </c>
      <c r="C846" s="13" t="s">
        <v>1717</v>
      </c>
      <c r="D846" s="13" t="s">
        <v>14</v>
      </c>
      <c r="E846" s="13" t="s">
        <v>54</v>
      </c>
      <c r="F846" s="13">
        <v>2010.0</v>
      </c>
      <c r="G846" s="13">
        <v>16227.0</v>
      </c>
      <c r="H846" s="13">
        <v>2020.85</v>
      </c>
      <c r="I846" s="13">
        <f>' car_sales_data 1'!$G846*0.2</f>
        <v>3245.4</v>
      </c>
      <c r="J846" s="13" t="str">
        <f>TEXT(' car_sales_data 1'!$A846,"mmmm")</f>
        <v>October</v>
      </c>
      <c r="K846" s="13" t="str">
        <f>IF(' car_sales_data 1'!$G846&gt;40000,"Premium",
 IF(' car_sales_data 1'!$G846&gt;=20000,"Mid Range","Budget"))</f>
        <v>Budget</v>
      </c>
      <c r="L846" s="13">
        <f>YEAR(TODAY())-' car_sales_data 1'!$F846</f>
        <v>15</v>
      </c>
    </row>
    <row r="847" ht="15.75" customHeight="1">
      <c r="A847" s="16">
        <v>44720.0</v>
      </c>
      <c r="B847" s="13" t="s">
        <v>1718</v>
      </c>
      <c r="C847" s="13" t="s">
        <v>1719</v>
      </c>
      <c r="D847" s="13" t="s">
        <v>10</v>
      </c>
      <c r="E847" s="13" t="s">
        <v>57</v>
      </c>
      <c r="F847" s="13">
        <v>2022.0</v>
      </c>
      <c r="G847" s="13">
        <v>15939.0</v>
      </c>
      <c r="H847" s="13">
        <v>2086.36</v>
      </c>
      <c r="I847" s="13">
        <f>' car_sales_data 1'!$G847*0.2</f>
        <v>3187.8</v>
      </c>
      <c r="J847" s="13" t="str">
        <f>TEXT(' car_sales_data 1'!$A847,"mmmm")</f>
        <v>June</v>
      </c>
      <c r="K847" s="13" t="str">
        <f>IF(' car_sales_data 1'!$G847&gt;40000,"Premium",
 IF(' car_sales_data 1'!$G847&gt;=20000,"Mid Range","Budget"))</f>
        <v>Budget</v>
      </c>
      <c r="L847" s="13">
        <f>YEAR(TODAY())-' car_sales_data 1'!$F847</f>
        <v>3</v>
      </c>
    </row>
    <row r="848" ht="15.75" customHeight="1">
      <c r="A848" s="16">
        <v>44783.0</v>
      </c>
      <c r="B848" s="13" t="s">
        <v>1720</v>
      </c>
      <c r="C848" s="13" t="s">
        <v>1721</v>
      </c>
      <c r="D848" s="13" t="s">
        <v>6</v>
      </c>
      <c r="E848" s="13" t="s">
        <v>57</v>
      </c>
      <c r="F848" s="13">
        <v>2010.0</v>
      </c>
      <c r="G848" s="13">
        <v>29379.0</v>
      </c>
      <c r="H848" s="13">
        <v>1493.69</v>
      </c>
      <c r="I848" s="13">
        <f>' car_sales_data 1'!$G848*0.2</f>
        <v>5875.8</v>
      </c>
      <c r="J848" s="13" t="str">
        <f>TEXT(' car_sales_data 1'!$A848,"mmmm")</f>
        <v>August</v>
      </c>
      <c r="K848" s="13" t="str">
        <f>IF(' car_sales_data 1'!$G848&gt;40000,"Premium",
 IF(' car_sales_data 1'!$G848&gt;=20000,"Mid Range","Budget"))</f>
        <v>Mid Range</v>
      </c>
      <c r="L848" s="13">
        <f>YEAR(TODAY())-' car_sales_data 1'!$F848</f>
        <v>15</v>
      </c>
    </row>
    <row r="849" ht="15.75" customHeight="1">
      <c r="A849" s="16">
        <v>44852.0</v>
      </c>
      <c r="B849" s="13" t="s">
        <v>1722</v>
      </c>
      <c r="C849" s="13" t="s">
        <v>1723</v>
      </c>
      <c r="D849" s="13" t="s">
        <v>8</v>
      </c>
      <c r="E849" s="13" t="s">
        <v>51</v>
      </c>
      <c r="F849" s="13">
        <v>2015.0</v>
      </c>
      <c r="G849" s="13">
        <v>40714.0</v>
      </c>
      <c r="H849" s="13">
        <v>3941.52</v>
      </c>
      <c r="I849" s="13">
        <f>' car_sales_data 1'!$G849*0.2</f>
        <v>8142.8</v>
      </c>
      <c r="J849" s="13" t="str">
        <f>TEXT(' car_sales_data 1'!$A849,"mmmm")</f>
        <v>October</v>
      </c>
      <c r="K849" s="13" t="str">
        <f>IF(' car_sales_data 1'!$G849&gt;40000,"Premium",
 IF(' car_sales_data 1'!$G849&gt;=20000,"Mid Range","Budget"))</f>
        <v>Premium</v>
      </c>
      <c r="L849" s="13">
        <f>YEAR(TODAY())-' car_sales_data 1'!$F849</f>
        <v>10</v>
      </c>
    </row>
    <row r="850" ht="15.75" customHeight="1">
      <c r="A850" s="16">
        <v>44833.0</v>
      </c>
      <c r="B850" s="13" t="s">
        <v>1724</v>
      </c>
      <c r="C850" s="13" t="s">
        <v>1725</v>
      </c>
      <c r="D850" s="13" t="s">
        <v>14</v>
      </c>
      <c r="E850" s="13" t="s">
        <v>70</v>
      </c>
      <c r="F850" s="13">
        <v>2014.0</v>
      </c>
      <c r="G850" s="13">
        <v>15844.0</v>
      </c>
      <c r="H850" s="13">
        <v>2322.32</v>
      </c>
      <c r="I850" s="13">
        <f>' car_sales_data 1'!$G850*0.2</f>
        <v>3168.8</v>
      </c>
      <c r="J850" s="13" t="str">
        <f>TEXT(' car_sales_data 1'!$A850,"mmmm")</f>
        <v>September</v>
      </c>
      <c r="K850" s="13" t="str">
        <f>IF(' car_sales_data 1'!$G850&gt;40000,"Premium",
 IF(' car_sales_data 1'!$G850&gt;=20000,"Mid Range","Budget"))</f>
        <v>Budget</v>
      </c>
      <c r="L850" s="13">
        <f>YEAR(TODAY())-' car_sales_data 1'!$F850</f>
        <v>11</v>
      </c>
    </row>
    <row r="851" ht="15.75" customHeight="1">
      <c r="A851" s="16">
        <v>44825.0</v>
      </c>
      <c r="B851" s="13" t="s">
        <v>1726</v>
      </c>
      <c r="C851" s="13" t="s">
        <v>1727</v>
      </c>
      <c r="D851" s="13" t="s">
        <v>12</v>
      </c>
      <c r="E851" s="13" t="s">
        <v>62</v>
      </c>
      <c r="F851" s="13">
        <v>2013.0</v>
      </c>
      <c r="G851" s="13">
        <v>25226.0</v>
      </c>
      <c r="H851" s="13">
        <v>2956.89</v>
      </c>
      <c r="I851" s="13">
        <f>' car_sales_data 1'!$G851*0.2</f>
        <v>5045.2</v>
      </c>
      <c r="J851" s="13" t="str">
        <f>TEXT(' car_sales_data 1'!$A851,"mmmm")</f>
        <v>September</v>
      </c>
      <c r="K851" s="13" t="str">
        <f>IF(' car_sales_data 1'!$G851&gt;40000,"Premium",
 IF(' car_sales_data 1'!$G851&gt;=20000,"Mid Range","Budget"))</f>
        <v>Mid Range</v>
      </c>
      <c r="L851" s="13">
        <f>YEAR(TODAY())-' car_sales_data 1'!$F851</f>
        <v>12</v>
      </c>
    </row>
    <row r="852" ht="15.75" customHeight="1">
      <c r="A852" s="16">
        <v>45015.0</v>
      </c>
      <c r="B852" s="13" t="s">
        <v>1728</v>
      </c>
      <c r="C852" s="13" t="s">
        <v>1729</v>
      </c>
      <c r="D852" s="13" t="s">
        <v>10</v>
      </c>
      <c r="E852" s="13" t="s">
        <v>70</v>
      </c>
      <c r="F852" s="13">
        <v>2013.0</v>
      </c>
      <c r="G852" s="13">
        <v>24577.0</v>
      </c>
      <c r="H852" s="13">
        <v>3246.79</v>
      </c>
      <c r="I852" s="13">
        <f>' car_sales_data 1'!$G852*0.2</f>
        <v>4915.4</v>
      </c>
      <c r="J852" s="13" t="str">
        <f>TEXT(' car_sales_data 1'!$A852,"mmmm")</f>
        <v>March</v>
      </c>
      <c r="K852" s="13" t="str">
        <f>IF(' car_sales_data 1'!$G852&gt;40000,"Premium",
 IF(' car_sales_data 1'!$G852&gt;=20000,"Mid Range","Budget"))</f>
        <v>Mid Range</v>
      </c>
      <c r="L852" s="13">
        <f>YEAR(TODAY())-' car_sales_data 1'!$F852</f>
        <v>12</v>
      </c>
    </row>
    <row r="853" ht="15.75" customHeight="1">
      <c r="A853" s="16">
        <v>44974.0</v>
      </c>
      <c r="B853" s="13" t="s">
        <v>1730</v>
      </c>
      <c r="C853" s="13" t="s">
        <v>1731</v>
      </c>
      <c r="D853" s="13" t="s">
        <v>14</v>
      </c>
      <c r="E853" s="13" t="s">
        <v>62</v>
      </c>
      <c r="F853" s="13">
        <v>2016.0</v>
      </c>
      <c r="G853" s="13">
        <v>34225.0</v>
      </c>
      <c r="H853" s="13">
        <v>4610.53</v>
      </c>
      <c r="I853" s="13">
        <f>' car_sales_data 1'!$G853*0.2</f>
        <v>6845</v>
      </c>
      <c r="J853" s="13" t="str">
        <f>TEXT(' car_sales_data 1'!$A853,"mmmm")</f>
        <v>February</v>
      </c>
      <c r="K853" s="13" t="str">
        <f>IF(' car_sales_data 1'!$G853&gt;40000,"Premium",
 IF(' car_sales_data 1'!$G853&gt;=20000,"Mid Range","Budget"))</f>
        <v>Mid Range</v>
      </c>
      <c r="L853" s="13">
        <f>YEAR(TODAY())-' car_sales_data 1'!$F853</f>
        <v>9</v>
      </c>
    </row>
    <row r="854" ht="15.75" customHeight="1">
      <c r="A854" s="16">
        <v>44929.0</v>
      </c>
      <c r="B854" s="13" t="s">
        <v>1732</v>
      </c>
      <c r="C854" s="13" t="s">
        <v>1733</v>
      </c>
      <c r="D854" s="13" t="s">
        <v>8</v>
      </c>
      <c r="E854" s="13" t="s">
        <v>57</v>
      </c>
      <c r="F854" s="13">
        <v>2010.0</v>
      </c>
      <c r="G854" s="13">
        <v>38659.0</v>
      </c>
      <c r="H854" s="13">
        <v>4431.6</v>
      </c>
      <c r="I854" s="13">
        <f>' car_sales_data 1'!$G854*0.2</f>
        <v>7731.8</v>
      </c>
      <c r="J854" s="13" t="str">
        <f>TEXT(' car_sales_data 1'!$A854,"mmmm")</f>
        <v>January</v>
      </c>
      <c r="K854" s="13" t="str">
        <f>IF(' car_sales_data 1'!$G854&gt;40000,"Premium",
 IF(' car_sales_data 1'!$G854&gt;=20000,"Mid Range","Budget"))</f>
        <v>Mid Range</v>
      </c>
      <c r="L854" s="13">
        <f>YEAR(TODAY())-' car_sales_data 1'!$F854</f>
        <v>15</v>
      </c>
    </row>
    <row r="855" ht="15.75" customHeight="1">
      <c r="A855" s="16">
        <v>44691.0</v>
      </c>
      <c r="B855" s="13" t="s">
        <v>1734</v>
      </c>
      <c r="C855" s="13" t="s">
        <v>1735</v>
      </c>
      <c r="D855" s="13" t="s">
        <v>14</v>
      </c>
      <c r="E855" s="13" t="s">
        <v>54</v>
      </c>
      <c r="F855" s="13">
        <v>2021.0</v>
      </c>
      <c r="G855" s="13">
        <v>31180.0</v>
      </c>
      <c r="H855" s="13">
        <v>3555.1</v>
      </c>
      <c r="I855" s="13">
        <f>' car_sales_data 1'!$G855*0.2</f>
        <v>6236</v>
      </c>
      <c r="J855" s="13" t="str">
        <f>TEXT(' car_sales_data 1'!$A855,"mmmm")</f>
        <v>May</v>
      </c>
      <c r="K855" s="13" t="str">
        <f>IF(' car_sales_data 1'!$G855&gt;40000,"Premium",
 IF(' car_sales_data 1'!$G855&gt;=20000,"Mid Range","Budget"))</f>
        <v>Mid Range</v>
      </c>
      <c r="L855" s="13">
        <f>YEAR(TODAY())-' car_sales_data 1'!$F855</f>
        <v>4</v>
      </c>
    </row>
    <row r="856" ht="15.75" customHeight="1">
      <c r="A856" s="16">
        <v>44786.0</v>
      </c>
      <c r="B856" s="13" t="s">
        <v>1736</v>
      </c>
      <c r="C856" s="13" t="s">
        <v>1737</v>
      </c>
      <c r="D856" s="13" t="s">
        <v>10</v>
      </c>
      <c r="E856" s="13" t="s">
        <v>70</v>
      </c>
      <c r="F856" s="13">
        <v>2017.0</v>
      </c>
      <c r="G856" s="13">
        <v>36711.0</v>
      </c>
      <c r="H856" s="13">
        <v>3265.68</v>
      </c>
      <c r="I856" s="13">
        <f>' car_sales_data 1'!$G856*0.2</f>
        <v>7342.2</v>
      </c>
      <c r="J856" s="13" t="str">
        <f>TEXT(' car_sales_data 1'!$A856,"mmmm")</f>
        <v>August</v>
      </c>
      <c r="K856" s="13" t="str">
        <f>IF(' car_sales_data 1'!$G856&gt;40000,"Premium",
 IF(' car_sales_data 1'!$G856&gt;=20000,"Mid Range","Budget"))</f>
        <v>Mid Range</v>
      </c>
      <c r="L856" s="13">
        <f>YEAR(TODAY())-' car_sales_data 1'!$F856</f>
        <v>8</v>
      </c>
    </row>
    <row r="857" ht="15.75" customHeight="1">
      <c r="A857" s="16">
        <v>44924.0</v>
      </c>
      <c r="B857" s="13" t="s">
        <v>1738</v>
      </c>
      <c r="C857" s="13" t="s">
        <v>1739</v>
      </c>
      <c r="D857" s="13" t="s">
        <v>14</v>
      </c>
      <c r="E857" s="13" t="s">
        <v>70</v>
      </c>
      <c r="F857" s="13">
        <v>2020.0</v>
      </c>
      <c r="G857" s="13">
        <v>10267.0</v>
      </c>
      <c r="H857" s="13">
        <v>1408.69</v>
      </c>
      <c r="I857" s="13">
        <f>' car_sales_data 1'!$G857*0.2</f>
        <v>2053.4</v>
      </c>
      <c r="J857" s="13" t="str">
        <f>TEXT(' car_sales_data 1'!$A857,"mmmm")</f>
        <v>December</v>
      </c>
      <c r="K857" s="13" t="str">
        <f>IF(' car_sales_data 1'!$G857&gt;40000,"Premium",
 IF(' car_sales_data 1'!$G857&gt;=20000,"Mid Range","Budget"))</f>
        <v>Budget</v>
      </c>
      <c r="L857" s="13">
        <f>YEAR(TODAY())-' car_sales_data 1'!$F857</f>
        <v>5</v>
      </c>
    </row>
    <row r="858" ht="15.75" customHeight="1">
      <c r="A858" s="16">
        <v>44874.0</v>
      </c>
      <c r="B858" s="13" t="s">
        <v>1740</v>
      </c>
      <c r="C858" s="13" t="s">
        <v>1741</v>
      </c>
      <c r="D858" s="13" t="s">
        <v>8</v>
      </c>
      <c r="E858" s="13" t="s">
        <v>54</v>
      </c>
      <c r="F858" s="13">
        <v>2013.0</v>
      </c>
      <c r="G858" s="13">
        <v>39055.0</v>
      </c>
      <c r="H858" s="13">
        <v>5035.95</v>
      </c>
      <c r="I858" s="13">
        <f>' car_sales_data 1'!$G858*0.2</f>
        <v>7811</v>
      </c>
      <c r="J858" s="13" t="str">
        <f>TEXT(' car_sales_data 1'!$A858,"mmmm")</f>
        <v>November</v>
      </c>
      <c r="K858" s="13" t="str">
        <f>IF(' car_sales_data 1'!$G858&gt;40000,"Premium",
 IF(' car_sales_data 1'!$G858&gt;=20000,"Mid Range","Budget"))</f>
        <v>Mid Range</v>
      </c>
      <c r="L858" s="13">
        <f>YEAR(TODAY())-' car_sales_data 1'!$F858</f>
        <v>12</v>
      </c>
    </row>
    <row r="859" ht="15.75" customHeight="1">
      <c r="A859" s="16">
        <v>44897.0</v>
      </c>
      <c r="B859" s="13" t="s">
        <v>1742</v>
      </c>
      <c r="C859" s="13" t="s">
        <v>1743</v>
      </c>
      <c r="D859" s="13" t="s">
        <v>6</v>
      </c>
      <c r="E859" s="13" t="s">
        <v>54</v>
      </c>
      <c r="F859" s="13">
        <v>2012.0</v>
      </c>
      <c r="G859" s="13">
        <v>23308.0</v>
      </c>
      <c r="H859" s="13">
        <v>1375.41</v>
      </c>
      <c r="I859" s="13">
        <f>' car_sales_data 1'!$G859*0.2</f>
        <v>4661.6</v>
      </c>
      <c r="J859" s="13" t="str">
        <f>TEXT(' car_sales_data 1'!$A859,"mmmm")</f>
        <v>December</v>
      </c>
      <c r="K859" s="13" t="str">
        <f>IF(' car_sales_data 1'!$G859&gt;40000,"Premium",
 IF(' car_sales_data 1'!$G859&gt;=20000,"Mid Range","Budget"))</f>
        <v>Mid Range</v>
      </c>
      <c r="L859" s="13">
        <f>YEAR(TODAY())-' car_sales_data 1'!$F859</f>
        <v>13</v>
      </c>
    </row>
    <row r="860" ht="15.75" customHeight="1">
      <c r="A860" s="16">
        <v>44686.0</v>
      </c>
      <c r="B860" s="13" t="s">
        <v>1744</v>
      </c>
      <c r="C860" s="13" t="s">
        <v>1745</v>
      </c>
      <c r="D860" s="13" t="s">
        <v>12</v>
      </c>
      <c r="E860" s="13" t="s">
        <v>51</v>
      </c>
      <c r="F860" s="13">
        <v>2022.0</v>
      </c>
      <c r="G860" s="13">
        <v>33401.0</v>
      </c>
      <c r="H860" s="13">
        <v>3352.55</v>
      </c>
      <c r="I860" s="13">
        <f>' car_sales_data 1'!$G860*0.2</f>
        <v>6680.2</v>
      </c>
      <c r="J860" s="13" t="str">
        <f>TEXT(' car_sales_data 1'!$A860,"mmmm")</f>
        <v>May</v>
      </c>
      <c r="K860" s="13" t="str">
        <f>IF(' car_sales_data 1'!$G860&gt;40000,"Premium",
 IF(' car_sales_data 1'!$G860&gt;=20000,"Mid Range","Budget"))</f>
        <v>Mid Range</v>
      </c>
      <c r="L860" s="13">
        <f>YEAR(TODAY())-' car_sales_data 1'!$F860</f>
        <v>3</v>
      </c>
    </row>
    <row r="861" ht="15.75" customHeight="1">
      <c r="A861" s="16">
        <v>45029.0</v>
      </c>
      <c r="B861" s="13" t="s">
        <v>1746</v>
      </c>
      <c r="C861" s="13" t="s">
        <v>1747</v>
      </c>
      <c r="D861" s="13" t="s">
        <v>10</v>
      </c>
      <c r="E861" s="13" t="s">
        <v>57</v>
      </c>
      <c r="F861" s="13">
        <v>2011.0</v>
      </c>
      <c r="G861" s="13">
        <v>27204.0</v>
      </c>
      <c r="H861" s="13">
        <v>1533.89</v>
      </c>
      <c r="I861" s="13">
        <f>' car_sales_data 1'!$G861*0.2</f>
        <v>5440.8</v>
      </c>
      <c r="J861" s="13" t="str">
        <f>TEXT(' car_sales_data 1'!$A861,"mmmm")</f>
        <v>April</v>
      </c>
      <c r="K861" s="13" t="str">
        <f>IF(' car_sales_data 1'!$G861&gt;40000,"Premium",
 IF(' car_sales_data 1'!$G861&gt;=20000,"Mid Range","Budget"))</f>
        <v>Mid Range</v>
      </c>
      <c r="L861" s="13">
        <f>YEAR(TODAY())-' car_sales_data 1'!$F861</f>
        <v>14</v>
      </c>
    </row>
    <row r="862" ht="15.75" customHeight="1">
      <c r="A862" s="16">
        <v>44942.0</v>
      </c>
      <c r="B862" s="13" t="s">
        <v>1748</v>
      </c>
      <c r="C862" s="13" t="s">
        <v>1749</v>
      </c>
      <c r="D862" s="13" t="s">
        <v>10</v>
      </c>
      <c r="E862" s="13" t="s">
        <v>70</v>
      </c>
      <c r="F862" s="13">
        <v>2013.0</v>
      </c>
      <c r="G862" s="13">
        <v>22947.0</v>
      </c>
      <c r="H862" s="13">
        <v>3007.22</v>
      </c>
      <c r="I862" s="13">
        <f>' car_sales_data 1'!$G862*0.2</f>
        <v>4589.4</v>
      </c>
      <c r="J862" s="13" t="str">
        <f>TEXT(' car_sales_data 1'!$A862,"mmmm")</f>
        <v>January</v>
      </c>
      <c r="K862" s="13" t="str">
        <f>IF(' car_sales_data 1'!$G862&gt;40000,"Premium",
 IF(' car_sales_data 1'!$G862&gt;=20000,"Mid Range","Budget"))</f>
        <v>Mid Range</v>
      </c>
      <c r="L862" s="13">
        <f>YEAR(TODAY())-' car_sales_data 1'!$F862</f>
        <v>12</v>
      </c>
    </row>
    <row r="863" ht="15.75" customHeight="1">
      <c r="A863" s="16">
        <v>44974.0</v>
      </c>
      <c r="B863" s="13" t="s">
        <v>1750</v>
      </c>
      <c r="C863" s="13" t="s">
        <v>1751</v>
      </c>
      <c r="D863" s="13" t="s">
        <v>12</v>
      </c>
      <c r="E863" s="13" t="s">
        <v>70</v>
      </c>
      <c r="F863" s="13">
        <v>2021.0</v>
      </c>
      <c r="G863" s="13">
        <v>23865.0</v>
      </c>
      <c r="H863" s="13">
        <v>2086.21</v>
      </c>
      <c r="I863" s="13">
        <f>' car_sales_data 1'!$G863*0.2</f>
        <v>4773</v>
      </c>
      <c r="J863" s="13" t="str">
        <f>TEXT(' car_sales_data 1'!$A863,"mmmm")</f>
        <v>February</v>
      </c>
      <c r="K863" s="13" t="str">
        <f>IF(' car_sales_data 1'!$G863&gt;40000,"Premium",
 IF(' car_sales_data 1'!$G863&gt;=20000,"Mid Range","Budget"))</f>
        <v>Mid Range</v>
      </c>
      <c r="L863" s="13">
        <f>YEAR(TODAY())-' car_sales_data 1'!$F863</f>
        <v>4</v>
      </c>
    </row>
    <row r="864" ht="15.75" customHeight="1">
      <c r="A864" s="16">
        <v>44969.0</v>
      </c>
      <c r="B864" s="13" t="s">
        <v>1752</v>
      </c>
      <c r="C864" s="13" t="s">
        <v>1753</v>
      </c>
      <c r="D864" s="13" t="s">
        <v>8</v>
      </c>
      <c r="E864" s="13" t="s">
        <v>51</v>
      </c>
      <c r="F864" s="13">
        <v>2021.0</v>
      </c>
      <c r="G864" s="13">
        <v>14068.0</v>
      </c>
      <c r="H864" s="13">
        <v>1243.47</v>
      </c>
      <c r="I864" s="13">
        <f>' car_sales_data 1'!$G864*0.2</f>
        <v>2813.6</v>
      </c>
      <c r="J864" s="13" t="str">
        <f>TEXT(' car_sales_data 1'!$A864,"mmmm")</f>
        <v>February</v>
      </c>
      <c r="K864" s="13" t="str">
        <f>IF(' car_sales_data 1'!$G864&gt;40000,"Premium",
 IF(' car_sales_data 1'!$G864&gt;=20000,"Mid Range","Budget"))</f>
        <v>Budget</v>
      </c>
      <c r="L864" s="13">
        <f>YEAR(TODAY())-' car_sales_data 1'!$F864</f>
        <v>4</v>
      </c>
    </row>
    <row r="865" ht="15.75" customHeight="1">
      <c r="A865" s="16">
        <v>44808.0</v>
      </c>
      <c r="B865" s="13" t="s">
        <v>1754</v>
      </c>
      <c r="C865" s="13" t="s">
        <v>1755</v>
      </c>
      <c r="D865" s="13" t="s">
        <v>10</v>
      </c>
      <c r="E865" s="13" t="s">
        <v>57</v>
      </c>
      <c r="F865" s="13">
        <v>2015.0</v>
      </c>
      <c r="G865" s="13">
        <v>11037.0</v>
      </c>
      <c r="H865" s="13">
        <v>727.96</v>
      </c>
      <c r="I865" s="13">
        <f>' car_sales_data 1'!$G865*0.2</f>
        <v>2207.4</v>
      </c>
      <c r="J865" s="13" t="str">
        <f>TEXT(' car_sales_data 1'!$A865,"mmmm")</f>
        <v>September</v>
      </c>
      <c r="K865" s="13" t="str">
        <f>IF(' car_sales_data 1'!$G865&gt;40000,"Premium",
 IF(' car_sales_data 1'!$G865&gt;=20000,"Mid Range","Budget"))</f>
        <v>Budget</v>
      </c>
      <c r="L865" s="13">
        <f>YEAR(TODAY())-' car_sales_data 1'!$F865</f>
        <v>10</v>
      </c>
    </row>
    <row r="866" ht="15.75" customHeight="1">
      <c r="A866" s="16">
        <v>45039.0</v>
      </c>
      <c r="B866" s="13" t="s">
        <v>1756</v>
      </c>
      <c r="C866" s="13" t="s">
        <v>1757</v>
      </c>
      <c r="D866" s="13" t="s">
        <v>10</v>
      </c>
      <c r="E866" s="13" t="s">
        <v>51</v>
      </c>
      <c r="F866" s="13">
        <v>2017.0</v>
      </c>
      <c r="G866" s="13">
        <v>35616.0</v>
      </c>
      <c r="H866" s="13">
        <v>4201.51</v>
      </c>
      <c r="I866" s="13">
        <f>' car_sales_data 1'!$G866*0.2</f>
        <v>7123.2</v>
      </c>
      <c r="J866" s="13" t="str">
        <f>TEXT(' car_sales_data 1'!$A866,"mmmm")</f>
        <v>April</v>
      </c>
      <c r="K866" s="13" t="str">
        <f>IF(' car_sales_data 1'!$G866&gt;40000,"Premium",
 IF(' car_sales_data 1'!$G866&gt;=20000,"Mid Range","Budget"))</f>
        <v>Mid Range</v>
      </c>
      <c r="L866" s="13">
        <f>YEAR(TODAY())-' car_sales_data 1'!$F866</f>
        <v>8</v>
      </c>
    </row>
    <row r="867" ht="15.75" customHeight="1">
      <c r="A867" s="16">
        <v>45009.0</v>
      </c>
      <c r="B867" s="13" t="s">
        <v>1758</v>
      </c>
      <c r="C867" s="13" t="s">
        <v>1759</v>
      </c>
      <c r="D867" s="13" t="s">
        <v>10</v>
      </c>
      <c r="E867" s="13" t="s">
        <v>51</v>
      </c>
      <c r="F867" s="13">
        <v>2019.0</v>
      </c>
      <c r="G867" s="13">
        <v>43666.0</v>
      </c>
      <c r="H867" s="13">
        <v>5121.82</v>
      </c>
      <c r="I867" s="13">
        <f>' car_sales_data 1'!$G867*0.2</f>
        <v>8733.2</v>
      </c>
      <c r="J867" s="13" t="str">
        <f>TEXT(' car_sales_data 1'!$A867,"mmmm")</f>
        <v>March</v>
      </c>
      <c r="K867" s="13" t="str">
        <f>IF(' car_sales_data 1'!$G867&gt;40000,"Premium",
 IF(' car_sales_data 1'!$G867&gt;=20000,"Mid Range","Budget"))</f>
        <v>Premium</v>
      </c>
      <c r="L867" s="13">
        <f>YEAR(TODAY())-' car_sales_data 1'!$F867</f>
        <v>6</v>
      </c>
    </row>
    <row r="868" ht="15.75" customHeight="1">
      <c r="A868" s="16">
        <v>44747.0</v>
      </c>
      <c r="B868" s="13" t="s">
        <v>1760</v>
      </c>
      <c r="C868" s="13" t="s">
        <v>1761</v>
      </c>
      <c r="D868" s="13" t="s">
        <v>8</v>
      </c>
      <c r="E868" s="13" t="s">
        <v>70</v>
      </c>
      <c r="F868" s="13">
        <v>2022.0</v>
      </c>
      <c r="G868" s="13">
        <v>11460.0</v>
      </c>
      <c r="H868" s="13">
        <v>939.69</v>
      </c>
      <c r="I868" s="13">
        <f>' car_sales_data 1'!$G868*0.2</f>
        <v>2292</v>
      </c>
      <c r="J868" s="13" t="str">
        <f>TEXT(' car_sales_data 1'!$A868,"mmmm")</f>
        <v>July</v>
      </c>
      <c r="K868" s="13" t="str">
        <f>IF(' car_sales_data 1'!$G868&gt;40000,"Premium",
 IF(' car_sales_data 1'!$G868&gt;=20000,"Mid Range","Budget"))</f>
        <v>Budget</v>
      </c>
      <c r="L868" s="13">
        <f>YEAR(TODAY())-' car_sales_data 1'!$F868</f>
        <v>3</v>
      </c>
    </row>
    <row r="869" ht="15.75" customHeight="1">
      <c r="A869" s="16">
        <v>45036.0</v>
      </c>
      <c r="B869" s="13" t="s">
        <v>1762</v>
      </c>
      <c r="C869" s="13" t="s">
        <v>1763</v>
      </c>
      <c r="D869" s="13" t="s">
        <v>8</v>
      </c>
      <c r="E869" s="13" t="s">
        <v>54</v>
      </c>
      <c r="F869" s="13">
        <v>2014.0</v>
      </c>
      <c r="G869" s="13">
        <v>23269.0</v>
      </c>
      <c r="H869" s="13">
        <v>1799.3</v>
      </c>
      <c r="I869" s="13">
        <f>' car_sales_data 1'!$G869*0.2</f>
        <v>4653.8</v>
      </c>
      <c r="J869" s="13" t="str">
        <f>TEXT(' car_sales_data 1'!$A869,"mmmm")</f>
        <v>April</v>
      </c>
      <c r="K869" s="13" t="str">
        <f>IF(' car_sales_data 1'!$G869&gt;40000,"Premium",
 IF(' car_sales_data 1'!$G869&gt;=20000,"Mid Range","Budget"))</f>
        <v>Mid Range</v>
      </c>
      <c r="L869" s="13">
        <f>YEAR(TODAY())-' car_sales_data 1'!$F869</f>
        <v>11</v>
      </c>
    </row>
    <row r="870" ht="15.75" customHeight="1">
      <c r="A870" s="16">
        <v>44933.0</v>
      </c>
      <c r="B870" s="13" t="s">
        <v>1764</v>
      </c>
      <c r="C870" s="13" t="s">
        <v>1765</v>
      </c>
      <c r="D870" s="13" t="s">
        <v>8</v>
      </c>
      <c r="E870" s="13" t="s">
        <v>51</v>
      </c>
      <c r="F870" s="13">
        <v>2019.0</v>
      </c>
      <c r="G870" s="13">
        <v>24131.0</v>
      </c>
      <c r="H870" s="13">
        <v>1715.09</v>
      </c>
      <c r="I870" s="13">
        <f>' car_sales_data 1'!$G870*0.2</f>
        <v>4826.2</v>
      </c>
      <c r="J870" s="13" t="str">
        <f>TEXT(' car_sales_data 1'!$A870,"mmmm")</f>
        <v>January</v>
      </c>
      <c r="K870" s="13" t="str">
        <f>IF(' car_sales_data 1'!$G870&gt;40000,"Premium",
 IF(' car_sales_data 1'!$G870&gt;=20000,"Mid Range","Budget"))</f>
        <v>Mid Range</v>
      </c>
      <c r="L870" s="13">
        <f>YEAR(TODAY())-' car_sales_data 1'!$F870</f>
        <v>6</v>
      </c>
    </row>
    <row r="871" ht="15.75" customHeight="1">
      <c r="A871" s="16">
        <v>44924.0</v>
      </c>
      <c r="B871" s="13" t="s">
        <v>1766</v>
      </c>
      <c r="C871" s="13" t="s">
        <v>1767</v>
      </c>
      <c r="D871" s="13" t="s">
        <v>8</v>
      </c>
      <c r="E871" s="13" t="s">
        <v>57</v>
      </c>
      <c r="F871" s="13">
        <v>2022.0</v>
      </c>
      <c r="G871" s="13">
        <v>13712.0</v>
      </c>
      <c r="H871" s="13">
        <v>1166.25</v>
      </c>
      <c r="I871" s="13">
        <f>' car_sales_data 1'!$G871*0.2</f>
        <v>2742.4</v>
      </c>
      <c r="J871" s="13" t="str">
        <f>TEXT(' car_sales_data 1'!$A871,"mmmm")</f>
        <v>December</v>
      </c>
      <c r="K871" s="13" t="str">
        <f>IF(' car_sales_data 1'!$G871&gt;40000,"Premium",
 IF(' car_sales_data 1'!$G871&gt;=20000,"Mid Range","Budget"))</f>
        <v>Budget</v>
      </c>
      <c r="L871" s="13">
        <f>YEAR(TODAY())-' car_sales_data 1'!$F871</f>
        <v>3</v>
      </c>
    </row>
    <row r="872" ht="15.75" customHeight="1">
      <c r="A872" s="16">
        <v>44994.0</v>
      </c>
      <c r="B872" s="13" t="s">
        <v>1768</v>
      </c>
      <c r="C872" s="13" t="s">
        <v>1769</v>
      </c>
      <c r="D872" s="13" t="s">
        <v>8</v>
      </c>
      <c r="E872" s="13" t="s">
        <v>70</v>
      </c>
      <c r="F872" s="13">
        <v>2012.0</v>
      </c>
      <c r="G872" s="13">
        <v>44194.0</v>
      </c>
      <c r="H872" s="13">
        <v>3177.37</v>
      </c>
      <c r="I872" s="13">
        <f>' car_sales_data 1'!$G872*0.2</f>
        <v>8838.8</v>
      </c>
      <c r="J872" s="13" t="str">
        <f>TEXT(' car_sales_data 1'!$A872,"mmmm")</f>
        <v>March</v>
      </c>
      <c r="K872" s="13" t="str">
        <f>IF(' car_sales_data 1'!$G872&gt;40000,"Premium",
 IF(' car_sales_data 1'!$G872&gt;=20000,"Mid Range","Budget"))</f>
        <v>Premium</v>
      </c>
      <c r="L872" s="13">
        <f>YEAR(TODAY())-' car_sales_data 1'!$F872</f>
        <v>13</v>
      </c>
    </row>
    <row r="873" ht="15.75" customHeight="1">
      <c r="A873" s="16">
        <v>44972.0</v>
      </c>
      <c r="B873" s="13" t="s">
        <v>1770</v>
      </c>
      <c r="C873" s="13" t="s">
        <v>1771</v>
      </c>
      <c r="D873" s="13" t="s">
        <v>12</v>
      </c>
      <c r="E873" s="13" t="s">
        <v>62</v>
      </c>
      <c r="F873" s="13">
        <v>2022.0</v>
      </c>
      <c r="G873" s="13">
        <v>12470.0</v>
      </c>
      <c r="H873" s="13">
        <v>1848.78</v>
      </c>
      <c r="I873" s="13">
        <f>' car_sales_data 1'!$G873*0.2</f>
        <v>2494</v>
      </c>
      <c r="J873" s="13" t="str">
        <f>TEXT(' car_sales_data 1'!$A873,"mmmm")</f>
        <v>February</v>
      </c>
      <c r="K873" s="13" t="str">
        <f>IF(' car_sales_data 1'!$G873&gt;40000,"Premium",
 IF(' car_sales_data 1'!$G873&gt;=20000,"Mid Range","Budget"))</f>
        <v>Budget</v>
      </c>
      <c r="L873" s="13">
        <f>YEAR(TODAY())-' car_sales_data 1'!$F873</f>
        <v>3</v>
      </c>
    </row>
    <row r="874" ht="15.75" customHeight="1">
      <c r="A874" s="16">
        <v>45034.0</v>
      </c>
      <c r="B874" s="13" t="s">
        <v>1772</v>
      </c>
      <c r="C874" s="13" t="s">
        <v>1773</v>
      </c>
      <c r="D874" s="13" t="s">
        <v>14</v>
      </c>
      <c r="E874" s="13" t="s">
        <v>57</v>
      </c>
      <c r="F874" s="13">
        <v>2015.0</v>
      </c>
      <c r="G874" s="13">
        <v>39834.0</v>
      </c>
      <c r="H874" s="13">
        <v>2127.81</v>
      </c>
      <c r="I874" s="13">
        <f>' car_sales_data 1'!$G874*0.2</f>
        <v>7966.8</v>
      </c>
      <c r="J874" s="13" t="str">
        <f>TEXT(' car_sales_data 1'!$A874,"mmmm")</f>
        <v>April</v>
      </c>
      <c r="K874" s="13" t="str">
        <f>IF(' car_sales_data 1'!$G874&gt;40000,"Premium",
 IF(' car_sales_data 1'!$G874&gt;=20000,"Mid Range","Budget"))</f>
        <v>Mid Range</v>
      </c>
      <c r="L874" s="13">
        <f>YEAR(TODAY())-' car_sales_data 1'!$F874</f>
        <v>10</v>
      </c>
    </row>
    <row r="875" ht="15.75" customHeight="1">
      <c r="A875" s="16">
        <v>44855.0</v>
      </c>
      <c r="B875" s="13" t="s">
        <v>1774</v>
      </c>
      <c r="C875" s="13" t="s">
        <v>1775</v>
      </c>
      <c r="D875" s="13" t="s">
        <v>10</v>
      </c>
      <c r="E875" s="13" t="s">
        <v>51</v>
      </c>
      <c r="F875" s="13">
        <v>2013.0</v>
      </c>
      <c r="G875" s="13">
        <v>22879.0</v>
      </c>
      <c r="H875" s="13">
        <v>2917.81</v>
      </c>
      <c r="I875" s="13">
        <f>' car_sales_data 1'!$G875*0.2</f>
        <v>4575.8</v>
      </c>
      <c r="J875" s="13" t="str">
        <f>TEXT(' car_sales_data 1'!$A875,"mmmm")</f>
        <v>October</v>
      </c>
      <c r="K875" s="13" t="str">
        <f>IF(' car_sales_data 1'!$G875&gt;40000,"Premium",
 IF(' car_sales_data 1'!$G875&gt;=20000,"Mid Range","Budget"))</f>
        <v>Mid Range</v>
      </c>
      <c r="L875" s="13">
        <f>YEAR(TODAY())-' car_sales_data 1'!$F875</f>
        <v>12</v>
      </c>
    </row>
    <row r="876" ht="15.75" customHeight="1">
      <c r="A876" s="16">
        <v>44744.0</v>
      </c>
      <c r="B876" s="13" t="s">
        <v>1776</v>
      </c>
      <c r="C876" s="13" t="s">
        <v>1777</v>
      </c>
      <c r="D876" s="13" t="s">
        <v>6</v>
      </c>
      <c r="E876" s="13" t="s">
        <v>54</v>
      </c>
      <c r="F876" s="13">
        <v>2012.0</v>
      </c>
      <c r="G876" s="13">
        <v>22218.0</v>
      </c>
      <c r="H876" s="13">
        <v>1159.34</v>
      </c>
      <c r="I876" s="13">
        <f>' car_sales_data 1'!$G876*0.2</f>
        <v>4443.6</v>
      </c>
      <c r="J876" s="13" t="str">
        <f>TEXT(' car_sales_data 1'!$A876,"mmmm")</f>
        <v>July</v>
      </c>
      <c r="K876" s="13" t="str">
        <f>IF(' car_sales_data 1'!$G876&gt;40000,"Premium",
 IF(' car_sales_data 1'!$G876&gt;=20000,"Mid Range","Budget"))</f>
        <v>Mid Range</v>
      </c>
      <c r="L876" s="13">
        <f>YEAR(TODAY())-' car_sales_data 1'!$F876</f>
        <v>13</v>
      </c>
    </row>
    <row r="877" ht="15.75" customHeight="1">
      <c r="A877" s="16">
        <v>44815.0</v>
      </c>
      <c r="B877" s="13" t="s">
        <v>1778</v>
      </c>
      <c r="C877" s="13" t="s">
        <v>1779</v>
      </c>
      <c r="D877" s="13" t="s">
        <v>14</v>
      </c>
      <c r="E877" s="13" t="s">
        <v>70</v>
      </c>
      <c r="F877" s="13">
        <v>2013.0</v>
      </c>
      <c r="G877" s="13">
        <v>22195.0</v>
      </c>
      <c r="H877" s="13">
        <v>2493.87</v>
      </c>
      <c r="I877" s="13">
        <f>' car_sales_data 1'!$G877*0.2</f>
        <v>4439</v>
      </c>
      <c r="J877" s="13" t="str">
        <f>TEXT(' car_sales_data 1'!$A877,"mmmm")</f>
        <v>September</v>
      </c>
      <c r="K877" s="13" t="str">
        <f>IF(' car_sales_data 1'!$G877&gt;40000,"Premium",
 IF(' car_sales_data 1'!$G877&gt;=20000,"Mid Range","Budget"))</f>
        <v>Mid Range</v>
      </c>
      <c r="L877" s="13">
        <f>YEAR(TODAY())-' car_sales_data 1'!$F877</f>
        <v>12</v>
      </c>
    </row>
    <row r="878" ht="15.75" customHeight="1">
      <c r="A878" s="16">
        <v>44719.0</v>
      </c>
      <c r="B878" s="13" t="s">
        <v>1780</v>
      </c>
      <c r="C878" s="13" t="s">
        <v>1781</v>
      </c>
      <c r="D878" s="13" t="s">
        <v>12</v>
      </c>
      <c r="E878" s="13" t="s">
        <v>54</v>
      </c>
      <c r="F878" s="13">
        <v>2018.0</v>
      </c>
      <c r="G878" s="13">
        <v>45845.0</v>
      </c>
      <c r="H878" s="13">
        <v>6191.16</v>
      </c>
      <c r="I878" s="13">
        <f>' car_sales_data 1'!$G878*0.2</f>
        <v>9169</v>
      </c>
      <c r="J878" s="13" t="str">
        <f>TEXT(' car_sales_data 1'!$A878,"mmmm")</f>
        <v>June</v>
      </c>
      <c r="K878" s="13" t="str">
        <f>IF(' car_sales_data 1'!$G878&gt;40000,"Premium",
 IF(' car_sales_data 1'!$G878&gt;=20000,"Mid Range","Budget"))</f>
        <v>Premium</v>
      </c>
      <c r="L878" s="13">
        <f>YEAR(TODAY())-' car_sales_data 1'!$F878</f>
        <v>7</v>
      </c>
    </row>
    <row r="879" ht="15.75" customHeight="1">
      <c r="A879" s="16">
        <v>44856.0</v>
      </c>
      <c r="B879" s="13" t="s">
        <v>1782</v>
      </c>
      <c r="C879" s="13" t="s">
        <v>1783</v>
      </c>
      <c r="D879" s="13" t="s">
        <v>14</v>
      </c>
      <c r="E879" s="13" t="s">
        <v>70</v>
      </c>
      <c r="F879" s="13">
        <v>2015.0</v>
      </c>
      <c r="G879" s="13">
        <v>44845.0</v>
      </c>
      <c r="H879" s="13">
        <v>3127.83</v>
      </c>
      <c r="I879" s="13">
        <f>' car_sales_data 1'!$G879*0.2</f>
        <v>8969</v>
      </c>
      <c r="J879" s="13" t="str">
        <f>TEXT(' car_sales_data 1'!$A879,"mmmm")</f>
        <v>October</v>
      </c>
      <c r="K879" s="13" t="str">
        <f>IF(' car_sales_data 1'!$G879&gt;40000,"Premium",
 IF(' car_sales_data 1'!$G879&gt;=20000,"Mid Range","Budget"))</f>
        <v>Premium</v>
      </c>
      <c r="L879" s="13">
        <f>YEAR(TODAY())-' car_sales_data 1'!$F879</f>
        <v>10</v>
      </c>
    </row>
    <row r="880" ht="15.75" customHeight="1">
      <c r="A880" s="16">
        <v>44786.0</v>
      </c>
      <c r="B880" s="13" t="s">
        <v>1784</v>
      </c>
      <c r="C880" s="13" t="s">
        <v>1785</v>
      </c>
      <c r="D880" s="13" t="s">
        <v>14</v>
      </c>
      <c r="E880" s="13" t="s">
        <v>62</v>
      </c>
      <c r="F880" s="13">
        <v>2012.0</v>
      </c>
      <c r="G880" s="13">
        <v>47068.0</v>
      </c>
      <c r="H880" s="13">
        <v>5929.3</v>
      </c>
      <c r="I880" s="13">
        <f>' car_sales_data 1'!$G880*0.2</f>
        <v>9413.6</v>
      </c>
      <c r="J880" s="13" t="str">
        <f>TEXT(' car_sales_data 1'!$A880,"mmmm")</f>
        <v>August</v>
      </c>
      <c r="K880" s="13" t="str">
        <f>IF(' car_sales_data 1'!$G880&gt;40000,"Premium",
 IF(' car_sales_data 1'!$G880&gt;=20000,"Mid Range","Budget"))</f>
        <v>Premium</v>
      </c>
      <c r="L880" s="13">
        <f>YEAR(TODAY())-' car_sales_data 1'!$F880</f>
        <v>13</v>
      </c>
    </row>
    <row r="881" ht="15.75" customHeight="1">
      <c r="A881" s="16">
        <v>45018.0</v>
      </c>
      <c r="B881" s="13" t="s">
        <v>1786</v>
      </c>
      <c r="C881" s="13" t="s">
        <v>1787</v>
      </c>
      <c r="D881" s="13" t="s">
        <v>10</v>
      </c>
      <c r="E881" s="13" t="s">
        <v>51</v>
      </c>
      <c r="F881" s="13">
        <v>2016.0</v>
      </c>
      <c r="G881" s="13">
        <v>46116.0</v>
      </c>
      <c r="H881" s="13">
        <v>3150.34</v>
      </c>
      <c r="I881" s="13">
        <f>' car_sales_data 1'!$G881*0.2</f>
        <v>9223.2</v>
      </c>
      <c r="J881" s="13" t="str">
        <f>TEXT(' car_sales_data 1'!$A881,"mmmm")</f>
        <v>April</v>
      </c>
      <c r="K881" s="13" t="str">
        <f>IF(' car_sales_data 1'!$G881&gt;40000,"Premium",
 IF(' car_sales_data 1'!$G881&gt;=20000,"Mid Range","Budget"))</f>
        <v>Premium</v>
      </c>
      <c r="L881" s="13">
        <f>YEAR(TODAY())-' car_sales_data 1'!$F881</f>
        <v>9</v>
      </c>
    </row>
    <row r="882" ht="15.75" customHeight="1">
      <c r="A882" s="16">
        <v>44693.0</v>
      </c>
      <c r="B882" s="13" t="s">
        <v>1788</v>
      </c>
      <c r="C882" s="13" t="s">
        <v>1789</v>
      </c>
      <c r="D882" s="13" t="s">
        <v>10</v>
      </c>
      <c r="E882" s="13" t="s">
        <v>70</v>
      </c>
      <c r="F882" s="13">
        <v>2022.0</v>
      </c>
      <c r="G882" s="13">
        <v>28376.0</v>
      </c>
      <c r="H882" s="13">
        <v>3639.03</v>
      </c>
      <c r="I882" s="13">
        <f>' car_sales_data 1'!$G882*0.2</f>
        <v>5675.2</v>
      </c>
      <c r="J882" s="13" t="str">
        <f>TEXT(' car_sales_data 1'!$A882,"mmmm")</f>
        <v>May</v>
      </c>
      <c r="K882" s="13" t="str">
        <f>IF(' car_sales_data 1'!$G882&gt;40000,"Premium",
 IF(' car_sales_data 1'!$G882&gt;=20000,"Mid Range","Budget"))</f>
        <v>Mid Range</v>
      </c>
      <c r="L882" s="13">
        <f>YEAR(TODAY())-' car_sales_data 1'!$F882</f>
        <v>3</v>
      </c>
    </row>
    <row r="883" ht="15.75" customHeight="1">
      <c r="A883" s="16">
        <v>45025.0</v>
      </c>
      <c r="B883" s="13" t="s">
        <v>1790</v>
      </c>
      <c r="C883" s="13" t="s">
        <v>1791</v>
      </c>
      <c r="D883" s="13" t="s">
        <v>10</v>
      </c>
      <c r="E883" s="13" t="s">
        <v>54</v>
      </c>
      <c r="F883" s="13">
        <v>2019.0</v>
      </c>
      <c r="G883" s="13">
        <v>34314.0</v>
      </c>
      <c r="H883" s="13">
        <v>4232.39</v>
      </c>
      <c r="I883" s="13">
        <f>' car_sales_data 1'!$G883*0.2</f>
        <v>6862.8</v>
      </c>
      <c r="J883" s="13" t="str">
        <f>TEXT(' car_sales_data 1'!$A883,"mmmm")</f>
        <v>April</v>
      </c>
      <c r="K883" s="13" t="str">
        <f>IF(' car_sales_data 1'!$G883&gt;40000,"Premium",
 IF(' car_sales_data 1'!$G883&gt;=20000,"Mid Range","Budget"))</f>
        <v>Mid Range</v>
      </c>
      <c r="L883" s="13">
        <f>YEAR(TODAY())-' car_sales_data 1'!$F883</f>
        <v>6</v>
      </c>
    </row>
    <row r="884" ht="15.75" customHeight="1">
      <c r="A884" s="16">
        <v>44995.0</v>
      </c>
      <c r="B884" s="13" t="s">
        <v>1792</v>
      </c>
      <c r="C884" s="13" t="s">
        <v>1793</v>
      </c>
      <c r="D884" s="13" t="s">
        <v>8</v>
      </c>
      <c r="E884" s="13" t="s">
        <v>70</v>
      </c>
      <c r="F884" s="13">
        <v>2020.0</v>
      </c>
      <c r="G884" s="13">
        <v>37145.0</v>
      </c>
      <c r="H884" s="13">
        <v>3677.12</v>
      </c>
      <c r="I884" s="13">
        <f>' car_sales_data 1'!$G884*0.2</f>
        <v>7429</v>
      </c>
      <c r="J884" s="13" t="str">
        <f>TEXT(' car_sales_data 1'!$A884,"mmmm")</f>
        <v>March</v>
      </c>
      <c r="K884" s="13" t="str">
        <f>IF(' car_sales_data 1'!$G884&gt;40000,"Premium",
 IF(' car_sales_data 1'!$G884&gt;=20000,"Mid Range","Budget"))</f>
        <v>Mid Range</v>
      </c>
      <c r="L884" s="13">
        <f>YEAR(TODAY())-' car_sales_data 1'!$F884</f>
        <v>5</v>
      </c>
    </row>
    <row r="885" ht="15.75" customHeight="1">
      <c r="A885" s="16">
        <v>44825.0</v>
      </c>
      <c r="B885" s="13" t="s">
        <v>1794</v>
      </c>
      <c r="C885" s="13" t="s">
        <v>1795</v>
      </c>
      <c r="D885" s="13" t="s">
        <v>12</v>
      </c>
      <c r="E885" s="13" t="s">
        <v>51</v>
      </c>
      <c r="F885" s="13">
        <v>2012.0</v>
      </c>
      <c r="G885" s="13">
        <v>26261.0</v>
      </c>
      <c r="H885" s="13">
        <v>3592.12</v>
      </c>
      <c r="I885" s="13">
        <f>' car_sales_data 1'!$G885*0.2</f>
        <v>5252.2</v>
      </c>
      <c r="J885" s="13" t="str">
        <f>TEXT(' car_sales_data 1'!$A885,"mmmm")</f>
        <v>September</v>
      </c>
      <c r="K885" s="13" t="str">
        <f>IF(' car_sales_data 1'!$G885&gt;40000,"Premium",
 IF(' car_sales_data 1'!$G885&gt;=20000,"Mid Range","Budget"))</f>
        <v>Mid Range</v>
      </c>
      <c r="L885" s="13">
        <f>YEAR(TODAY())-' car_sales_data 1'!$F885</f>
        <v>13</v>
      </c>
    </row>
    <row r="886" ht="15.75" customHeight="1">
      <c r="A886" s="16">
        <v>45023.0</v>
      </c>
      <c r="B886" s="13" t="s">
        <v>1796</v>
      </c>
      <c r="C886" s="13" t="s">
        <v>1797</v>
      </c>
      <c r="D886" s="13" t="s">
        <v>8</v>
      </c>
      <c r="E886" s="13" t="s">
        <v>62</v>
      </c>
      <c r="F886" s="13">
        <v>2012.0</v>
      </c>
      <c r="G886" s="13">
        <v>33312.0</v>
      </c>
      <c r="H886" s="13">
        <v>2142.03</v>
      </c>
      <c r="I886" s="13">
        <f>' car_sales_data 1'!$G886*0.2</f>
        <v>6662.4</v>
      </c>
      <c r="J886" s="13" t="str">
        <f>TEXT(' car_sales_data 1'!$A886,"mmmm")</f>
        <v>April</v>
      </c>
      <c r="K886" s="13" t="str">
        <f>IF(' car_sales_data 1'!$G886&gt;40000,"Premium",
 IF(' car_sales_data 1'!$G886&gt;=20000,"Mid Range","Budget"))</f>
        <v>Mid Range</v>
      </c>
      <c r="L886" s="13">
        <f>YEAR(TODAY())-' car_sales_data 1'!$F886</f>
        <v>13</v>
      </c>
    </row>
    <row r="887" ht="15.75" customHeight="1">
      <c r="A887" s="16">
        <v>44977.0</v>
      </c>
      <c r="B887" s="13" t="s">
        <v>1798</v>
      </c>
      <c r="C887" s="13" t="s">
        <v>1799</v>
      </c>
      <c r="D887" s="13" t="s">
        <v>8</v>
      </c>
      <c r="E887" s="13" t="s">
        <v>51</v>
      </c>
      <c r="F887" s="13">
        <v>2018.0</v>
      </c>
      <c r="G887" s="13">
        <v>18932.0</v>
      </c>
      <c r="H887" s="13">
        <v>1988.93</v>
      </c>
      <c r="I887" s="13">
        <f>' car_sales_data 1'!$G887*0.2</f>
        <v>3786.4</v>
      </c>
      <c r="J887" s="13" t="str">
        <f>TEXT(' car_sales_data 1'!$A887,"mmmm")</f>
        <v>February</v>
      </c>
      <c r="K887" s="13" t="str">
        <f>IF(' car_sales_data 1'!$G887&gt;40000,"Premium",
 IF(' car_sales_data 1'!$G887&gt;=20000,"Mid Range","Budget"))</f>
        <v>Budget</v>
      </c>
      <c r="L887" s="13">
        <f>YEAR(TODAY())-' car_sales_data 1'!$F887</f>
        <v>7</v>
      </c>
    </row>
    <row r="888" ht="15.75" customHeight="1">
      <c r="A888" s="16">
        <v>44899.0</v>
      </c>
      <c r="B888" s="13" t="s">
        <v>1800</v>
      </c>
      <c r="C888" s="13" t="s">
        <v>1801</v>
      </c>
      <c r="D888" s="13" t="s">
        <v>6</v>
      </c>
      <c r="E888" s="13" t="s">
        <v>54</v>
      </c>
      <c r="F888" s="13">
        <v>2018.0</v>
      </c>
      <c r="G888" s="13">
        <v>31743.0</v>
      </c>
      <c r="H888" s="13">
        <v>2255.66</v>
      </c>
      <c r="I888" s="13">
        <f>' car_sales_data 1'!$G888*0.2</f>
        <v>6348.6</v>
      </c>
      <c r="J888" s="13" t="str">
        <f>TEXT(' car_sales_data 1'!$A888,"mmmm")</f>
        <v>December</v>
      </c>
      <c r="K888" s="13" t="str">
        <f>IF(' car_sales_data 1'!$G888&gt;40000,"Premium",
 IF(' car_sales_data 1'!$G888&gt;=20000,"Mid Range","Budget"))</f>
        <v>Mid Range</v>
      </c>
      <c r="L888" s="13">
        <f>YEAR(TODAY())-' car_sales_data 1'!$F888</f>
        <v>7</v>
      </c>
    </row>
    <row r="889" ht="15.75" customHeight="1">
      <c r="A889" s="16">
        <v>44716.0</v>
      </c>
      <c r="B889" s="13" t="s">
        <v>1802</v>
      </c>
      <c r="C889" s="13" t="s">
        <v>1803</v>
      </c>
      <c r="D889" s="13" t="s">
        <v>6</v>
      </c>
      <c r="E889" s="13" t="s">
        <v>57</v>
      </c>
      <c r="F889" s="13">
        <v>2013.0</v>
      </c>
      <c r="G889" s="13">
        <v>19869.0</v>
      </c>
      <c r="H889" s="13">
        <v>1135.45</v>
      </c>
      <c r="I889" s="13">
        <f>' car_sales_data 1'!$G889*0.2</f>
        <v>3973.8</v>
      </c>
      <c r="J889" s="13" t="str">
        <f>TEXT(' car_sales_data 1'!$A889,"mmmm")</f>
        <v>June</v>
      </c>
      <c r="K889" s="13" t="str">
        <f>IF(' car_sales_data 1'!$G889&gt;40000,"Premium",
 IF(' car_sales_data 1'!$G889&gt;=20000,"Mid Range","Budget"))</f>
        <v>Budget</v>
      </c>
      <c r="L889" s="13">
        <f>YEAR(TODAY())-' car_sales_data 1'!$F889</f>
        <v>12</v>
      </c>
    </row>
    <row r="890" ht="15.75" customHeight="1">
      <c r="A890" s="16">
        <v>45047.0</v>
      </c>
      <c r="B890" s="13" t="s">
        <v>1804</v>
      </c>
      <c r="C890" s="13" t="s">
        <v>1805</v>
      </c>
      <c r="D890" s="13" t="s">
        <v>10</v>
      </c>
      <c r="E890" s="13" t="s">
        <v>51</v>
      </c>
      <c r="F890" s="13">
        <v>2015.0</v>
      </c>
      <c r="G890" s="13">
        <v>35703.0</v>
      </c>
      <c r="H890" s="13">
        <v>3072.81</v>
      </c>
      <c r="I890" s="13">
        <f>' car_sales_data 1'!$G890*0.2</f>
        <v>7140.6</v>
      </c>
      <c r="J890" s="13" t="str">
        <f>TEXT(' car_sales_data 1'!$A890,"mmmm")</f>
        <v>May</v>
      </c>
      <c r="K890" s="13" t="str">
        <f>IF(' car_sales_data 1'!$G890&gt;40000,"Premium",
 IF(' car_sales_data 1'!$G890&gt;=20000,"Mid Range","Budget"))</f>
        <v>Mid Range</v>
      </c>
      <c r="L890" s="13">
        <f>YEAR(TODAY())-' car_sales_data 1'!$F890</f>
        <v>10</v>
      </c>
    </row>
    <row r="891" ht="15.75" customHeight="1">
      <c r="A891" s="16">
        <v>44739.0</v>
      </c>
      <c r="B891" s="13" t="s">
        <v>1806</v>
      </c>
      <c r="C891" s="13" t="s">
        <v>1807</v>
      </c>
      <c r="D891" s="13" t="s">
        <v>6</v>
      </c>
      <c r="E891" s="13" t="s">
        <v>54</v>
      </c>
      <c r="F891" s="13">
        <v>2015.0</v>
      </c>
      <c r="G891" s="13">
        <v>15027.0</v>
      </c>
      <c r="H891" s="13">
        <v>2027.09</v>
      </c>
      <c r="I891" s="13">
        <f>' car_sales_data 1'!$G891*0.2</f>
        <v>3005.4</v>
      </c>
      <c r="J891" s="13" t="str">
        <f>TEXT(' car_sales_data 1'!$A891,"mmmm")</f>
        <v>June</v>
      </c>
      <c r="K891" s="13" t="str">
        <f>IF(' car_sales_data 1'!$G891&gt;40000,"Premium",
 IF(' car_sales_data 1'!$G891&gt;=20000,"Mid Range","Budget"))</f>
        <v>Budget</v>
      </c>
      <c r="L891" s="13">
        <f>YEAR(TODAY())-' car_sales_data 1'!$F891</f>
        <v>10</v>
      </c>
    </row>
    <row r="892" ht="15.75" customHeight="1">
      <c r="A892" s="16">
        <v>44691.0</v>
      </c>
      <c r="B892" s="13" t="s">
        <v>1808</v>
      </c>
      <c r="C892" s="13" t="s">
        <v>1809</v>
      </c>
      <c r="D892" s="13" t="s">
        <v>10</v>
      </c>
      <c r="E892" s="13" t="s">
        <v>54</v>
      </c>
      <c r="F892" s="13">
        <v>2013.0</v>
      </c>
      <c r="G892" s="13">
        <v>12557.0</v>
      </c>
      <c r="H892" s="13">
        <v>982.12</v>
      </c>
      <c r="I892" s="13">
        <f>' car_sales_data 1'!$G892*0.2</f>
        <v>2511.4</v>
      </c>
      <c r="J892" s="13" t="str">
        <f>TEXT(' car_sales_data 1'!$A892,"mmmm")</f>
        <v>May</v>
      </c>
      <c r="K892" s="13" t="str">
        <f>IF(' car_sales_data 1'!$G892&gt;40000,"Premium",
 IF(' car_sales_data 1'!$G892&gt;=20000,"Mid Range","Budget"))</f>
        <v>Budget</v>
      </c>
      <c r="L892" s="13">
        <f>YEAR(TODAY())-' car_sales_data 1'!$F892</f>
        <v>12</v>
      </c>
    </row>
    <row r="893" ht="15.75" customHeight="1">
      <c r="A893" s="16">
        <v>44744.0</v>
      </c>
      <c r="B893" s="13" t="s">
        <v>1810</v>
      </c>
      <c r="C893" s="13" t="s">
        <v>1811</v>
      </c>
      <c r="D893" s="13" t="s">
        <v>8</v>
      </c>
      <c r="E893" s="13" t="s">
        <v>54</v>
      </c>
      <c r="F893" s="13">
        <v>2021.0</v>
      </c>
      <c r="G893" s="13">
        <v>34821.0</v>
      </c>
      <c r="H893" s="13">
        <v>4851.61</v>
      </c>
      <c r="I893" s="13">
        <f>' car_sales_data 1'!$G893*0.2</f>
        <v>6964.2</v>
      </c>
      <c r="J893" s="13" t="str">
        <f>TEXT(' car_sales_data 1'!$A893,"mmmm")</f>
        <v>July</v>
      </c>
      <c r="K893" s="13" t="str">
        <f>IF(' car_sales_data 1'!$G893&gt;40000,"Premium",
 IF(' car_sales_data 1'!$G893&gt;=20000,"Mid Range","Budget"))</f>
        <v>Mid Range</v>
      </c>
      <c r="L893" s="13">
        <f>YEAR(TODAY())-' car_sales_data 1'!$F893</f>
        <v>4</v>
      </c>
    </row>
    <row r="894" ht="15.75" customHeight="1">
      <c r="A894" s="16">
        <v>44917.0</v>
      </c>
      <c r="B894" s="13" t="s">
        <v>1812</v>
      </c>
      <c r="C894" s="13" t="s">
        <v>1813</v>
      </c>
      <c r="D894" s="13" t="s">
        <v>6</v>
      </c>
      <c r="E894" s="13" t="s">
        <v>51</v>
      </c>
      <c r="F894" s="13">
        <v>2022.0</v>
      </c>
      <c r="G894" s="13">
        <v>13802.0</v>
      </c>
      <c r="H894" s="13">
        <v>1919.17</v>
      </c>
      <c r="I894" s="13">
        <f>' car_sales_data 1'!$G894*0.2</f>
        <v>2760.4</v>
      </c>
      <c r="J894" s="13" t="str">
        <f>TEXT(' car_sales_data 1'!$A894,"mmmm")</f>
        <v>December</v>
      </c>
      <c r="K894" s="13" t="str">
        <f>IF(' car_sales_data 1'!$G894&gt;40000,"Premium",
 IF(' car_sales_data 1'!$G894&gt;=20000,"Mid Range","Budget"))</f>
        <v>Budget</v>
      </c>
      <c r="L894" s="13">
        <f>YEAR(TODAY())-' car_sales_data 1'!$F894</f>
        <v>3</v>
      </c>
    </row>
    <row r="895" ht="15.75" customHeight="1">
      <c r="A895" s="16">
        <v>44865.0</v>
      </c>
      <c r="B895" s="13" t="s">
        <v>1814</v>
      </c>
      <c r="C895" s="13" t="s">
        <v>1815</v>
      </c>
      <c r="D895" s="13" t="s">
        <v>12</v>
      </c>
      <c r="E895" s="13" t="s">
        <v>51</v>
      </c>
      <c r="F895" s="13">
        <v>2022.0</v>
      </c>
      <c r="G895" s="13">
        <v>11061.0</v>
      </c>
      <c r="H895" s="13">
        <v>873.73</v>
      </c>
      <c r="I895" s="13">
        <f>' car_sales_data 1'!$G895*0.2</f>
        <v>2212.2</v>
      </c>
      <c r="J895" s="13" t="str">
        <f>TEXT(' car_sales_data 1'!$A895,"mmmm")</f>
        <v>October</v>
      </c>
      <c r="K895" s="13" t="str">
        <f>IF(' car_sales_data 1'!$G895&gt;40000,"Premium",
 IF(' car_sales_data 1'!$G895&gt;=20000,"Mid Range","Budget"))</f>
        <v>Budget</v>
      </c>
      <c r="L895" s="13">
        <f>YEAR(TODAY())-' car_sales_data 1'!$F895</f>
        <v>3</v>
      </c>
    </row>
    <row r="896" ht="15.75" customHeight="1">
      <c r="A896" s="16">
        <v>44780.0</v>
      </c>
      <c r="B896" s="13" t="s">
        <v>1816</v>
      </c>
      <c r="C896" s="13" t="s">
        <v>1817</v>
      </c>
      <c r="D896" s="13" t="s">
        <v>10</v>
      </c>
      <c r="E896" s="13" t="s">
        <v>70</v>
      </c>
      <c r="F896" s="13">
        <v>2015.0</v>
      </c>
      <c r="G896" s="13">
        <v>19543.0</v>
      </c>
      <c r="H896" s="13">
        <v>1469.9</v>
      </c>
      <c r="I896" s="13">
        <f>' car_sales_data 1'!$G896*0.2</f>
        <v>3908.6</v>
      </c>
      <c r="J896" s="13" t="str">
        <f>TEXT(' car_sales_data 1'!$A896,"mmmm")</f>
        <v>August</v>
      </c>
      <c r="K896" s="13" t="str">
        <f>IF(' car_sales_data 1'!$G896&gt;40000,"Premium",
 IF(' car_sales_data 1'!$G896&gt;=20000,"Mid Range","Budget"))</f>
        <v>Budget</v>
      </c>
      <c r="L896" s="13">
        <f>YEAR(TODAY())-' car_sales_data 1'!$F896</f>
        <v>10</v>
      </c>
    </row>
    <row r="897" ht="15.75" customHeight="1">
      <c r="A897" s="16">
        <v>44811.0</v>
      </c>
      <c r="B897" s="13" t="s">
        <v>1818</v>
      </c>
      <c r="C897" s="13" t="s">
        <v>1819</v>
      </c>
      <c r="D897" s="13" t="s">
        <v>8</v>
      </c>
      <c r="E897" s="13" t="s">
        <v>51</v>
      </c>
      <c r="F897" s="13">
        <v>2021.0</v>
      </c>
      <c r="G897" s="13">
        <v>16442.0</v>
      </c>
      <c r="H897" s="13">
        <v>1393.65</v>
      </c>
      <c r="I897" s="13">
        <f>' car_sales_data 1'!$G897*0.2</f>
        <v>3288.4</v>
      </c>
      <c r="J897" s="13" t="str">
        <f>TEXT(' car_sales_data 1'!$A897,"mmmm")</f>
        <v>September</v>
      </c>
      <c r="K897" s="13" t="str">
        <f>IF(' car_sales_data 1'!$G897&gt;40000,"Premium",
 IF(' car_sales_data 1'!$G897&gt;=20000,"Mid Range","Budget"))</f>
        <v>Budget</v>
      </c>
      <c r="L897" s="13">
        <f>YEAR(TODAY())-' car_sales_data 1'!$F897</f>
        <v>4</v>
      </c>
    </row>
    <row r="898" ht="15.75" customHeight="1">
      <c r="A898" s="16">
        <v>44841.0</v>
      </c>
      <c r="B898" s="13" t="s">
        <v>1820</v>
      </c>
      <c r="C898" s="13" t="s">
        <v>1821</v>
      </c>
      <c r="D898" s="13" t="s">
        <v>6</v>
      </c>
      <c r="E898" s="13" t="s">
        <v>57</v>
      </c>
      <c r="F898" s="13">
        <v>2022.0</v>
      </c>
      <c r="G898" s="13">
        <v>33209.0</v>
      </c>
      <c r="H898" s="13">
        <v>2230.82</v>
      </c>
      <c r="I898" s="13">
        <f>' car_sales_data 1'!$G898*0.2</f>
        <v>6641.8</v>
      </c>
      <c r="J898" s="13" t="str">
        <f>TEXT(' car_sales_data 1'!$A898,"mmmm")</f>
        <v>October</v>
      </c>
      <c r="K898" s="13" t="str">
        <f>IF(' car_sales_data 1'!$G898&gt;40000,"Premium",
 IF(' car_sales_data 1'!$G898&gt;=20000,"Mid Range","Budget"))</f>
        <v>Mid Range</v>
      </c>
      <c r="L898" s="13">
        <f>YEAR(TODAY())-' car_sales_data 1'!$F898</f>
        <v>3</v>
      </c>
    </row>
    <row r="899" ht="15.75" customHeight="1">
      <c r="A899" s="16">
        <v>44742.0</v>
      </c>
      <c r="B899" s="13" t="s">
        <v>1822</v>
      </c>
      <c r="C899" s="13" t="s">
        <v>1823</v>
      </c>
      <c r="D899" s="13" t="s">
        <v>10</v>
      </c>
      <c r="E899" s="13" t="s">
        <v>54</v>
      </c>
      <c r="F899" s="13">
        <v>2010.0</v>
      </c>
      <c r="G899" s="13">
        <v>23844.0</v>
      </c>
      <c r="H899" s="13">
        <v>3053.15</v>
      </c>
      <c r="I899" s="13">
        <f>' car_sales_data 1'!$G899*0.2</f>
        <v>4768.8</v>
      </c>
      <c r="J899" s="13" t="str">
        <f>TEXT(' car_sales_data 1'!$A899,"mmmm")</f>
        <v>June</v>
      </c>
      <c r="K899" s="13" t="str">
        <f>IF(' car_sales_data 1'!$G899&gt;40000,"Premium",
 IF(' car_sales_data 1'!$G899&gt;=20000,"Mid Range","Budget"))</f>
        <v>Mid Range</v>
      </c>
      <c r="L899" s="13">
        <f>YEAR(TODAY())-' car_sales_data 1'!$F899</f>
        <v>15</v>
      </c>
    </row>
    <row r="900" ht="15.75" customHeight="1">
      <c r="A900" s="16">
        <v>44765.0</v>
      </c>
      <c r="B900" s="13" t="s">
        <v>1824</v>
      </c>
      <c r="C900" s="13" t="s">
        <v>1825</v>
      </c>
      <c r="D900" s="13" t="s">
        <v>14</v>
      </c>
      <c r="E900" s="13" t="s">
        <v>54</v>
      </c>
      <c r="F900" s="13">
        <v>2012.0</v>
      </c>
      <c r="G900" s="13">
        <v>39783.0</v>
      </c>
      <c r="H900" s="13">
        <v>4905.89</v>
      </c>
      <c r="I900" s="13">
        <f>' car_sales_data 1'!$G900*0.2</f>
        <v>7956.6</v>
      </c>
      <c r="J900" s="13" t="str">
        <f>TEXT(' car_sales_data 1'!$A900,"mmmm")</f>
        <v>July</v>
      </c>
      <c r="K900" s="13" t="str">
        <f>IF(' car_sales_data 1'!$G900&gt;40000,"Premium",
 IF(' car_sales_data 1'!$G900&gt;=20000,"Mid Range","Budget"))</f>
        <v>Mid Range</v>
      </c>
      <c r="L900" s="13">
        <f>YEAR(TODAY())-' car_sales_data 1'!$F900</f>
        <v>13</v>
      </c>
    </row>
    <row r="901" ht="15.75" customHeight="1">
      <c r="A901" s="16">
        <v>44964.0</v>
      </c>
      <c r="B901" s="13" t="s">
        <v>1362</v>
      </c>
      <c r="C901" s="13" t="s">
        <v>1826</v>
      </c>
      <c r="D901" s="13" t="s">
        <v>8</v>
      </c>
      <c r="E901" s="13" t="s">
        <v>57</v>
      </c>
      <c r="F901" s="13">
        <v>2022.0</v>
      </c>
      <c r="G901" s="13">
        <v>41253.0</v>
      </c>
      <c r="H901" s="13">
        <v>5696.75</v>
      </c>
      <c r="I901" s="13">
        <f>' car_sales_data 1'!$G901*0.2</f>
        <v>8250.6</v>
      </c>
      <c r="J901" s="13" t="str">
        <f>TEXT(' car_sales_data 1'!$A901,"mmmm")</f>
        <v>February</v>
      </c>
      <c r="K901" s="13" t="str">
        <f>IF(' car_sales_data 1'!$G901&gt;40000,"Premium",
 IF(' car_sales_data 1'!$G901&gt;=20000,"Mid Range","Budget"))</f>
        <v>Premium</v>
      </c>
      <c r="L901" s="13">
        <f>YEAR(TODAY())-' car_sales_data 1'!$F901</f>
        <v>3</v>
      </c>
    </row>
    <row r="902" ht="15.75" customHeight="1">
      <c r="A902" s="16">
        <v>44773.0</v>
      </c>
      <c r="B902" s="13" t="s">
        <v>1827</v>
      </c>
      <c r="C902" s="13" t="s">
        <v>1828</v>
      </c>
      <c r="D902" s="13" t="s">
        <v>8</v>
      </c>
      <c r="E902" s="13" t="s">
        <v>57</v>
      </c>
      <c r="F902" s="13">
        <v>2018.0</v>
      </c>
      <c r="G902" s="13">
        <v>48897.0</v>
      </c>
      <c r="H902" s="13">
        <v>5700.2</v>
      </c>
      <c r="I902" s="13">
        <f>' car_sales_data 1'!$G902*0.2</f>
        <v>9779.4</v>
      </c>
      <c r="J902" s="13" t="str">
        <f>TEXT(' car_sales_data 1'!$A902,"mmmm")</f>
        <v>July</v>
      </c>
      <c r="K902" s="13" t="str">
        <f>IF(' car_sales_data 1'!$G902&gt;40000,"Premium",
 IF(' car_sales_data 1'!$G902&gt;=20000,"Mid Range","Budget"))</f>
        <v>Premium</v>
      </c>
      <c r="L902" s="13">
        <f>YEAR(TODAY())-' car_sales_data 1'!$F902</f>
        <v>7</v>
      </c>
    </row>
    <row r="903" ht="15.75" customHeight="1">
      <c r="A903" s="16">
        <v>45017.0</v>
      </c>
      <c r="B903" s="13" t="s">
        <v>1829</v>
      </c>
      <c r="C903" s="13" t="s">
        <v>1830</v>
      </c>
      <c r="D903" s="13" t="s">
        <v>6</v>
      </c>
      <c r="E903" s="13" t="s">
        <v>54</v>
      </c>
      <c r="F903" s="13">
        <v>2010.0</v>
      </c>
      <c r="G903" s="13">
        <v>21917.0</v>
      </c>
      <c r="H903" s="13">
        <v>1301.96</v>
      </c>
      <c r="I903" s="13">
        <f>' car_sales_data 1'!$G903*0.2</f>
        <v>4383.4</v>
      </c>
      <c r="J903" s="13" t="str">
        <f>TEXT(' car_sales_data 1'!$A903,"mmmm")</f>
        <v>April</v>
      </c>
      <c r="K903" s="13" t="str">
        <f>IF(' car_sales_data 1'!$G903&gt;40000,"Premium",
 IF(' car_sales_data 1'!$G903&gt;=20000,"Mid Range","Budget"))</f>
        <v>Mid Range</v>
      </c>
      <c r="L903" s="13">
        <f>YEAR(TODAY())-' car_sales_data 1'!$F903</f>
        <v>15</v>
      </c>
    </row>
    <row r="904" ht="15.75" customHeight="1">
      <c r="A904" s="16">
        <v>44996.0</v>
      </c>
      <c r="B904" s="13" t="s">
        <v>1831</v>
      </c>
      <c r="C904" s="13" t="s">
        <v>1832</v>
      </c>
      <c r="D904" s="13" t="s">
        <v>14</v>
      </c>
      <c r="E904" s="13" t="s">
        <v>62</v>
      </c>
      <c r="F904" s="13">
        <v>2014.0</v>
      </c>
      <c r="G904" s="13">
        <v>46032.0</v>
      </c>
      <c r="H904" s="13">
        <v>2431.29</v>
      </c>
      <c r="I904" s="13">
        <f>' car_sales_data 1'!$G904*0.2</f>
        <v>9206.4</v>
      </c>
      <c r="J904" s="13" t="str">
        <f>TEXT(' car_sales_data 1'!$A904,"mmmm")</f>
        <v>March</v>
      </c>
      <c r="K904" s="13" t="str">
        <f>IF(' car_sales_data 1'!$G904&gt;40000,"Premium",
 IF(' car_sales_data 1'!$G904&gt;=20000,"Mid Range","Budget"))</f>
        <v>Premium</v>
      </c>
      <c r="L904" s="13">
        <f>YEAR(TODAY())-' car_sales_data 1'!$F904</f>
        <v>11</v>
      </c>
    </row>
    <row r="905" ht="15.75" customHeight="1">
      <c r="A905" s="16">
        <v>44730.0</v>
      </c>
      <c r="B905" s="13" t="s">
        <v>1833</v>
      </c>
      <c r="C905" s="13" t="s">
        <v>1834</v>
      </c>
      <c r="D905" s="13" t="s">
        <v>14</v>
      </c>
      <c r="E905" s="13" t="s">
        <v>57</v>
      </c>
      <c r="F905" s="13">
        <v>2021.0</v>
      </c>
      <c r="G905" s="13">
        <v>31604.0</v>
      </c>
      <c r="H905" s="13">
        <v>3018.06</v>
      </c>
      <c r="I905" s="13">
        <f>' car_sales_data 1'!$G905*0.2</f>
        <v>6320.8</v>
      </c>
      <c r="J905" s="13" t="str">
        <f>TEXT(' car_sales_data 1'!$A905,"mmmm")</f>
        <v>June</v>
      </c>
      <c r="K905" s="13" t="str">
        <f>IF(' car_sales_data 1'!$G905&gt;40000,"Premium",
 IF(' car_sales_data 1'!$G905&gt;=20000,"Mid Range","Budget"))</f>
        <v>Mid Range</v>
      </c>
      <c r="L905" s="13">
        <f>YEAR(TODAY())-' car_sales_data 1'!$F905</f>
        <v>4</v>
      </c>
    </row>
    <row r="906" ht="15.75" customHeight="1">
      <c r="A906" s="16">
        <v>44771.0</v>
      </c>
      <c r="B906" s="13" t="s">
        <v>1835</v>
      </c>
      <c r="C906" s="13" t="s">
        <v>1836</v>
      </c>
      <c r="D906" s="13" t="s">
        <v>14</v>
      </c>
      <c r="E906" s="13" t="s">
        <v>51</v>
      </c>
      <c r="F906" s="13">
        <v>2016.0</v>
      </c>
      <c r="G906" s="13">
        <v>35145.0</v>
      </c>
      <c r="H906" s="13">
        <v>4576.41</v>
      </c>
      <c r="I906" s="13">
        <f>' car_sales_data 1'!$G906*0.2</f>
        <v>7029</v>
      </c>
      <c r="J906" s="13" t="str">
        <f>TEXT(' car_sales_data 1'!$A906,"mmmm")</f>
        <v>July</v>
      </c>
      <c r="K906" s="13" t="str">
        <f>IF(' car_sales_data 1'!$G906&gt;40000,"Premium",
 IF(' car_sales_data 1'!$G906&gt;=20000,"Mid Range","Budget"))</f>
        <v>Mid Range</v>
      </c>
      <c r="L906" s="13">
        <f>YEAR(TODAY())-' car_sales_data 1'!$F906</f>
        <v>9</v>
      </c>
    </row>
    <row r="907" ht="15.75" customHeight="1">
      <c r="A907" s="16">
        <v>44756.0</v>
      </c>
      <c r="B907" s="13" t="s">
        <v>1837</v>
      </c>
      <c r="C907" s="13" t="s">
        <v>1838</v>
      </c>
      <c r="D907" s="13" t="s">
        <v>8</v>
      </c>
      <c r="E907" s="13" t="s">
        <v>54</v>
      </c>
      <c r="F907" s="13">
        <v>2021.0</v>
      </c>
      <c r="G907" s="13">
        <v>46882.0</v>
      </c>
      <c r="H907" s="13">
        <v>4239.21</v>
      </c>
      <c r="I907" s="13">
        <f>' car_sales_data 1'!$G907*0.2</f>
        <v>9376.4</v>
      </c>
      <c r="J907" s="13" t="str">
        <f>TEXT(' car_sales_data 1'!$A907,"mmmm")</f>
        <v>July</v>
      </c>
      <c r="K907" s="13" t="str">
        <f>IF(' car_sales_data 1'!$G907&gt;40000,"Premium",
 IF(' car_sales_data 1'!$G907&gt;=20000,"Mid Range","Budget"))</f>
        <v>Premium</v>
      </c>
      <c r="L907" s="13">
        <f>YEAR(TODAY())-' car_sales_data 1'!$F907</f>
        <v>4</v>
      </c>
    </row>
    <row r="908" ht="15.75" customHeight="1">
      <c r="A908" s="16">
        <v>44847.0</v>
      </c>
      <c r="B908" s="13" t="s">
        <v>1839</v>
      </c>
      <c r="C908" s="13" t="s">
        <v>1840</v>
      </c>
      <c r="D908" s="13" t="s">
        <v>6</v>
      </c>
      <c r="E908" s="13" t="s">
        <v>57</v>
      </c>
      <c r="F908" s="13">
        <v>2015.0</v>
      </c>
      <c r="G908" s="13">
        <v>10186.0</v>
      </c>
      <c r="H908" s="13">
        <v>927.79</v>
      </c>
      <c r="I908" s="13">
        <f>' car_sales_data 1'!$G908*0.2</f>
        <v>2037.2</v>
      </c>
      <c r="J908" s="13" t="str">
        <f>TEXT(' car_sales_data 1'!$A908,"mmmm")</f>
        <v>October</v>
      </c>
      <c r="K908" s="13" t="str">
        <f>IF(' car_sales_data 1'!$G908&gt;40000,"Premium",
 IF(' car_sales_data 1'!$G908&gt;=20000,"Mid Range","Budget"))</f>
        <v>Budget</v>
      </c>
      <c r="L908" s="13">
        <f>YEAR(TODAY())-' car_sales_data 1'!$F908</f>
        <v>10</v>
      </c>
    </row>
    <row r="909" ht="15.75" customHeight="1">
      <c r="A909" s="16">
        <v>44683.0</v>
      </c>
      <c r="B909" s="13" t="s">
        <v>1841</v>
      </c>
      <c r="C909" s="13" t="s">
        <v>1842</v>
      </c>
      <c r="D909" s="13" t="s">
        <v>12</v>
      </c>
      <c r="E909" s="13" t="s">
        <v>70</v>
      </c>
      <c r="F909" s="13">
        <v>2014.0</v>
      </c>
      <c r="G909" s="13">
        <v>46200.0</v>
      </c>
      <c r="H909" s="13">
        <v>6768.49</v>
      </c>
      <c r="I909" s="13">
        <f>' car_sales_data 1'!$G909*0.2</f>
        <v>9240</v>
      </c>
      <c r="J909" s="13" t="str">
        <f>TEXT(' car_sales_data 1'!$A909,"mmmm")</f>
        <v>May</v>
      </c>
      <c r="K909" s="13" t="str">
        <f>IF(' car_sales_data 1'!$G909&gt;40000,"Premium",
 IF(' car_sales_data 1'!$G909&gt;=20000,"Mid Range","Budget"))</f>
        <v>Premium</v>
      </c>
      <c r="L909" s="13">
        <f>YEAR(TODAY())-' car_sales_data 1'!$F909</f>
        <v>11</v>
      </c>
    </row>
    <row r="910" ht="15.75" customHeight="1">
      <c r="A910" s="16">
        <v>45000.0</v>
      </c>
      <c r="B910" s="13" t="s">
        <v>1843</v>
      </c>
      <c r="C910" s="13" t="s">
        <v>1844</v>
      </c>
      <c r="D910" s="13" t="s">
        <v>14</v>
      </c>
      <c r="E910" s="13" t="s">
        <v>51</v>
      </c>
      <c r="F910" s="13">
        <v>2018.0</v>
      </c>
      <c r="G910" s="13">
        <v>48654.0</v>
      </c>
      <c r="H910" s="13">
        <v>5155.99</v>
      </c>
      <c r="I910" s="13">
        <f>' car_sales_data 1'!$G910*0.2</f>
        <v>9730.8</v>
      </c>
      <c r="J910" s="13" t="str">
        <f>TEXT(' car_sales_data 1'!$A910,"mmmm")</f>
        <v>March</v>
      </c>
      <c r="K910" s="13" t="str">
        <f>IF(' car_sales_data 1'!$G910&gt;40000,"Premium",
 IF(' car_sales_data 1'!$G910&gt;=20000,"Mid Range","Budget"))</f>
        <v>Premium</v>
      </c>
      <c r="L910" s="13">
        <f>YEAR(TODAY())-' car_sales_data 1'!$F910</f>
        <v>7</v>
      </c>
    </row>
    <row r="911" ht="15.75" customHeight="1">
      <c r="A911" s="16">
        <v>44863.0</v>
      </c>
      <c r="B911" s="13" t="s">
        <v>1845</v>
      </c>
      <c r="C911" s="13" t="s">
        <v>1846</v>
      </c>
      <c r="D911" s="13" t="s">
        <v>14</v>
      </c>
      <c r="E911" s="13" t="s">
        <v>62</v>
      </c>
      <c r="F911" s="13">
        <v>2022.0</v>
      </c>
      <c r="G911" s="13">
        <v>32215.0</v>
      </c>
      <c r="H911" s="13">
        <v>4548.77</v>
      </c>
      <c r="I911" s="13">
        <f>' car_sales_data 1'!$G911*0.2</f>
        <v>6443</v>
      </c>
      <c r="J911" s="13" t="str">
        <f>TEXT(' car_sales_data 1'!$A911,"mmmm")</f>
        <v>October</v>
      </c>
      <c r="K911" s="13" t="str">
        <f>IF(' car_sales_data 1'!$G911&gt;40000,"Premium",
 IF(' car_sales_data 1'!$G911&gt;=20000,"Mid Range","Budget"))</f>
        <v>Mid Range</v>
      </c>
      <c r="L911" s="13">
        <f>YEAR(TODAY())-' car_sales_data 1'!$F911</f>
        <v>3</v>
      </c>
    </row>
    <row r="912" ht="15.75" customHeight="1">
      <c r="A912" s="16">
        <v>44844.0</v>
      </c>
      <c r="B912" s="13" t="s">
        <v>1847</v>
      </c>
      <c r="C912" s="13" t="s">
        <v>1848</v>
      </c>
      <c r="D912" s="13" t="s">
        <v>6</v>
      </c>
      <c r="E912" s="13" t="s">
        <v>70</v>
      </c>
      <c r="F912" s="13">
        <v>2011.0</v>
      </c>
      <c r="G912" s="13">
        <v>11476.0</v>
      </c>
      <c r="H912" s="13">
        <v>577.38</v>
      </c>
      <c r="I912" s="13">
        <f>' car_sales_data 1'!$G912*0.2</f>
        <v>2295.2</v>
      </c>
      <c r="J912" s="13" t="str">
        <f>TEXT(' car_sales_data 1'!$A912,"mmmm")</f>
        <v>October</v>
      </c>
      <c r="K912" s="13" t="str">
        <f>IF(' car_sales_data 1'!$G912&gt;40000,"Premium",
 IF(' car_sales_data 1'!$G912&gt;=20000,"Mid Range","Budget"))</f>
        <v>Budget</v>
      </c>
      <c r="L912" s="13">
        <f>YEAR(TODAY())-' car_sales_data 1'!$F912</f>
        <v>14</v>
      </c>
    </row>
    <row r="913" ht="15.75" customHeight="1">
      <c r="A913" s="16">
        <v>44876.0</v>
      </c>
      <c r="B913" s="13" t="s">
        <v>1849</v>
      </c>
      <c r="C913" s="13" t="s">
        <v>1850</v>
      </c>
      <c r="D913" s="13" t="s">
        <v>8</v>
      </c>
      <c r="E913" s="13" t="s">
        <v>51</v>
      </c>
      <c r="F913" s="13">
        <v>2016.0</v>
      </c>
      <c r="G913" s="13">
        <v>43292.0</v>
      </c>
      <c r="H913" s="13">
        <v>3994.41</v>
      </c>
      <c r="I913" s="13">
        <f>' car_sales_data 1'!$G913*0.2</f>
        <v>8658.4</v>
      </c>
      <c r="J913" s="13" t="str">
        <f>TEXT(' car_sales_data 1'!$A913,"mmmm")</f>
        <v>November</v>
      </c>
      <c r="K913" s="13" t="str">
        <f>IF(' car_sales_data 1'!$G913&gt;40000,"Premium",
 IF(' car_sales_data 1'!$G913&gt;=20000,"Mid Range","Budget"))</f>
        <v>Premium</v>
      </c>
      <c r="L913" s="13">
        <f>YEAR(TODAY())-' car_sales_data 1'!$F913</f>
        <v>9</v>
      </c>
    </row>
    <row r="914" ht="15.75" customHeight="1">
      <c r="A914" s="16">
        <v>44911.0</v>
      </c>
      <c r="B914" s="13" t="s">
        <v>1851</v>
      </c>
      <c r="C914" s="13" t="s">
        <v>1852</v>
      </c>
      <c r="D914" s="13" t="s">
        <v>6</v>
      </c>
      <c r="E914" s="13" t="s">
        <v>57</v>
      </c>
      <c r="F914" s="13">
        <v>2016.0</v>
      </c>
      <c r="G914" s="13">
        <v>30472.0</v>
      </c>
      <c r="H914" s="13">
        <v>3505.41</v>
      </c>
      <c r="I914" s="13">
        <f>' car_sales_data 1'!$G914*0.2</f>
        <v>6094.4</v>
      </c>
      <c r="J914" s="13" t="str">
        <f>TEXT(' car_sales_data 1'!$A914,"mmmm")</f>
        <v>December</v>
      </c>
      <c r="K914" s="13" t="str">
        <f>IF(' car_sales_data 1'!$G914&gt;40000,"Premium",
 IF(' car_sales_data 1'!$G914&gt;=20000,"Mid Range","Budget"))</f>
        <v>Mid Range</v>
      </c>
      <c r="L914" s="13">
        <f>YEAR(TODAY())-' car_sales_data 1'!$F914</f>
        <v>9</v>
      </c>
    </row>
    <row r="915" ht="15.75" customHeight="1">
      <c r="A915" s="16">
        <v>44907.0</v>
      </c>
      <c r="B915" s="13" t="s">
        <v>1853</v>
      </c>
      <c r="C915" s="13" t="s">
        <v>1854</v>
      </c>
      <c r="D915" s="13" t="s">
        <v>14</v>
      </c>
      <c r="E915" s="13" t="s">
        <v>62</v>
      </c>
      <c r="F915" s="13">
        <v>2021.0</v>
      </c>
      <c r="G915" s="13">
        <v>39607.0</v>
      </c>
      <c r="H915" s="13">
        <v>3977.45</v>
      </c>
      <c r="I915" s="13">
        <f>' car_sales_data 1'!$G915*0.2</f>
        <v>7921.4</v>
      </c>
      <c r="J915" s="13" t="str">
        <f>TEXT(' car_sales_data 1'!$A915,"mmmm")</f>
        <v>December</v>
      </c>
      <c r="K915" s="13" t="str">
        <f>IF(' car_sales_data 1'!$G915&gt;40000,"Premium",
 IF(' car_sales_data 1'!$G915&gt;=20000,"Mid Range","Budget"))</f>
        <v>Mid Range</v>
      </c>
      <c r="L915" s="13">
        <f>YEAR(TODAY())-' car_sales_data 1'!$F915</f>
        <v>4</v>
      </c>
    </row>
    <row r="916" ht="15.75" customHeight="1">
      <c r="A916" s="16">
        <v>44891.0</v>
      </c>
      <c r="B916" s="13" t="s">
        <v>1855</v>
      </c>
      <c r="C916" s="13" t="s">
        <v>1856</v>
      </c>
      <c r="D916" s="13" t="s">
        <v>6</v>
      </c>
      <c r="E916" s="13" t="s">
        <v>51</v>
      </c>
      <c r="F916" s="13">
        <v>2022.0</v>
      </c>
      <c r="G916" s="13">
        <v>31407.0</v>
      </c>
      <c r="H916" s="13">
        <v>4048.2</v>
      </c>
      <c r="I916" s="13">
        <f>' car_sales_data 1'!$G916*0.2</f>
        <v>6281.4</v>
      </c>
      <c r="J916" s="13" t="str">
        <f>TEXT(' car_sales_data 1'!$A916,"mmmm")</f>
        <v>November</v>
      </c>
      <c r="K916" s="13" t="str">
        <f>IF(' car_sales_data 1'!$G916&gt;40000,"Premium",
 IF(' car_sales_data 1'!$G916&gt;=20000,"Mid Range","Budget"))</f>
        <v>Mid Range</v>
      </c>
      <c r="L916" s="13">
        <f>YEAR(TODAY())-' car_sales_data 1'!$F916</f>
        <v>3</v>
      </c>
    </row>
    <row r="917" ht="15.75" customHeight="1">
      <c r="A917" s="16">
        <v>45026.0</v>
      </c>
      <c r="B917" s="13" t="s">
        <v>1857</v>
      </c>
      <c r="C917" s="13" t="s">
        <v>1858</v>
      </c>
      <c r="D917" s="13" t="s">
        <v>6</v>
      </c>
      <c r="E917" s="13" t="s">
        <v>54</v>
      </c>
      <c r="F917" s="13">
        <v>2013.0</v>
      </c>
      <c r="G917" s="13">
        <v>21033.0</v>
      </c>
      <c r="H917" s="13">
        <v>2099.33</v>
      </c>
      <c r="I917" s="13">
        <f>' car_sales_data 1'!$G917*0.2</f>
        <v>4206.6</v>
      </c>
      <c r="J917" s="13" t="str">
        <f>TEXT(' car_sales_data 1'!$A917,"mmmm")</f>
        <v>April</v>
      </c>
      <c r="K917" s="13" t="str">
        <f>IF(' car_sales_data 1'!$G917&gt;40000,"Premium",
 IF(' car_sales_data 1'!$G917&gt;=20000,"Mid Range","Budget"))</f>
        <v>Mid Range</v>
      </c>
      <c r="L917" s="13">
        <f>YEAR(TODAY())-' car_sales_data 1'!$F917</f>
        <v>12</v>
      </c>
    </row>
    <row r="918" ht="15.75" customHeight="1">
      <c r="A918" s="16">
        <v>44896.0</v>
      </c>
      <c r="B918" s="13" t="s">
        <v>1859</v>
      </c>
      <c r="C918" s="13" t="s">
        <v>1860</v>
      </c>
      <c r="D918" s="13" t="s">
        <v>14</v>
      </c>
      <c r="E918" s="13" t="s">
        <v>57</v>
      </c>
      <c r="F918" s="13">
        <v>2015.0</v>
      </c>
      <c r="G918" s="13">
        <v>38766.0</v>
      </c>
      <c r="H918" s="13">
        <v>4049.01</v>
      </c>
      <c r="I918" s="13">
        <f>' car_sales_data 1'!$G918*0.2</f>
        <v>7753.2</v>
      </c>
      <c r="J918" s="13" t="str">
        <f>TEXT(' car_sales_data 1'!$A918,"mmmm")</f>
        <v>December</v>
      </c>
      <c r="K918" s="13" t="str">
        <f>IF(' car_sales_data 1'!$G918&gt;40000,"Premium",
 IF(' car_sales_data 1'!$G918&gt;=20000,"Mid Range","Budget"))</f>
        <v>Mid Range</v>
      </c>
      <c r="L918" s="13">
        <f>YEAR(TODAY())-' car_sales_data 1'!$F918</f>
        <v>10</v>
      </c>
    </row>
    <row r="919" ht="15.75" customHeight="1">
      <c r="A919" s="16">
        <v>44911.0</v>
      </c>
      <c r="B919" s="13" t="s">
        <v>1861</v>
      </c>
      <c r="C919" s="13" t="s">
        <v>1862</v>
      </c>
      <c r="D919" s="13" t="s">
        <v>12</v>
      </c>
      <c r="E919" s="13" t="s">
        <v>62</v>
      </c>
      <c r="F919" s="13">
        <v>2014.0</v>
      </c>
      <c r="G919" s="13">
        <v>11047.0</v>
      </c>
      <c r="H919" s="13">
        <v>1193.53</v>
      </c>
      <c r="I919" s="13">
        <f>' car_sales_data 1'!$G919*0.2</f>
        <v>2209.4</v>
      </c>
      <c r="J919" s="13" t="str">
        <f>TEXT(' car_sales_data 1'!$A919,"mmmm")</f>
        <v>December</v>
      </c>
      <c r="K919" s="13" t="str">
        <f>IF(' car_sales_data 1'!$G919&gt;40000,"Premium",
 IF(' car_sales_data 1'!$G919&gt;=20000,"Mid Range","Budget"))</f>
        <v>Budget</v>
      </c>
      <c r="L919" s="13">
        <f>YEAR(TODAY())-' car_sales_data 1'!$F919</f>
        <v>11</v>
      </c>
    </row>
    <row r="920" ht="15.75" customHeight="1">
      <c r="A920" s="16">
        <v>44975.0</v>
      </c>
      <c r="B920" s="13" t="s">
        <v>1863</v>
      </c>
      <c r="C920" s="13" t="s">
        <v>1864</v>
      </c>
      <c r="D920" s="13" t="s">
        <v>14</v>
      </c>
      <c r="E920" s="13" t="s">
        <v>54</v>
      </c>
      <c r="F920" s="13">
        <v>2018.0</v>
      </c>
      <c r="G920" s="13">
        <v>46250.0</v>
      </c>
      <c r="H920" s="13">
        <v>4654.45</v>
      </c>
      <c r="I920" s="13">
        <f>' car_sales_data 1'!$G920*0.2</f>
        <v>9250</v>
      </c>
      <c r="J920" s="13" t="str">
        <f>TEXT(' car_sales_data 1'!$A920,"mmmm")</f>
        <v>February</v>
      </c>
      <c r="K920" s="13" t="str">
        <f>IF(' car_sales_data 1'!$G920&gt;40000,"Premium",
 IF(' car_sales_data 1'!$G920&gt;=20000,"Mid Range","Budget"))</f>
        <v>Premium</v>
      </c>
      <c r="L920" s="13">
        <f>YEAR(TODAY())-' car_sales_data 1'!$F920</f>
        <v>7</v>
      </c>
    </row>
    <row r="921" ht="15.75" customHeight="1">
      <c r="A921" s="16">
        <v>44753.0</v>
      </c>
      <c r="B921" s="13" t="s">
        <v>1865</v>
      </c>
      <c r="C921" s="13" t="s">
        <v>1866</v>
      </c>
      <c r="D921" s="13" t="s">
        <v>6</v>
      </c>
      <c r="E921" s="13" t="s">
        <v>57</v>
      </c>
      <c r="F921" s="13">
        <v>2020.0</v>
      </c>
      <c r="G921" s="13">
        <v>35109.0</v>
      </c>
      <c r="H921" s="13">
        <v>2181.23</v>
      </c>
      <c r="I921" s="13">
        <f>' car_sales_data 1'!$G921*0.2</f>
        <v>7021.8</v>
      </c>
      <c r="J921" s="13" t="str">
        <f>TEXT(' car_sales_data 1'!$A921,"mmmm")</f>
        <v>July</v>
      </c>
      <c r="K921" s="13" t="str">
        <f>IF(' car_sales_data 1'!$G921&gt;40000,"Premium",
 IF(' car_sales_data 1'!$G921&gt;=20000,"Mid Range","Budget"))</f>
        <v>Mid Range</v>
      </c>
      <c r="L921" s="13">
        <f>YEAR(TODAY())-' car_sales_data 1'!$F921</f>
        <v>5</v>
      </c>
    </row>
    <row r="922" ht="15.75" customHeight="1">
      <c r="A922" s="16">
        <v>44816.0</v>
      </c>
      <c r="B922" s="13" t="s">
        <v>1867</v>
      </c>
      <c r="C922" s="13" t="s">
        <v>1868</v>
      </c>
      <c r="D922" s="13" t="s">
        <v>6</v>
      </c>
      <c r="E922" s="13" t="s">
        <v>54</v>
      </c>
      <c r="F922" s="13">
        <v>2014.0</v>
      </c>
      <c r="G922" s="13">
        <v>26385.0</v>
      </c>
      <c r="H922" s="13">
        <v>2746.42</v>
      </c>
      <c r="I922" s="13">
        <f>' car_sales_data 1'!$G922*0.2</f>
        <v>5277</v>
      </c>
      <c r="J922" s="13" t="str">
        <f>TEXT(' car_sales_data 1'!$A922,"mmmm")</f>
        <v>September</v>
      </c>
      <c r="K922" s="13" t="str">
        <f>IF(' car_sales_data 1'!$G922&gt;40000,"Premium",
 IF(' car_sales_data 1'!$G922&gt;=20000,"Mid Range","Budget"))</f>
        <v>Mid Range</v>
      </c>
      <c r="L922" s="13">
        <f>YEAR(TODAY())-' car_sales_data 1'!$F922</f>
        <v>11</v>
      </c>
    </row>
    <row r="923" ht="15.75" customHeight="1">
      <c r="A923" s="16">
        <v>44720.0</v>
      </c>
      <c r="B923" s="13" t="s">
        <v>1869</v>
      </c>
      <c r="C923" s="13" t="s">
        <v>1870</v>
      </c>
      <c r="D923" s="13" t="s">
        <v>6</v>
      </c>
      <c r="E923" s="13" t="s">
        <v>57</v>
      </c>
      <c r="F923" s="13">
        <v>2017.0</v>
      </c>
      <c r="G923" s="13">
        <v>48412.0</v>
      </c>
      <c r="H923" s="13">
        <v>5850.03</v>
      </c>
      <c r="I923" s="13">
        <f>' car_sales_data 1'!$G923*0.2</f>
        <v>9682.4</v>
      </c>
      <c r="J923" s="13" t="str">
        <f>TEXT(' car_sales_data 1'!$A923,"mmmm")</f>
        <v>June</v>
      </c>
      <c r="K923" s="13" t="str">
        <f>IF(' car_sales_data 1'!$G923&gt;40000,"Premium",
 IF(' car_sales_data 1'!$G923&gt;=20000,"Mid Range","Budget"))</f>
        <v>Premium</v>
      </c>
      <c r="L923" s="13">
        <f>YEAR(TODAY())-' car_sales_data 1'!$F923</f>
        <v>8</v>
      </c>
    </row>
    <row r="924" ht="15.75" customHeight="1">
      <c r="A924" s="16">
        <v>44773.0</v>
      </c>
      <c r="B924" s="13" t="s">
        <v>1871</v>
      </c>
      <c r="C924" s="13" t="s">
        <v>1872</v>
      </c>
      <c r="D924" s="13" t="s">
        <v>14</v>
      </c>
      <c r="E924" s="13" t="s">
        <v>54</v>
      </c>
      <c r="F924" s="13">
        <v>2017.0</v>
      </c>
      <c r="G924" s="13">
        <v>31221.0</v>
      </c>
      <c r="H924" s="13">
        <v>4264.65</v>
      </c>
      <c r="I924" s="13">
        <f>' car_sales_data 1'!$G924*0.2</f>
        <v>6244.2</v>
      </c>
      <c r="J924" s="13" t="str">
        <f>TEXT(' car_sales_data 1'!$A924,"mmmm")</f>
        <v>July</v>
      </c>
      <c r="K924" s="13" t="str">
        <f>IF(' car_sales_data 1'!$G924&gt;40000,"Premium",
 IF(' car_sales_data 1'!$G924&gt;=20000,"Mid Range","Budget"))</f>
        <v>Mid Range</v>
      </c>
      <c r="L924" s="13">
        <f>YEAR(TODAY())-' car_sales_data 1'!$F924</f>
        <v>8</v>
      </c>
    </row>
    <row r="925" ht="15.75" customHeight="1">
      <c r="A925" s="16">
        <v>44896.0</v>
      </c>
      <c r="B925" s="13" t="s">
        <v>1873</v>
      </c>
      <c r="C925" s="13" t="s">
        <v>1874</v>
      </c>
      <c r="D925" s="13" t="s">
        <v>6</v>
      </c>
      <c r="E925" s="13" t="s">
        <v>51</v>
      </c>
      <c r="F925" s="13">
        <v>2011.0</v>
      </c>
      <c r="G925" s="13">
        <v>49625.0</v>
      </c>
      <c r="H925" s="13">
        <v>3363.86</v>
      </c>
      <c r="I925" s="13">
        <f>' car_sales_data 1'!$G925*0.2</f>
        <v>9925</v>
      </c>
      <c r="J925" s="13" t="str">
        <f>TEXT(' car_sales_data 1'!$A925,"mmmm")</f>
        <v>December</v>
      </c>
      <c r="K925" s="13" t="str">
        <f>IF(' car_sales_data 1'!$G925&gt;40000,"Premium",
 IF(' car_sales_data 1'!$G925&gt;=20000,"Mid Range","Budget"))</f>
        <v>Premium</v>
      </c>
      <c r="L925" s="13">
        <f>YEAR(TODAY())-' car_sales_data 1'!$F925</f>
        <v>14</v>
      </c>
    </row>
    <row r="926" ht="15.75" customHeight="1">
      <c r="A926" s="16">
        <v>44981.0</v>
      </c>
      <c r="B926" s="13" t="s">
        <v>1875</v>
      </c>
      <c r="C926" s="13" t="s">
        <v>1876</v>
      </c>
      <c r="D926" s="13" t="s">
        <v>14</v>
      </c>
      <c r="E926" s="13" t="s">
        <v>54</v>
      </c>
      <c r="F926" s="13">
        <v>2017.0</v>
      </c>
      <c r="G926" s="13">
        <v>10493.0</v>
      </c>
      <c r="H926" s="13">
        <v>1496.63</v>
      </c>
      <c r="I926" s="13">
        <f>' car_sales_data 1'!$G926*0.2</f>
        <v>2098.6</v>
      </c>
      <c r="J926" s="13" t="str">
        <f>TEXT(' car_sales_data 1'!$A926,"mmmm")</f>
        <v>February</v>
      </c>
      <c r="K926" s="13" t="str">
        <f>IF(' car_sales_data 1'!$G926&gt;40000,"Premium",
 IF(' car_sales_data 1'!$G926&gt;=20000,"Mid Range","Budget"))</f>
        <v>Budget</v>
      </c>
      <c r="L926" s="13">
        <f>YEAR(TODAY())-' car_sales_data 1'!$F926</f>
        <v>8</v>
      </c>
    </row>
    <row r="927" ht="15.75" customHeight="1">
      <c r="A927" s="16">
        <v>44834.0</v>
      </c>
      <c r="B927" s="13" t="s">
        <v>1877</v>
      </c>
      <c r="C927" s="13" t="s">
        <v>1878</v>
      </c>
      <c r="D927" s="13" t="s">
        <v>14</v>
      </c>
      <c r="E927" s="13" t="s">
        <v>62</v>
      </c>
      <c r="F927" s="13">
        <v>2021.0</v>
      </c>
      <c r="G927" s="13">
        <v>44747.0</v>
      </c>
      <c r="H927" s="13">
        <v>6614.93</v>
      </c>
      <c r="I927" s="13">
        <f>' car_sales_data 1'!$G927*0.2</f>
        <v>8949.4</v>
      </c>
      <c r="J927" s="13" t="str">
        <f>TEXT(' car_sales_data 1'!$A927,"mmmm")</f>
        <v>September</v>
      </c>
      <c r="K927" s="13" t="str">
        <f>IF(' car_sales_data 1'!$G927&gt;40000,"Premium",
 IF(' car_sales_data 1'!$G927&gt;=20000,"Mid Range","Budget"))</f>
        <v>Premium</v>
      </c>
      <c r="L927" s="13">
        <f>YEAR(TODAY())-' car_sales_data 1'!$F927</f>
        <v>4</v>
      </c>
    </row>
    <row r="928" ht="15.75" customHeight="1">
      <c r="A928" s="16">
        <v>44919.0</v>
      </c>
      <c r="B928" s="13" t="s">
        <v>1879</v>
      </c>
      <c r="C928" s="13" t="s">
        <v>1880</v>
      </c>
      <c r="D928" s="13" t="s">
        <v>10</v>
      </c>
      <c r="E928" s="13" t="s">
        <v>57</v>
      </c>
      <c r="F928" s="13">
        <v>2016.0</v>
      </c>
      <c r="G928" s="13">
        <v>48488.0</v>
      </c>
      <c r="H928" s="13">
        <v>2820.14</v>
      </c>
      <c r="I928" s="13">
        <f>' car_sales_data 1'!$G928*0.2</f>
        <v>9697.6</v>
      </c>
      <c r="J928" s="13" t="str">
        <f>TEXT(' car_sales_data 1'!$A928,"mmmm")</f>
        <v>December</v>
      </c>
      <c r="K928" s="13" t="str">
        <f>IF(' car_sales_data 1'!$G928&gt;40000,"Premium",
 IF(' car_sales_data 1'!$G928&gt;=20000,"Mid Range","Budget"))</f>
        <v>Premium</v>
      </c>
      <c r="L928" s="13">
        <f>YEAR(TODAY())-' car_sales_data 1'!$F928</f>
        <v>9</v>
      </c>
    </row>
    <row r="929" ht="15.75" customHeight="1">
      <c r="A929" s="16">
        <v>45026.0</v>
      </c>
      <c r="B929" s="13" t="s">
        <v>1881</v>
      </c>
      <c r="C929" s="13" t="s">
        <v>1882</v>
      </c>
      <c r="D929" s="13" t="s">
        <v>10</v>
      </c>
      <c r="E929" s="13" t="s">
        <v>54</v>
      </c>
      <c r="F929" s="13">
        <v>2019.0</v>
      </c>
      <c r="G929" s="13">
        <v>14576.0</v>
      </c>
      <c r="H929" s="13">
        <v>1703.18</v>
      </c>
      <c r="I929" s="13">
        <f>' car_sales_data 1'!$G929*0.2</f>
        <v>2915.2</v>
      </c>
      <c r="J929" s="13" t="str">
        <f>TEXT(' car_sales_data 1'!$A929,"mmmm")</f>
        <v>April</v>
      </c>
      <c r="K929" s="13" t="str">
        <f>IF(' car_sales_data 1'!$G929&gt;40000,"Premium",
 IF(' car_sales_data 1'!$G929&gt;=20000,"Mid Range","Budget"))</f>
        <v>Budget</v>
      </c>
      <c r="L929" s="13">
        <f>YEAR(TODAY())-' car_sales_data 1'!$F929</f>
        <v>6</v>
      </c>
    </row>
    <row r="930" ht="15.75" customHeight="1">
      <c r="A930" s="16">
        <v>44931.0</v>
      </c>
      <c r="B930" s="13" t="s">
        <v>1883</v>
      </c>
      <c r="C930" s="13" t="s">
        <v>1884</v>
      </c>
      <c r="D930" s="13" t="s">
        <v>14</v>
      </c>
      <c r="E930" s="13" t="s">
        <v>62</v>
      </c>
      <c r="F930" s="13">
        <v>2022.0</v>
      </c>
      <c r="G930" s="13">
        <v>31217.0</v>
      </c>
      <c r="H930" s="13">
        <v>4656.46</v>
      </c>
      <c r="I930" s="13">
        <f>' car_sales_data 1'!$G930*0.2</f>
        <v>6243.4</v>
      </c>
      <c r="J930" s="13" t="str">
        <f>TEXT(' car_sales_data 1'!$A930,"mmmm")</f>
        <v>January</v>
      </c>
      <c r="K930" s="13" t="str">
        <f>IF(' car_sales_data 1'!$G930&gt;40000,"Premium",
 IF(' car_sales_data 1'!$G930&gt;=20000,"Mid Range","Budget"))</f>
        <v>Mid Range</v>
      </c>
      <c r="L930" s="13">
        <f>YEAR(TODAY())-' car_sales_data 1'!$F930</f>
        <v>3</v>
      </c>
    </row>
    <row r="931" ht="15.75" customHeight="1">
      <c r="A931" s="16">
        <v>45042.0</v>
      </c>
      <c r="B931" s="13" t="s">
        <v>1885</v>
      </c>
      <c r="C931" s="13" t="s">
        <v>1886</v>
      </c>
      <c r="D931" s="13" t="s">
        <v>8</v>
      </c>
      <c r="E931" s="13" t="s">
        <v>62</v>
      </c>
      <c r="F931" s="13">
        <v>2015.0</v>
      </c>
      <c r="G931" s="13">
        <v>46348.0</v>
      </c>
      <c r="H931" s="13">
        <v>6342.46</v>
      </c>
      <c r="I931" s="13">
        <f>' car_sales_data 1'!$G931*0.2</f>
        <v>9269.6</v>
      </c>
      <c r="J931" s="13" t="str">
        <f>TEXT(' car_sales_data 1'!$A931,"mmmm")</f>
        <v>April</v>
      </c>
      <c r="K931" s="13" t="str">
        <f>IF(' car_sales_data 1'!$G931&gt;40000,"Premium",
 IF(' car_sales_data 1'!$G931&gt;=20000,"Mid Range","Budget"))</f>
        <v>Premium</v>
      </c>
      <c r="L931" s="13">
        <f>YEAR(TODAY())-' car_sales_data 1'!$F931</f>
        <v>10</v>
      </c>
    </row>
    <row r="932" ht="15.75" customHeight="1">
      <c r="A932" s="16">
        <v>44702.0</v>
      </c>
      <c r="B932" s="13" t="s">
        <v>1887</v>
      </c>
      <c r="C932" s="13" t="s">
        <v>1888</v>
      </c>
      <c r="D932" s="13" t="s">
        <v>6</v>
      </c>
      <c r="E932" s="13" t="s">
        <v>62</v>
      </c>
      <c r="F932" s="13">
        <v>2019.0</v>
      </c>
      <c r="G932" s="13">
        <v>29996.0</v>
      </c>
      <c r="H932" s="13">
        <v>2880.46</v>
      </c>
      <c r="I932" s="13">
        <f>' car_sales_data 1'!$G932*0.2</f>
        <v>5999.2</v>
      </c>
      <c r="J932" s="13" t="str">
        <f>TEXT(' car_sales_data 1'!$A932,"mmmm")</f>
        <v>May</v>
      </c>
      <c r="K932" s="13" t="str">
        <f>IF(' car_sales_data 1'!$G932&gt;40000,"Premium",
 IF(' car_sales_data 1'!$G932&gt;=20000,"Mid Range","Budget"))</f>
        <v>Mid Range</v>
      </c>
      <c r="L932" s="13">
        <f>YEAR(TODAY())-' car_sales_data 1'!$F932</f>
        <v>6</v>
      </c>
    </row>
    <row r="933" ht="15.75" customHeight="1">
      <c r="A933" s="16">
        <v>44906.0</v>
      </c>
      <c r="B933" s="13" t="s">
        <v>1889</v>
      </c>
      <c r="C933" s="13" t="s">
        <v>1890</v>
      </c>
      <c r="D933" s="13" t="s">
        <v>8</v>
      </c>
      <c r="E933" s="13" t="s">
        <v>51</v>
      </c>
      <c r="F933" s="13">
        <v>2013.0</v>
      </c>
      <c r="G933" s="13">
        <v>19841.0</v>
      </c>
      <c r="H933" s="13">
        <v>1007.55</v>
      </c>
      <c r="I933" s="13">
        <f>' car_sales_data 1'!$G933*0.2</f>
        <v>3968.2</v>
      </c>
      <c r="J933" s="13" t="str">
        <f>TEXT(' car_sales_data 1'!$A933,"mmmm")</f>
        <v>December</v>
      </c>
      <c r="K933" s="13" t="str">
        <f>IF(' car_sales_data 1'!$G933&gt;40000,"Premium",
 IF(' car_sales_data 1'!$G933&gt;=20000,"Mid Range","Budget"))</f>
        <v>Budget</v>
      </c>
      <c r="L933" s="13">
        <f>YEAR(TODAY())-' car_sales_data 1'!$F933</f>
        <v>12</v>
      </c>
    </row>
    <row r="934" ht="15.75" customHeight="1">
      <c r="A934" s="16">
        <v>44839.0</v>
      </c>
      <c r="B934" s="13" t="s">
        <v>1891</v>
      </c>
      <c r="C934" s="13" t="s">
        <v>1892</v>
      </c>
      <c r="D934" s="13" t="s">
        <v>12</v>
      </c>
      <c r="E934" s="13" t="s">
        <v>57</v>
      </c>
      <c r="F934" s="13">
        <v>2017.0</v>
      </c>
      <c r="G934" s="13">
        <v>31808.0</v>
      </c>
      <c r="H934" s="13">
        <v>2577.93</v>
      </c>
      <c r="I934" s="13">
        <f>' car_sales_data 1'!$G934*0.2</f>
        <v>6361.6</v>
      </c>
      <c r="J934" s="13" t="str">
        <f>TEXT(' car_sales_data 1'!$A934,"mmmm")</f>
        <v>October</v>
      </c>
      <c r="K934" s="13" t="str">
        <f>IF(' car_sales_data 1'!$G934&gt;40000,"Premium",
 IF(' car_sales_data 1'!$G934&gt;=20000,"Mid Range","Budget"))</f>
        <v>Mid Range</v>
      </c>
      <c r="L934" s="13">
        <f>YEAR(TODAY())-' car_sales_data 1'!$F934</f>
        <v>8</v>
      </c>
    </row>
    <row r="935" ht="15.75" customHeight="1">
      <c r="A935" s="16">
        <v>44871.0</v>
      </c>
      <c r="B935" s="13" t="s">
        <v>1893</v>
      </c>
      <c r="C935" s="13" t="s">
        <v>1894</v>
      </c>
      <c r="D935" s="13" t="s">
        <v>10</v>
      </c>
      <c r="E935" s="13" t="s">
        <v>57</v>
      </c>
      <c r="F935" s="13">
        <v>2021.0</v>
      </c>
      <c r="G935" s="13">
        <v>19811.0</v>
      </c>
      <c r="H935" s="13">
        <v>1339.68</v>
      </c>
      <c r="I935" s="13">
        <f>' car_sales_data 1'!$G935*0.2</f>
        <v>3962.2</v>
      </c>
      <c r="J935" s="13" t="str">
        <f>TEXT(' car_sales_data 1'!$A935,"mmmm")</f>
        <v>November</v>
      </c>
      <c r="K935" s="13" t="str">
        <f>IF(' car_sales_data 1'!$G935&gt;40000,"Premium",
 IF(' car_sales_data 1'!$G935&gt;=20000,"Mid Range","Budget"))</f>
        <v>Budget</v>
      </c>
      <c r="L935" s="13">
        <f>YEAR(TODAY())-' car_sales_data 1'!$F935</f>
        <v>4</v>
      </c>
    </row>
    <row r="936" ht="15.75" customHeight="1">
      <c r="A936" s="16">
        <v>44810.0</v>
      </c>
      <c r="B936" s="13" t="s">
        <v>1895</v>
      </c>
      <c r="C936" s="13" t="s">
        <v>1896</v>
      </c>
      <c r="D936" s="13" t="s">
        <v>8</v>
      </c>
      <c r="E936" s="13" t="s">
        <v>54</v>
      </c>
      <c r="F936" s="13">
        <v>2010.0</v>
      </c>
      <c r="G936" s="13">
        <v>23633.0</v>
      </c>
      <c r="H936" s="13">
        <v>2457.47</v>
      </c>
      <c r="I936" s="13">
        <f>' car_sales_data 1'!$G936*0.2</f>
        <v>4726.6</v>
      </c>
      <c r="J936" s="13" t="str">
        <f>TEXT(' car_sales_data 1'!$A936,"mmmm")</f>
        <v>September</v>
      </c>
      <c r="K936" s="13" t="str">
        <f>IF(' car_sales_data 1'!$G936&gt;40000,"Premium",
 IF(' car_sales_data 1'!$G936&gt;=20000,"Mid Range","Budget"))</f>
        <v>Mid Range</v>
      </c>
      <c r="L936" s="13">
        <f>YEAR(TODAY())-' car_sales_data 1'!$F936</f>
        <v>15</v>
      </c>
    </row>
    <row r="937" ht="15.75" customHeight="1">
      <c r="A937" s="16">
        <v>44811.0</v>
      </c>
      <c r="B937" s="13" t="s">
        <v>1897</v>
      </c>
      <c r="C937" s="13" t="s">
        <v>1898</v>
      </c>
      <c r="D937" s="13" t="s">
        <v>14</v>
      </c>
      <c r="E937" s="13" t="s">
        <v>62</v>
      </c>
      <c r="F937" s="13">
        <v>2015.0</v>
      </c>
      <c r="G937" s="13">
        <v>24562.0</v>
      </c>
      <c r="H937" s="13">
        <v>1689.44</v>
      </c>
      <c r="I937" s="13">
        <f>' car_sales_data 1'!$G937*0.2</f>
        <v>4912.4</v>
      </c>
      <c r="J937" s="13" t="str">
        <f>TEXT(' car_sales_data 1'!$A937,"mmmm")</f>
        <v>September</v>
      </c>
      <c r="K937" s="13" t="str">
        <f>IF(' car_sales_data 1'!$G937&gt;40000,"Premium",
 IF(' car_sales_data 1'!$G937&gt;=20000,"Mid Range","Budget"))</f>
        <v>Mid Range</v>
      </c>
      <c r="L937" s="13">
        <f>YEAR(TODAY())-' car_sales_data 1'!$F937</f>
        <v>10</v>
      </c>
    </row>
    <row r="938" ht="15.75" customHeight="1">
      <c r="A938" s="16">
        <v>44943.0</v>
      </c>
      <c r="B938" s="13" t="s">
        <v>1899</v>
      </c>
      <c r="C938" s="13" t="s">
        <v>1900</v>
      </c>
      <c r="D938" s="13" t="s">
        <v>10</v>
      </c>
      <c r="E938" s="13" t="s">
        <v>54</v>
      </c>
      <c r="F938" s="13">
        <v>2017.0</v>
      </c>
      <c r="G938" s="13">
        <v>34034.0</v>
      </c>
      <c r="H938" s="13">
        <v>4693.58</v>
      </c>
      <c r="I938" s="13">
        <f>' car_sales_data 1'!$G938*0.2</f>
        <v>6806.8</v>
      </c>
      <c r="J938" s="13" t="str">
        <f>TEXT(' car_sales_data 1'!$A938,"mmmm")</f>
        <v>January</v>
      </c>
      <c r="K938" s="13" t="str">
        <f>IF(' car_sales_data 1'!$G938&gt;40000,"Premium",
 IF(' car_sales_data 1'!$G938&gt;=20000,"Mid Range","Budget"))</f>
        <v>Mid Range</v>
      </c>
      <c r="L938" s="13">
        <f>YEAR(TODAY())-' car_sales_data 1'!$F938</f>
        <v>8</v>
      </c>
    </row>
    <row r="939" ht="15.75" customHeight="1">
      <c r="A939" s="16">
        <v>44984.0</v>
      </c>
      <c r="B939" s="13" t="s">
        <v>1901</v>
      </c>
      <c r="C939" s="13" t="s">
        <v>1902</v>
      </c>
      <c r="D939" s="13" t="s">
        <v>6</v>
      </c>
      <c r="E939" s="13" t="s">
        <v>51</v>
      </c>
      <c r="F939" s="13">
        <v>2022.0</v>
      </c>
      <c r="G939" s="13">
        <v>32477.0</v>
      </c>
      <c r="H939" s="13">
        <v>1916.15</v>
      </c>
      <c r="I939" s="13">
        <f>' car_sales_data 1'!$G939*0.2</f>
        <v>6495.4</v>
      </c>
      <c r="J939" s="13" t="str">
        <f>TEXT(' car_sales_data 1'!$A939,"mmmm")</f>
        <v>February</v>
      </c>
      <c r="K939" s="13" t="str">
        <f>IF(' car_sales_data 1'!$G939&gt;40000,"Premium",
 IF(' car_sales_data 1'!$G939&gt;=20000,"Mid Range","Budget"))</f>
        <v>Mid Range</v>
      </c>
      <c r="L939" s="13">
        <f>YEAR(TODAY())-' car_sales_data 1'!$F939</f>
        <v>3</v>
      </c>
    </row>
    <row r="940" ht="15.75" customHeight="1">
      <c r="A940" s="16">
        <v>44792.0</v>
      </c>
      <c r="B940" s="13" t="s">
        <v>1903</v>
      </c>
      <c r="C940" s="13" t="s">
        <v>1904</v>
      </c>
      <c r="D940" s="13" t="s">
        <v>8</v>
      </c>
      <c r="E940" s="13" t="s">
        <v>70</v>
      </c>
      <c r="F940" s="13">
        <v>2012.0</v>
      </c>
      <c r="G940" s="13">
        <v>38274.0</v>
      </c>
      <c r="H940" s="13">
        <v>5037.34</v>
      </c>
      <c r="I940" s="13">
        <f>' car_sales_data 1'!$G940*0.2</f>
        <v>7654.8</v>
      </c>
      <c r="J940" s="13" t="str">
        <f>TEXT(' car_sales_data 1'!$A940,"mmmm")</f>
        <v>August</v>
      </c>
      <c r="K940" s="13" t="str">
        <f>IF(' car_sales_data 1'!$G940&gt;40000,"Premium",
 IF(' car_sales_data 1'!$G940&gt;=20000,"Mid Range","Budget"))</f>
        <v>Mid Range</v>
      </c>
      <c r="L940" s="13">
        <f>YEAR(TODAY())-' car_sales_data 1'!$F940</f>
        <v>13</v>
      </c>
    </row>
    <row r="941" ht="15.75" customHeight="1">
      <c r="A941" s="16">
        <v>45038.0</v>
      </c>
      <c r="B941" s="13" t="s">
        <v>1905</v>
      </c>
      <c r="C941" s="13" t="s">
        <v>1906</v>
      </c>
      <c r="D941" s="13" t="s">
        <v>14</v>
      </c>
      <c r="E941" s="13" t="s">
        <v>62</v>
      </c>
      <c r="F941" s="13">
        <v>2019.0</v>
      </c>
      <c r="G941" s="13">
        <v>20929.0</v>
      </c>
      <c r="H941" s="13">
        <v>1762.19</v>
      </c>
      <c r="I941" s="13">
        <f>' car_sales_data 1'!$G941*0.2</f>
        <v>4185.8</v>
      </c>
      <c r="J941" s="13" t="str">
        <f>TEXT(' car_sales_data 1'!$A941,"mmmm")</f>
        <v>April</v>
      </c>
      <c r="K941" s="13" t="str">
        <f>IF(' car_sales_data 1'!$G941&gt;40000,"Premium",
 IF(' car_sales_data 1'!$G941&gt;=20000,"Mid Range","Budget"))</f>
        <v>Mid Range</v>
      </c>
      <c r="L941" s="13">
        <f>YEAR(TODAY())-' car_sales_data 1'!$F941</f>
        <v>6</v>
      </c>
    </row>
    <row r="942" ht="15.75" customHeight="1">
      <c r="A942" s="16">
        <v>44714.0</v>
      </c>
      <c r="B942" s="13" t="s">
        <v>1907</v>
      </c>
      <c r="C942" s="13" t="s">
        <v>1908</v>
      </c>
      <c r="D942" s="13" t="s">
        <v>10</v>
      </c>
      <c r="E942" s="13" t="s">
        <v>54</v>
      </c>
      <c r="F942" s="13">
        <v>2015.0</v>
      </c>
      <c r="G942" s="13">
        <v>13973.0</v>
      </c>
      <c r="H942" s="13">
        <v>993.91</v>
      </c>
      <c r="I942" s="13">
        <f>' car_sales_data 1'!$G942*0.2</f>
        <v>2794.6</v>
      </c>
      <c r="J942" s="13" t="str">
        <f>TEXT(' car_sales_data 1'!$A942,"mmmm")</f>
        <v>June</v>
      </c>
      <c r="K942" s="13" t="str">
        <f>IF(' car_sales_data 1'!$G942&gt;40000,"Premium",
 IF(' car_sales_data 1'!$G942&gt;=20000,"Mid Range","Budget"))</f>
        <v>Budget</v>
      </c>
      <c r="L942" s="13">
        <f>YEAR(TODAY())-' car_sales_data 1'!$F942</f>
        <v>10</v>
      </c>
    </row>
    <row r="943" ht="15.75" customHeight="1">
      <c r="A943" s="16">
        <v>44750.0</v>
      </c>
      <c r="B943" s="13" t="s">
        <v>1909</v>
      </c>
      <c r="C943" s="13" t="s">
        <v>1910</v>
      </c>
      <c r="D943" s="13" t="s">
        <v>14</v>
      </c>
      <c r="E943" s="13" t="s">
        <v>62</v>
      </c>
      <c r="F943" s="13">
        <v>2018.0</v>
      </c>
      <c r="G943" s="13">
        <v>21167.0</v>
      </c>
      <c r="H943" s="13">
        <v>1198.81</v>
      </c>
      <c r="I943" s="13">
        <f>' car_sales_data 1'!$G943*0.2</f>
        <v>4233.4</v>
      </c>
      <c r="J943" s="13" t="str">
        <f>TEXT(' car_sales_data 1'!$A943,"mmmm")</f>
        <v>July</v>
      </c>
      <c r="K943" s="13" t="str">
        <f>IF(' car_sales_data 1'!$G943&gt;40000,"Premium",
 IF(' car_sales_data 1'!$G943&gt;=20000,"Mid Range","Budget"))</f>
        <v>Mid Range</v>
      </c>
      <c r="L943" s="13">
        <f>YEAR(TODAY())-' car_sales_data 1'!$F943</f>
        <v>7</v>
      </c>
    </row>
    <row r="944" ht="15.75" customHeight="1">
      <c r="A944" s="16">
        <v>44822.0</v>
      </c>
      <c r="B944" s="13" t="s">
        <v>1911</v>
      </c>
      <c r="C944" s="13" t="s">
        <v>1912</v>
      </c>
      <c r="D944" s="13" t="s">
        <v>14</v>
      </c>
      <c r="E944" s="13" t="s">
        <v>51</v>
      </c>
      <c r="F944" s="13">
        <v>2015.0</v>
      </c>
      <c r="G944" s="13">
        <v>20107.0</v>
      </c>
      <c r="H944" s="13">
        <v>2245.44</v>
      </c>
      <c r="I944" s="13">
        <f>' car_sales_data 1'!$G944*0.2</f>
        <v>4021.4</v>
      </c>
      <c r="J944" s="13" t="str">
        <f>TEXT(' car_sales_data 1'!$A944,"mmmm")</f>
        <v>September</v>
      </c>
      <c r="K944" s="13" t="str">
        <f>IF(' car_sales_data 1'!$G944&gt;40000,"Premium",
 IF(' car_sales_data 1'!$G944&gt;=20000,"Mid Range","Budget"))</f>
        <v>Mid Range</v>
      </c>
      <c r="L944" s="13">
        <f>YEAR(TODAY())-' car_sales_data 1'!$F944</f>
        <v>10</v>
      </c>
    </row>
    <row r="945" ht="15.75" customHeight="1">
      <c r="A945" s="16">
        <v>44816.0</v>
      </c>
      <c r="B945" s="13" t="s">
        <v>1913</v>
      </c>
      <c r="C945" s="13" t="s">
        <v>1914</v>
      </c>
      <c r="D945" s="13" t="s">
        <v>6</v>
      </c>
      <c r="E945" s="13" t="s">
        <v>57</v>
      </c>
      <c r="F945" s="13">
        <v>2011.0</v>
      </c>
      <c r="G945" s="13">
        <v>19471.0</v>
      </c>
      <c r="H945" s="13">
        <v>2402.42</v>
      </c>
      <c r="I945" s="13">
        <f>' car_sales_data 1'!$G945*0.2</f>
        <v>3894.2</v>
      </c>
      <c r="J945" s="13" t="str">
        <f>TEXT(' car_sales_data 1'!$A945,"mmmm")</f>
        <v>September</v>
      </c>
      <c r="K945" s="13" t="str">
        <f>IF(' car_sales_data 1'!$G945&gt;40000,"Premium",
 IF(' car_sales_data 1'!$G945&gt;=20000,"Mid Range","Budget"))</f>
        <v>Budget</v>
      </c>
      <c r="L945" s="13">
        <f>YEAR(TODAY())-' car_sales_data 1'!$F945</f>
        <v>14</v>
      </c>
    </row>
    <row r="946" ht="15.75" customHeight="1">
      <c r="A946" s="16">
        <v>44742.0</v>
      </c>
      <c r="B946" s="13" t="s">
        <v>1915</v>
      </c>
      <c r="C946" s="13" t="s">
        <v>1916</v>
      </c>
      <c r="D946" s="13" t="s">
        <v>6</v>
      </c>
      <c r="E946" s="13" t="s">
        <v>54</v>
      </c>
      <c r="F946" s="13">
        <v>2017.0</v>
      </c>
      <c r="G946" s="13">
        <v>28062.0</v>
      </c>
      <c r="H946" s="13">
        <v>3811.74</v>
      </c>
      <c r="I946" s="13">
        <f>' car_sales_data 1'!$G946*0.2</f>
        <v>5612.4</v>
      </c>
      <c r="J946" s="13" t="str">
        <f>TEXT(' car_sales_data 1'!$A946,"mmmm")</f>
        <v>June</v>
      </c>
      <c r="K946" s="13" t="str">
        <f>IF(' car_sales_data 1'!$G946&gt;40000,"Premium",
 IF(' car_sales_data 1'!$G946&gt;=20000,"Mid Range","Budget"))</f>
        <v>Mid Range</v>
      </c>
      <c r="L946" s="13">
        <f>YEAR(TODAY())-' car_sales_data 1'!$F946</f>
        <v>8</v>
      </c>
    </row>
    <row r="947" ht="15.75" customHeight="1">
      <c r="A947" s="16">
        <v>45019.0</v>
      </c>
      <c r="B947" s="13" t="s">
        <v>1917</v>
      </c>
      <c r="C947" s="13" t="s">
        <v>1918</v>
      </c>
      <c r="D947" s="13" t="s">
        <v>10</v>
      </c>
      <c r="E947" s="13" t="s">
        <v>57</v>
      </c>
      <c r="F947" s="13">
        <v>2022.0</v>
      </c>
      <c r="G947" s="13">
        <v>21301.0</v>
      </c>
      <c r="H947" s="13">
        <v>1136.12</v>
      </c>
      <c r="I947" s="13">
        <f>' car_sales_data 1'!$G947*0.2</f>
        <v>4260.2</v>
      </c>
      <c r="J947" s="13" t="str">
        <f>TEXT(' car_sales_data 1'!$A947,"mmmm")</f>
        <v>April</v>
      </c>
      <c r="K947" s="13" t="str">
        <f>IF(' car_sales_data 1'!$G947&gt;40000,"Premium",
 IF(' car_sales_data 1'!$G947&gt;=20000,"Mid Range","Budget"))</f>
        <v>Mid Range</v>
      </c>
      <c r="L947" s="13">
        <f>YEAR(TODAY())-' car_sales_data 1'!$F947</f>
        <v>3</v>
      </c>
    </row>
    <row r="948" ht="15.75" customHeight="1">
      <c r="A948" s="16">
        <v>44765.0</v>
      </c>
      <c r="B948" s="13" t="s">
        <v>1919</v>
      </c>
      <c r="C948" s="13" t="s">
        <v>1920</v>
      </c>
      <c r="D948" s="13" t="s">
        <v>6</v>
      </c>
      <c r="E948" s="13" t="s">
        <v>54</v>
      </c>
      <c r="F948" s="13">
        <v>2020.0</v>
      </c>
      <c r="G948" s="13">
        <v>38328.0</v>
      </c>
      <c r="H948" s="13">
        <v>2752.63</v>
      </c>
      <c r="I948" s="13">
        <f>' car_sales_data 1'!$G948*0.2</f>
        <v>7665.6</v>
      </c>
      <c r="J948" s="13" t="str">
        <f>TEXT(' car_sales_data 1'!$A948,"mmmm")</f>
        <v>July</v>
      </c>
      <c r="K948" s="13" t="str">
        <f>IF(' car_sales_data 1'!$G948&gt;40000,"Premium",
 IF(' car_sales_data 1'!$G948&gt;=20000,"Mid Range","Budget"))</f>
        <v>Mid Range</v>
      </c>
      <c r="L948" s="13">
        <f>YEAR(TODAY())-' car_sales_data 1'!$F948</f>
        <v>5</v>
      </c>
    </row>
    <row r="949" ht="15.75" customHeight="1">
      <c r="A949" s="16">
        <v>44733.0</v>
      </c>
      <c r="B949" s="13" t="s">
        <v>1921</v>
      </c>
      <c r="C949" s="13" t="s">
        <v>1922</v>
      </c>
      <c r="D949" s="13" t="s">
        <v>12</v>
      </c>
      <c r="E949" s="13" t="s">
        <v>57</v>
      </c>
      <c r="F949" s="13">
        <v>2013.0</v>
      </c>
      <c r="G949" s="13">
        <v>35183.0</v>
      </c>
      <c r="H949" s="13">
        <v>2301.52</v>
      </c>
      <c r="I949" s="13">
        <f>' car_sales_data 1'!$G949*0.2</f>
        <v>7036.6</v>
      </c>
      <c r="J949" s="13" t="str">
        <f>TEXT(' car_sales_data 1'!$A949,"mmmm")</f>
        <v>June</v>
      </c>
      <c r="K949" s="13" t="str">
        <f>IF(' car_sales_data 1'!$G949&gt;40000,"Premium",
 IF(' car_sales_data 1'!$G949&gt;=20000,"Mid Range","Budget"))</f>
        <v>Mid Range</v>
      </c>
      <c r="L949" s="13">
        <f>YEAR(TODAY())-' car_sales_data 1'!$F949</f>
        <v>12</v>
      </c>
    </row>
    <row r="950" ht="15.75" customHeight="1">
      <c r="A950" s="16">
        <v>45027.0</v>
      </c>
      <c r="B950" s="13" t="s">
        <v>1923</v>
      </c>
      <c r="C950" s="13" t="s">
        <v>1924</v>
      </c>
      <c r="D950" s="13" t="s">
        <v>10</v>
      </c>
      <c r="E950" s="13" t="s">
        <v>62</v>
      </c>
      <c r="F950" s="13">
        <v>2019.0</v>
      </c>
      <c r="G950" s="13">
        <v>48190.0</v>
      </c>
      <c r="H950" s="13">
        <v>6059.21</v>
      </c>
      <c r="I950" s="13">
        <f>' car_sales_data 1'!$G950*0.2</f>
        <v>9638</v>
      </c>
      <c r="J950" s="13" t="str">
        <f>TEXT(' car_sales_data 1'!$A950,"mmmm")</f>
        <v>April</v>
      </c>
      <c r="K950" s="13" t="str">
        <f>IF(' car_sales_data 1'!$G950&gt;40000,"Premium",
 IF(' car_sales_data 1'!$G950&gt;=20000,"Mid Range","Budget"))</f>
        <v>Premium</v>
      </c>
      <c r="L950" s="13">
        <f>YEAR(TODAY())-' car_sales_data 1'!$F950</f>
        <v>6</v>
      </c>
    </row>
    <row r="951" ht="15.75" customHeight="1">
      <c r="A951" s="16">
        <v>44952.0</v>
      </c>
      <c r="B951" s="13" t="s">
        <v>1925</v>
      </c>
      <c r="C951" s="13" t="s">
        <v>1926</v>
      </c>
      <c r="D951" s="13" t="s">
        <v>10</v>
      </c>
      <c r="E951" s="13" t="s">
        <v>62</v>
      </c>
      <c r="F951" s="13">
        <v>2016.0</v>
      </c>
      <c r="G951" s="13">
        <v>20154.0</v>
      </c>
      <c r="H951" s="13">
        <v>1395.1</v>
      </c>
      <c r="I951" s="13">
        <f>' car_sales_data 1'!$G951*0.2</f>
        <v>4030.8</v>
      </c>
      <c r="J951" s="13" t="str">
        <f>TEXT(' car_sales_data 1'!$A951,"mmmm")</f>
        <v>January</v>
      </c>
      <c r="K951" s="13" t="str">
        <f>IF(' car_sales_data 1'!$G951&gt;40000,"Premium",
 IF(' car_sales_data 1'!$G951&gt;=20000,"Mid Range","Budget"))</f>
        <v>Mid Range</v>
      </c>
      <c r="L951" s="13">
        <f>YEAR(TODAY())-' car_sales_data 1'!$F951</f>
        <v>9</v>
      </c>
    </row>
    <row r="952" ht="15.75" customHeight="1">
      <c r="A952" s="16">
        <v>44883.0</v>
      </c>
      <c r="B952" s="13" t="s">
        <v>1927</v>
      </c>
      <c r="C952" s="13" t="s">
        <v>1928</v>
      </c>
      <c r="D952" s="13" t="s">
        <v>12</v>
      </c>
      <c r="E952" s="13" t="s">
        <v>70</v>
      </c>
      <c r="F952" s="13">
        <v>2011.0</v>
      </c>
      <c r="G952" s="13">
        <v>24953.0</v>
      </c>
      <c r="H952" s="13">
        <v>2616.93</v>
      </c>
      <c r="I952" s="13">
        <f>' car_sales_data 1'!$G952*0.2</f>
        <v>4990.6</v>
      </c>
      <c r="J952" s="13" t="str">
        <f>TEXT(' car_sales_data 1'!$A952,"mmmm")</f>
        <v>November</v>
      </c>
      <c r="K952" s="13" t="str">
        <f>IF(' car_sales_data 1'!$G952&gt;40000,"Premium",
 IF(' car_sales_data 1'!$G952&gt;=20000,"Mid Range","Budget"))</f>
        <v>Mid Range</v>
      </c>
      <c r="L952" s="13">
        <f>YEAR(TODAY())-' car_sales_data 1'!$F952</f>
        <v>14</v>
      </c>
    </row>
    <row r="953" ht="15.75" customHeight="1">
      <c r="A953" s="16">
        <v>44820.0</v>
      </c>
      <c r="B953" s="13" t="s">
        <v>1929</v>
      </c>
      <c r="C953" s="13" t="s">
        <v>1930</v>
      </c>
      <c r="D953" s="13" t="s">
        <v>12</v>
      </c>
      <c r="E953" s="13" t="s">
        <v>54</v>
      </c>
      <c r="F953" s="13">
        <v>2015.0</v>
      </c>
      <c r="G953" s="13">
        <v>42414.0</v>
      </c>
      <c r="H953" s="13">
        <v>5411.22</v>
      </c>
      <c r="I953" s="13">
        <f>' car_sales_data 1'!$G953*0.2</f>
        <v>8482.8</v>
      </c>
      <c r="J953" s="13" t="str">
        <f>TEXT(' car_sales_data 1'!$A953,"mmmm")</f>
        <v>September</v>
      </c>
      <c r="K953" s="13" t="str">
        <f>IF(' car_sales_data 1'!$G953&gt;40000,"Premium",
 IF(' car_sales_data 1'!$G953&gt;=20000,"Mid Range","Budget"))</f>
        <v>Premium</v>
      </c>
      <c r="L953" s="13">
        <f>YEAR(TODAY())-' car_sales_data 1'!$F953</f>
        <v>10</v>
      </c>
    </row>
    <row r="954" ht="15.75" customHeight="1">
      <c r="A954" s="16">
        <v>44988.0</v>
      </c>
      <c r="B954" s="13" t="s">
        <v>1931</v>
      </c>
      <c r="C954" s="13" t="s">
        <v>1932</v>
      </c>
      <c r="D954" s="13" t="s">
        <v>14</v>
      </c>
      <c r="E954" s="13" t="s">
        <v>54</v>
      </c>
      <c r="F954" s="13">
        <v>2010.0</v>
      </c>
      <c r="G954" s="13">
        <v>48648.0</v>
      </c>
      <c r="H954" s="13">
        <v>6645.51</v>
      </c>
      <c r="I954" s="13">
        <f>' car_sales_data 1'!$G954*0.2</f>
        <v>9729.6</v>
      </c>
      <c r="J954" s="13" t="str">
        <f>TEXT(' car_sales_data 1'!$A954,"mmmm")</f>
        <v>March</v>
      </c>
      <c r="K954" s="13" t="str">
        <f>IF(' car_sales_data 1'!$G954&gt;40000,"Premium",
 IF(' car_sales_data 1'!$G954&gt;=20000,"Mid Range","Budget"))</f>
        <v>Premium</v>
      </c>
      <c r="L954" s="13">
        <f>YEAR(TODAY())-' car_sales_data 1'!$F954</f>
        <v>15</v>
      </c>
    </row>
    <row r="955" ht="15.75" customHeight="1">
      <c r="A955" s="16">
        <v>44727.0</v>
      </c>
      <c r="B955" s="13" t="s">
        <v>1933</v>
      </c>
      <c r="C955" s="13" t="s">
        <v>1934</v>
      </c>
      <c r="D955" s="13" t="s">
        <v>6</v>
      </c>
      <c r="E955" s="13" t="s">
        <v>51</v>
      </c>
      <c r="F955" s="13">
        <v>2014.0</v>
      </c>
      <c r="G955" s="13">
        <v>39335.0</v>
      </c>
      <c r="H955" s="13">
        <v>3518.9</v>
      </c>
      <c r="I955" s="13">
        <f>' car_sales_data 1'!$G955*0.2</f>
        <v>7867</v>
      </c>
      <c r="J955" s="13" t="str">
        <f>TEXT(' car_sales_data 1'!$A955,"mmmm")</f>
        <v>June</v>
      </c>
      <c r="K955" s="13" t="str">
        <f>IF(' car_sales_data 1'!$G955&gt;40000,"Premium",
 IF(' car_sales_data 1'!$G955&gt;=20000,"Mid Range","Budget"))</f>
        <v>Mid Range</v>
      </c>
      <c r="L955" s="13">
        <f>YEAR(TODAY())-' car_sales_data 1'!$F955</f>
        <v>11</v>
      </c>
    </row>
    <row r="956" ht="15.75" customHeight="1">
      <c r="A956" s="16">
        <v>44977.0</v>
      </c>
      <c r="B956" s="13" t="s">
        <v>1935</v>
      </c>
      <c r="C956" s="13" t="s">
        <v>1936</v>
      </c>
      <c r="D956" s="13" t="s">
        <v>8</v>
      </c>
      <c r="E956" s="13" t="s">
        <v>70</v>
      </c>
      <c r="F956" s="13">
        <v>2014.0</v>
      </c>
      <c r="G956" s="13">
        <v>21119.0</v>
      </c>
      <c r="H956" s="13">
        <v>1753.53</v>
      </c>
      <c r="I956" s="13">
        <f>' car_sales_data 1'!$G956*0.2</f>
        <v>4223.8</v>
      </c>
      <c r="J956" s="13" t="str">
        <f>TEXT(' car_sales_data 1'!$A956,"mmmm")</f>
        <v>February</v>
      </c>
      <c r="K956" s="13" t="str">
        <f>IF(' car_sales_data 1'!$G956&gt;40000,"Premium",
 IF(' car_sales_data 1'!$G956&gt;=20000,"Mid Range","Budget"))</f>
        <v>Mid Range</v>
      </c>
      <c r="L956" s="13">
        <f>YEAR(TODAY())-' car_sales_data 1'!$F956</f>
        <v>11</v>
      </c>
    </row>
    <row r="957" ht="15.75" customHeight="1">
      <c r="A957" s="16">
        <v>44706.0</v>
      </c>
      <c r="B957" s="13" t="s">
        <v>1937</v>
      </c>
      <c r="C957" s="13" t="s">
        <v>1938</v>
      </c>
      <c r="D957" s="13" t="s">
        <v>8</v>
      </c>
      <c r="E957" s="13" t="s">
        <v>54</v>
      </c>
      <c r="F957" s="13">
        <v>2015.0</v>
      </c>
      <c r="G957" s="13">
        <v>29837.0</v>
      </c>
      <c r="H957" s="13">
        <v>1555.36</v>
      </c>
      <c r="I957" s="13">
        <f>' car_sales_data 1'!$G957*0.2</f>
        <v>5967.4</v>
      </c>
      <c r="J957" s="13" t="str">
        <f>TEXT(' car_sales_data 1'!$A957,"mmmm")</f>
        <v>May</v>
      </c>
      <c r="K957" s="13" t="str">
        <f>IF(' car_sales_data 1'!$G957&gt;40000,"Premium",
 IF(' car_sales_data 1'!$G957&gt;=20000,"Mid Range","Budget"))</f>
        <v>Mid Range</v>
      </c>
      <c r="L957" s="13">
        <f>YEAR(TODAY())-' car_sales_data 1'!$F957</f>
        <v>10</v>
      </c>
    </row>
    <row r="958" ht="15.75" customHeight="1">
      <c r="A958" s="16">
        <v>45039.0</v>
      </c>
      <c r="B958" s="13" t="s">
        <v>1939</v>
      </c>
      <c r="C958" s="13" t="s">
        <v>1940</v>
      </c>
      <c r="D958" s="13" t="s">
        <v>12</v>
      </c>
      <c r="E958" s="13" t="s">
        <v>57</v>
      </c>
      <c r="F958" s="13">
        <v>2011.0</v>
      </c>
      <c r="G958" s="13">
        <v>30080.0</v>
      </c>
      <c r="H958" s="13">
        <v>2972.97</v>
      </c>
      <c r="I958" s="13">
        <f>' car_sales_data 1'!$G958*0.2</f>
        <v>6016</v>
      </c>
      <c r="J958" s="13" t="str">
        <f>TEXT(' car_sales_data 1'!$A958,"mmmm")</f>
        <v>April</v>
      </c>
      <c r="K958" s="13" t="str">
        <f>IF(' car_sales_data 1'!$G958&gt;40000,"Premium",
 IF(' car_sales_data 1'!$G958&gt;=20000,"Mid Range","Budget"))</f>
        <v>Mid Range</v>
      </c>
      <c r="L958" s="13">
        <f>YEAR(TODAY())-' car_sales_data 1'!$F958</f>
        <v>14</v>
      </c>
    </row>
    <row r="959" ht="15.75" customHeight="1">
      <c r="A959" s="16">
        <v>45035.0</v>
      </c>
      <c r="B959" s="13" t="s">
        <v>1941</v>
      </c>
      <c r="C959" s="13" t="s">
        <v>1942</v>
      </c>
      <c r="D959" s="13" t="s">
        <v>12</v>
      </c>
      <c r="E959" s="13" t="s">
        <v>57</v>
      </c>
      <c r="F959" s="13">
        <v>2015.0</v>
      </c>
      <c r="G959" s="13">
        <v>25856.0</v>
      </c>
      <c r="H959" s="13">
        <v>1726.23</v>
      </c>
      <c r="I959" s="13">
        <f>' car_sales_data 1'!$G959*0.2</f>
        <v>5171.2</v>
      </c>
      <c r="J959" s="13" t="str">
        <f>TEXT(' car_sales_data 1'!$A959,"mmmm")</f>
        <v>April</v>
      </c>
      <c r="K959" s="13" t="str">
        <f>IF(' car_sales_data 1'!$G959&gt;40000,"Premium",
 IF(' car_sales_data 1'!$G959&gt;=20000,"Mid Range","Budget"))</f>
        <v>Mid Range</v>
      </c>
      <c r="L959" s="13">
        <f>YEAR(TODAY())-' car_sales_data 1'!$F959</f>
        <v>10</v>
      </c>
    </row>
    <row r="960" ht="15.75" customHeight="1">
      <c r="A960" s="16">
        <v>44827.0</v>
      </c>
      <c r="B960" s="13" t="s">
        <v>1943</v>
      </c>
      <c r="C960" s="13" t="s">
        <v>1944</v>
      </c>
      <c r="D960" s="13" t="s">
        <v>8</v>
      </c>
      <c r="E960" s="13" t="s">
        <v>57</v>
      </c>
      <c r="F960" s="13">
        <v>2019.0</v>
      </c>
      <c r="G960" s="13">
        <v>25269.0</v>
      </c>
      <c r="H960" s="13">
        <v>2428.76</v>
      </c>
      <c r="I960" s="13">
        <f>' car_sales_data 1'!$G960*0.2</f>
        <v>5053.8</v>
      </c>
      <c r="J960" s="13" t="str">
        <f>TEXT(' car_sales_data 1'!$A960,"mmmm")</f>
        <v>September</v>
      </c>
      <c r="K960" s="13" t="str">
        <f>IF(' car_sales_data 1'!$G960&gt;40000,"Premium",
 IF(' car_sales_data 1'!$G960&gt;=20000,"Mid Range","Budget"))</f>
        <v>Mid Range</v>
      </c>
      <c r="L960" s="13">
        <f>YEAR(TODAY())-' car_sales_data 1'!$F960</f>
        <v>6</v>
      </c>
    </row>
    <row r="961" ht="15.75" customHeight="1">
      <c r="A961" s="16">
        <v>44751.0</v>
      </c>
      <c r="B961" s="13" t="s">
        <v>1945</v>
      </c>
      <c r="C961" s="13" t="s">
        <v>1946</v>
      </c>
      <c r="D961" s="13" t="s">
        <v>10</v>
      </c>
      <c r="E961" s="13" t="s">
        <v>54</v>
      </c>
      <c r="F961" s="13">
        <v>2012.0</v>
      </c>
      <c r="G961" s="13">
        <v>33206.0</v>
      </c>
      <c r="H961" s="13">
        <v>2043.57</v>
      </c>
      <c r="I961" s="13">
        <f>' car_sales_data 1'!$G961*0.2</f>
        <v>6641.2</v>
      </c>
      <c r="J961" s="13" t="str">
        <f>TEXT(' car_sales_data 1'!$A961,"mmmm")</f>
        <v>July</v>
      </c>
      <c r="K961" s="13" t="str">
        <f>IF(' car_sales_data 1'!$G961&gt;40000,"Premium",
 IF(' car_sales_data 1'!$G961&gt;=20000,"Mid Range","Budget"))</f>
        <v>Mid Range</v>
      </c>
      <c r="L961" s="13">
        <f>YEAR(TODAY())-' car_sales_data 1'!$F961</f>
        <v>13</v>
      </c>
    </row>
    <row r="962" ht="15.75" customHeight="1">
      <c r="A962" s="16">
        <v>44821.0</v>
      </c>
      <c r="B962" s="13" t="s">
        <v>1947</v>
      </c>
      <c r="C962" s="13" t="s">
        <v>1948</v>
      </c>
      <c r="D962" s="13" t="s">
        <v>12</v>
      </c>
      <c r="E962" s="13" t="s">
        <v>62</v>
      </c>
      <c r="F962" s="13">
        <v>2022.0</v>
      </c>
      <c r="G962" s="13">
        <v>19176.0</v>
      </c>
      <c r="H962" s="13">
        <v>2424.96</v>
      </c>
      <c r="I962" s="13">
        <f>' car_sales_data 1'!$G962*0.2</f>
        <v>3835.2</v>
      </c>
      <c r="J962" s="13" t="str">
        <f>TEXT(' car_sales_data 1'!$A962,"mmmm")</f>
        <v>September</v>
      </c>
      <c r="K962" s="13" t="str">
        <f>IF(' car_sales_data 1'!$G962&gt;40000,"Premium",
 IF(' car_sales_data 1'!$G962&gt;=20000,"Mid Range","Budget"))</f>
        <v>Budget</v>
      </c>
      <c r="L962" s="13">
        <f>YEAR(TODAY())-' car_sales_data 1'!$F962</f>
        <v>3</v>
      </c>
    </row>
    <row r="963" ht="15.75" customHeight="1">
      <c r="A963" s="16">
        <v>44838.0</v>
      </c>
      <c r="B963" s="13" t="s">
        <v>1638</v>
      </c>
      <c r="C963" s="13" t="s">
        <v>1949</v>
      </c>
      <c r="D963" s="13" t="s">
        <v>6</v>
      </c>
      <c r="E963" s="13" t="s">
        <v>70</v>
      </c>
      <c r="F963" s="13">
        <v>2010.0</v>
      </c>
      <c r="G963" s="13">
        <v>16312.0</v>
      </c>
      <c r="H963" s="13">
        <v>960.59</v>
      </c>
      <c r="I963" s="13">
        <f>' car_sales_data 1'!$G963*0.2</f>
        <v>3262.4</v>
      </c>
      <c r="J963" s="13" t="str">
        <f>TEXT(' car_sales_data 1'!$A963,"mmmm")</f>
        <v>October</v>
      </c>
      <c r="K963" s="13" t="str">
        <f>IF(' car_sales_data 1'!$G963&gt;40000,"Premium",
 IF(' car_sales_data 1'!$G963&gt;=20000,"Mid Range","Budget"))</f>
        <v>Budget</v>
      </c>
      <c r="L963" s="13">
        <f>YEAR(TODAY())-' car_sales_data 1'!$F963</f>
        <v>15</v>
      </c>
    </row>
    <row r="964" ht="15.75" customHeight="1">
      <c r="A964" s="16">
        <v>44957.0</v>
      </c>
      <c r="B964" s="13" t="s">
        <v>1950</v>
      </c>
      <c r="C964" s="13" t="s">
        <v>1951</v>
      </c>
      <c r="D964" s="13" t="s">
        <v>12</v>
      </c>
      <c r="E964" s="13" t="s">
        <v>57</v>
      </c>
      <c r="F964" s="13">
        <v>2010.0</v>
      </c>
      <c r="G964" s="13">
        <v>49295.0</v>
      </c>
      <c r="H964" s="13">
        <v>2684.85</v>
      </c>
      <c r="I964" s="13">
        <f>' car_sales_data 1'!$G964*0.2</f>
        <v>9859</v>
      </c>
      <c r="J964" s="13" t="str">
        <f>TEXT(' car_sales_data 1'!$A964,"mmmm")</f>
        <v>January</v>
      </c>
      <c r="K964" s="13" t="str">
        <f>IF(' car_sales_data 1'!$G964&gt;40000,"Premium",
 IF(' car_sales_data 1'!$G964&gt;=20000,"Mid Range","Budget"))</f>
        <v>Premium</v>
      </c>
      <c r="L964" s="13">
        <f>YEAR(TODAY())-' car_sales_data 1'!$F964</f>
        <v>15</v>
      </c>
    </row>
    <row r="965" ht="15.75" customHeight="1">
      <c r="A965" s="16">
        <v>44924.0</v>
      </c>
      <c r="B965" s="13" t="s">
        <v>1952</v>
      </c>
      <c r="C965" s="13" t="s">
        <v>1953</v>
      </c>
      <c r="D965" s="13" t="s">
        <v>8</v>
      </c>
      <c r="E965" s="13" t="s">
        <v>51</v>
      </c>
      <c r="F965" s="13">
        <v>2017.0</v>
      </c>
      <c r="G965" s="13">
        <v>23221.0</v>
      </c>
      <c r="H965" s="13">
        <v>1310.15</v>
      </c>
      <c r="I965" s="13">
        <f>' car_sales_data 1'!$G965*0.2</f>
        <v>4644.2</v>
      </c>
      <c r="J965" s="13" t="str">
        <f>TEXT(' car_sales_data 1'!$A965,"mmmm")</f>
        <v>December</v>
      </c>
      <c r="K965" s="13" t="str">
        <f>IF(' car_sales_data 1'!$G965&gt;40000,"Premium",
 IF(' car_sales_data 1'!$G965&gt;=20000,"Mid Range","Budget"))</f>
        <v>Mid Range</v>
      </c>
      <c r="L965" s="13">
        <f>YEAR(TODAY())-' car_sales_data 1'!$F965</f>
        <v>8</v>
      </c>
    </row>
    <row r="966" ht="15.75" customHeight="1">
      <c r="A966" s="16">
        <v>44843.0</v>
      </c>
      <c r="B966" s="13" t="s">
        <v>1954</v>
      </c>
      <c r="C966" s="13" t="s">
        <v>1955</v>
      </c>
      <c r="D966" s="13" t="s">
        <v>8</v>
      </c>
      <c r="E966" s="13" t="s">
        <v>70</v>
      </c>
      <c r="F966" s="13">
        <v>2022.0</v>
      </c>
      <c r="G966" s="13">
        <v>45066.0</v>
      </c>
      <c r="H966" s="13">
        <v>5207.7</v>
      </c>
      <c r="I966" s="13">
        <f>' car_sales_data 1'!$G966*0.2</f>
        <v>9013.2</v>
      </c>
      <c r="J966" s="13" t="str">
        <f>TEXT(' car_sales_data 1'!$A966,"mmmm")</f>
        <v>October</v>
      </c>
      <c r="K966" s="13" t="str">
        <f>IF(' car_sales_data 1'!$G966&gt;40000,"Premium",
 IF(' car_sales_data 1'!$G966&gt;=20000,"Mid Range","Budget"))</f>
        <v>Premium</v>
      </c>
      <c r="L966" s="13">
        <f>YEAR(TODAY())-' car_sales_data 1'!$F966</f>
        <v>3</v>
      </c>
    </row>
    <row r="967" ht="15.75" customHeight="1">
      <c r="A967" s="16">
        <v>44832.0</v>
      </c>
      <c r="B967" s="13" t="s">
        <v>1956</v>
      </c>
      <c r="C967" s="13" t="s">
        <v>1957</v>
      </c>
      <c r="D967" s="13" t="s">
        <v>12</v>
      </c>
      <c r="E967" s="13" t="s">
        <v>54</v>
      </c>
      <c r="F967" s="13">
        <v>2012.0</v>
      </c>
      <c r="G967" s="13">
        <v>33079.0</v>
      </c>
      <c r="H967" s="13">
        <v>4136.25</v>
      </c>
      <c r="I967" s="13">
        <f>' car_sales_data 1'!$G967*0.2</f>
        <v>6615.8</v>
      </c>
      <c r="J967" s="13" t="str">
        <f>TEXT(' car_sales_data 1'!$A967,"mmmm")</f>
        <v>September</v>
      </c>
      <c r="K967" s="13" t="str">
        <f>IF(' car_sales_data 1'!$G967&gt;40000,"Premium",
 IF(' car_sales_data 1'!$G967&gt;=20000,"Mid Range","Budget"))</f>
        <v>Mid Range</v>
      </c>
      <c r="L967" s="13">
        <f>YEAR(TODAY())-' car_sales_data 1'!$F967</f>
        <v>13</v>
      </c>
    </row>
    <row r="968" ht="15.75" customHeight="1">
      <c r="A968" s="16">
        <v>44980.0</v>
      </c>
      <c r="B968" s="13" t="s">
        <v>1958</v>
      </c>
      <c r="C968" s="13" t="s">
        <v>1959</v>
      </c>
      <c r="D968" s="13" t="s">
        <v>6</v>
      </c>
      <c r="E968" s="13" t="s">
        <v>54</v>
      </c>
      <c r="F968" s="13">
        <v>2015.0</v>
      </c>
      <c r="G968" s="13">
        <v>28896.0</v>
      </c>
      <c r="H968" s="13">
        <v>2198.49</v>
      </c>
      <c r="I968" s="13">
        <f>' car_sales_data 1'!$G968*0.2</f>
        <v>5779.2</v>
      </c>
      <c r="J968" s="13" t="str">
        <f>TEXT(' car_sales_data 1'!$A968,"mmmm")</f>
        <v>February</v>
      </c>
      <c r="K968" s="13" t="str">
        <f>IF(' car_sales_data 1'!$G968&gt;40000,"Premium",
 IF(' car_sales_data 1'!$G968&gt;=20000,"Mid Range","Budget"))</f>
        <v>Mid Range</v>
      </c>
      <c r="L968" s="13">
        <f>YEAR(TODAY())-' car_sales_data 1'!$F968</f>
        <v>10</v>
      </c>
    </row>
    <row r="969" ht="15.75" customHeight="1">
      <c r="A969" s="16">
        <v>44819.0</v>
      </c>
      <c r="B969" s="13" t="s">
        <v>1960</v>
      </c>
      <c r="C969" s="13" t="s">
        <v>1961</v>
      </c>
      <c r="D969" s="13" t="s">
        <v>10</v>
      </c>
      <c r="E969" s="13" t="s">
        <v>57</v>
      </c>
      <c r="F969" s="13">
        <v>2019.0</v>
      </c>
      <c r="G969" s="13">
        <v>15314.0</v>
      </c>
      <c r="H969" s="13">
        <v>2182.17</v>
      </c>
      <c r="I969" s="13">
        <f>' car_sales_data 1'!$G969*0.2</f>
        <v>3062.8</v>
      </c>
      <c r="J969" s="13" t="str">
        <f>TEXT(' car_sales_data 1'!$A969,"mmmm")</f>
        <v>September</v>
      </c>
      <c r="K969" s="13" t="str">
        <f>IF(' car_sales_data 1'!$G969&gt;40000,"Premium",
 IF(' car_sales_data 1'!$G969&gt;=20000,"Mid Range","Budget"))</f>
        <v>Budget</v>
      </c>
      <c r="L969" s="13">
        <f>YEAR(TODAY())-' car_sales_data 1'!$F969</f>
        <v>6</v>
      </c>
    </row>
    <row r="970" ht="15.75" customHeight="1">
      <c r="A970" s="16">
        <v>44912.0</v>
      </c>
      <c r="B970" s="13" t="s">
        <v>1962</v>
      </c>
      <c r="C970" s="13" t="s">
        <v>1963</v>
      </c>
      <c r="D970" s="13" t="s">
        <v>6</v>
      </c>
      <c r="E970" s="13" t="s">
        <v>62</v>
      </c>
      <c r="F970" s="13">
        <v>2021.0</v>
      </c>
      <c r="G970" s="13">
        <v>17293.0</v>
      </c>
      <c r="H970" s="13">
        <v>1399.56</v>
      </c>
      <c r="I970" s="13">
        <f>' car_sales_data 1'!$G970*0.2</f>
        <v>3458.6</v>
      </c>
      <c r="J970" s="13" t="str">
        <f>TEXT(' car_sales_data 1'!$A970,"mmmm")</f>
        <v>December</v>
      </c>
      <c r="K970" s="13" t="str">
        <f>IF(' car_sales_data 1'!$G970&gt;40000,"Premium",
 IF(' car_sales_data 1'!$G970&gt;=20000,"Mid Range","Budget"))</f>
        <v>Budget</v>
      </c>
      <c r="L970" s="13">
        <f>YEAR(TODAY())-' car_sales_data 1'!$F970</f>
        <v>4</v>
      </c>
    </row>
    <row r="971" ht="15.75" customHeight="1">
      <c r="A971" s="16">
        <v>44714.0</v>
      </c>
      <c r="B971" s="13" t="s">
        <v>1964</v>
      </c>
      <c r="C971" s="13" t="s">
        <v>1965</v>
      </c>
      <c r="D971" s="13" t="s">
        <v>12</v>
      </c>
      <c r="E971" s="13" t="s">
        <v>70</v>
      </c>
      <c r="F971" s="13">
        <v>2020.0</v>
      </c>
      <c r="G971" s="13">
        <v>26690.0</v>
      </c>
      <c r="H971" s="13">
        <v>1385.28</v>
      </c>
      <c r="I971" s="13">
        <f>' car_sales_data 1'!$G971*0.2</f>
        <v>5338</v>
      </c>
      <c r="J971" s="13" t="str">
        <f>TEXT(' car_sales_data 1'!$A971,"mmmm")</f>
        <v>June</v>
      </c>
      <c r="K971" s="13" t="str">
        <f>IF(' car_sales_data 1'!$G971&gt;40000,"Premium",
 IF(' car_sales_data 1'!$G971&gt;=20000,"Mid Range","Budget"))</f>
        <v>Mid Range</v>
      </c>
      <c r="L971" s="13">
        <f>YEAR(TODAY())-' car_sales_data 1'!$F971</f>
        <v>5</v>
      </c>
    </row>
    <row r="972" ht="15.75" customHeight="1">
      <c r="A972" s="16">
        <v>44689.0</v>
      </c>
      <c r="B972" s="13" t="s">
        <v>1966</v>
      </c>
      <c r="C972" s="13" t="s">
        <v>1967</v>
      </c>
      <c r="D972" s="13" t="s">
        <v>14</v>
      </c>
      <c r="E972" s="13" t="s">
        <v>62</v>
      </c>
      <c r="F972" s="13">
        <v>2012.0</v>
      </c>
      <c r="G972" s="13">
        <v>30171.0</v>
      </c>
      <c r="H972" s="13">
        <v>3634.14</v>
      </c>
      <c r="I972" s="13">
        <f>' car_sales_data 1'!$G972*0.2</f>
        <v>6034.2</v>
      </c>
      <c r="J972" s="13" t="str">
        <f>TEXT(' car_sales_data 1'!$A972,"mmmm")</f>
        <v>May</v>
      </c>
      <c r="K972" s="13" t="str">
        <f>IF(' car_sales_data 1'!$G972&gt;40000,"Premium",
 IF(' car_sales_data 1'!$G972&gt;=20000,"Mid Range","Budget"))</f>
        <v>Mid Range</v>
      </c>
      <c r="L972" s="13">
        <f>YEAR(TODAY())-' car_sales_data 1'!$F972</f>
        <v>13</v>
      </c>
    </row>
    <row r="973" ht="15.75" customHeight="1">
      <c r="A973" s="16">
        <v>44775.0</v>
      </c>
      <c r="B973" s="13" t="s">
        <v>1968</v>
      </c>
      <c r="C973" s="13" t="s">
        <v>1969</v>
      </c>
      <c r="D973" s="13" t="s">
        <v>10</v>
      </c>
      <c r="E973" s="13" t="s">
        <v>57</v>
      </c>
      <c r="F973" s="13">
        <v>2013.0</v>
      </c>
      <c r="G973" s="13">
        <v>33698.0</v>
      </c>
      <c r="H973" s="13">
        <v>5019.9</v>
      </c>
      <c r="I973" s="13">
        <f>' car_sales_data 1'!$G973*0.2</f>
        <v>6739.6</v>
      </c>
      <c r="J973" s="13" t="str">
        <f>TEXT(' car_sales_data 1'!$A973,"mmmm")</f>
        <v>August</v>
      </c>
      <c r="K973" s="13" t="str">
        <f>IF(' car_sales_data 1'!$G973&gt;40000,"Premium",
 IF(' car_sales_data 1'!$G973&gt;=20000,"Mid Range","Budget"))</f>
        <v>Mid Range</v>
      </c>
      <c r="L973" s="13">
        <f>YEAR(TODAY())-' car_sales_data 1'!$F973</f>
        <v>12</v>
      </c>
    </row>
    <row r="974" ht="15.75" customHeight="1">
      <c r="A974" s="16">
        <v>44953.0</v>
      </c>
      <c r="B974" s="13" t="s">
        <v>1970</v>
      </c>
      <c r="C974" s="13" t="s">
        <v>1971</v>
      </c>
      <c r="D974" s="13" t="s">
        <v>8</v>
      </c>
      <c r="E974" s="13" t="s">
        <v>57</v>
      </c>
      <c r="F974" s="13">
        <v>2011.0</v>
      </c>
      <c r="G974" s="13">
        <v>20170.0</v>
      </c>
      <c r="H974" s="13">
        <v>2340.46</v>
      </c>
      <c r="I974" s="13">
        <f>' car_sales_data 1'!$G974*0.2</f>
        <v>4034</v>
      </c>
      <c r="J974" s="13" t="str">
        <f>TEXT(' car_sales_data 1'!$A974,"mmmm")</f>
        <v>January</v>
      </c>
      <c r="K974" s="13" t="str">
        <f>IF(' car_sales_data 1'!$G974&gt;40000,"Premium",
 IF(' car_sales_data 1'!$G974&gt;=20000,"Mid Range","Budget"))</f>
        <v>Mid Range</v>
      </c>
      <c r="L974" s="13">
        <f>YEAR(TODAY())-' car_sales_data 1'!$F974</f>
        <v>14</v>
      </c>
    </row>
    <row r="975" ht="15.75" customHeight="1">
      <c r="A975" s="16">
        <v>45028.0</v>
      </c>
      <c r="B975" s="13" t="s">
        <v>1972</v>
      </c>
      <c r="C975" s="13" t="s">
        <v>1973</v>
      </c>
      <c r="D975" s="13" t="s">
        <v>14</v>
      </c>
      <c r="E975" s="13" t="s">
        <v>54</v>
      </c>
      <c r="F975" s="13">
        <v>2014.0</v>
      </c>
      <c r="G975" s="13">
        <v>42760.0</v>
      </c>
      <c r="H975" s="13">
        <v>6288.99</v>
      </c>
      <c r="I975" s="13">
        <f>' car_sales_data 1'!$G975*0.2</f>
        <v>8552</v>
      </c>
      <c r="J975" s="13" t="str">
        <f>TEXT(' car_sales_data 1'!$A975,"mmmm")</f>
        <v>April</v>
      </c>
      <c r="K975" s="13" t="str">
        <f>IF(' car_sales_data 1'!$G975&gt;40000,"Premium",
 IF(' car_sales_data 1'!$G975&gt;=20000,"Mid Range","Budget"))</f>
        <v>Premium</v>
      </c>
      <c r="L975" s="13">
        <f>YEAR(TODAY())-' car_sales_data 1'!$F975</f>
        <v>11</v>
      </c>
    </row>
    <row r="976" ht="15.75" customHeight="1">
      <c r="A976" s="16">
        <v>44972.0</v>
      </c>
      <c r="B976" s="13" t="s">
        <v>1974</v>
      </c>
      <c r="C976" s="13" t="s">
        <v>1975</v>
      </c>
      <c r="D976" s="13" t="s">
        <v>8</v>
      </c>
      <c r="E976" s="13" t="s">
        <v>51</v>
      </c>
      <c r="F976" s="13">
        <v>2020.0</v>
      </c>
      <c r="G976" s="13">
        <v>25497.0</v>
      </c>
      <c r="H976" s="13">
        <v>2269.19</v>
      </c>
      <c r="I976" s="13">
        <f>' car_sales_data 1'!$G976*0.2</f>
        <v>5099.4</v>
      </c>
      <c r="J976" s="13" t="str">
        <f>TEXT(' car_sales_data 1'!$A976,"mmmm")</f>
        <v>February</v>
      </c>
      <c r="K976" s="13" t="str">
        <f>IF(' car_sales_data 1'!$G976&gt;40000,"Premium",
 IF(' car_sales_data 1'!$G976&gt;=20000,"Mid Range","Budget"))</f>
        <v>Mid Range</v>
      </c>
      <c r="L976" s="13">
        <f>YEAR(TODAY())-' car_sales_data 1'!$F976</f>
        <v>5</v>
      </c>
    </row>
    <row r="977" ht="15.75" customHeight="1">
      <c r="A977" s="16">
        <v>45040.0</v>
      </c>
      <c r="B977" s="13" t="s">
        <v>1976</v>
      </c>
      <c r="C977" s="13" t="s">
        <v>1977</v>
      </c>
      <c r="D977" s="13" t="s">
        <v>6</v>
      </c>
      <c r="E977" s="13" t="s">
        <v>62</v>
      </c>
      <c r="F977" s="13">
        <v>2013.0</v>
      </c>
      <c r="G977" s="13">
        <v>36056.0</v>
      </c>
      <c r="H977" s="13">
        <v>5145.04</v>
      </c>
      <c r="I977" s="13">
        <f>' car_sales_data 1'!$G977*0.2</f>
        <v>7211.2</v>
      </c>
      <c r="J977" s="13" t="str">
        <f>TEXT(' car_sales_data 1'!$A977,"mmmm")</f>
        <v>April</v>
      </c>
      <c r="K977" s="13" t="str">
        <f>IF(' car_sales_data 1'!$G977&gt;40000,"Premium",
 IF(' car_sales_data 1'!$G977&gt;=20000,"Mid Range","Budget"))</f>
        <v>Mid Range</v>
      </c>
      <c r="L977" s="13">
        <f>YEAR(TODAY())-' car_sales_data 1'!$F977</f>
        <v>12</v>
      </c>
    </row>
    <row r="978" ht="15.75" customHeight="1">
      <c r="A978" s="16">
        <v>44913.0</v>
      </c>
      <c r="B978" s="13" t="s">
        <v>1978</v>
      </c>
      <c r="C978" s="13" t="s">
        <v>1979</v>
      </c>
      <c r="D978" s="13" t="s">
        <v>14</v>
      </c>
      <c r="E978" s="13" t="s">
        <v>62</v>
      </c>
      <c r="F978" s="13">
        <v>2020.0</v>
      </c>
      <c r="G978" s="13">
        <v>49710.0</v>
      </c>
      <c r="H978" s="13">
        <v>6384.31</v>
      </c>
      <c r="I978" s="13">
        <f>' car_sales_data 1'!$G978*0.2</f>
        <v>9942</v>
      </c>
      <c r="J978" s="13" t="str">
        <f>TEXT(' car_sales_data 1'!$A978,"mmmm")</f>
        <v>December</v>
      </c>
      <c r="K978" s="13" t="str">
        <f>IF(' car_sales_data 1'!$G978&gt;40000,"Premium",
 IF(' car_sales_data 1'!$G978&gt;=20000,"Mid Range","Budget"))</f>
        <v>Premium</v>
      </c>
      <c r="L978" s="13">
        <f>YEAR(TODAY())-' car_sales_data 1'!$F978</f>
        <v>5</v>
      </c>
    </row>
    <row r="979" ht="15.75" customHeight="1">
      <c r="A979" s="16">
        <v>45011.0</v>
      </c>
      <c r="B979" s="13" t="s">
        <v>1980</v>
      </c>
      <c r="C979" s="13" t="s">
        <v>1981</v>
      </c>
      <c r="D979" s="13" t="s">
        <v>12</v>
      </c>
      <c r="E979" s="13" t="s">
        <v>70</v>
      </c>
      <c r="F979" s="13">
        <v>2021.0</v>
      </c>
      <c r="G979" s="13">
        <v>44351.0</v>
      </c>
      <c r="H979" s="13">
        <v>5648.19</v>
      </c>
      <c r="I979" s="13">
        <f>' car_sales_data 1'!$G979*0.2</f>
        <v>8870.2</v>
      </c>
      <c r="J979" s="13" t="str">
        <f>TEXT(' car_sales_data 1'!$A979,"mmmm")</f>
        <v>March</v>
      </c>
      <c r="K979" s="13" t="str">
        <f>IF(' car_sales_data 1'!$G979&gt;40000,"Premium",
 IF(' car_sales_data 1'!$G979&gt;=20000,"Mid Range","Budget"))</f>
        <v>Premium</v>
      </c>
      <c r="L979" s="13">
        <f>YEAR(TODAY())-' car_sales_data 1'!$F979</f>
        <v>4</v>
      </c>
    </row>
    <row r="980" ht="15.75" customHeight="1">
      <c r="A980" s="16">
        <v>44975.0</v>
      </c>
      <c r="B980" s="13" t="s">
        <v>1982</v>
      </c>
      <c r="C980" s="13" t="s">
        <v>1983</v>
      </c>
      <c r="D980" s="13" t="s">
        <v>12</v>
      </c>
      <c r="E980" s="13" t="s">
        <v>62</v>
      </c>
      <c r="F980" s="13">
        <v>2015.0</v>
      </c>
      <c r="G980" s="13">
        <v>26833.0</v>
      </c>
      <c r="H980" s="13">
        <v>3522.29</v>
      </c>
      <c r="I980" s="13">
        <f>' car_sales_data 1'!$G980*0.2</f>
        <v>5366.6</v>
      </c>
      <c r="J980" s="13" t="str">
        <f>TEXT(' car_sales_data 1'!$A980,"mmmm")</f>
        <v>February</v>
      </c>
      <c r="K980" s="13" t="str">
        <f>IF(' car_sales_data 1'!$G980&gt;40000,"Premium",
 IF(' car_sales_data 1'!$G980&gt;=20000,"Mid Range","Budget"))</f>
        <v>Mid Range</v>
      </c>
      <c r="L980" s="13">
        <f>YEAR(TODAY())-' car_sales_data 1'!$F980</f>
        <v>10</v>
      </c>
    </row>
    <row r="981" ht="15.75" customHeight="1">
      <c r="A981" s="16">
        <v>44724.0</v>
      </c>
      <c r="B981" s="13" t="s">
        <v>1984</v>
      </c>
      <c r="C981" s="13" t="s">
        <v>1985</v>
      </c>
      <c r="D981" s="13" t="s">
        <v>6</v>
      </c>
      <c r="E981" s="13" t="s">
        <v>62</v>
      </c>
      <c r="F981" s="13">
        <v>2020.0</v>
      </c>
      <c r="G981" s="13">
        <v>42369.0</v>
      </c>
      <c r="H981" s="13">
        <v>3512.27</v>
      </c>
      <c r="I981" s="13">
        <f>' car_sales_data 1'!$G981*0.2</f>
        <v>8473.8</v>
      </c>
      <c r="J981" s="13" t="str">
        <f>TEXT(' car_sales_data 1'!$A981,"mmmm")</f>
        <v>June</v>
      </c>
      <c r="K981" s="13" t="str">
        <f>IF(' car_sales_data 1'!$G981&gt;40000,"Premium",
 IF(' car_sales_data 1'!$G981&gt;=20000,"Mid Range","Budget"))</f>
        <v>Premium</v>
      </c>
      <c r="L981" s="13">
        <f>YEAR(TODAY())-' car_sales_data 1'!$F981</f>
        <v>5</v>
      </c>
    </row>
    <row r="982" ht="15.75" customHeight="1">
      <c r="A982" s="16">
        <v>44740.0</v>
      </c>
      <c r="B982" s="13" t="s">
        <v>1986</v>
      </c>
      <c r="C982" s="13" t="s">
        <v>1987</v>
      </c>
      <c r="D982" s="13" t="s">
        <v>12</v>
      </c>
      <c r="E982" s="13" t="s">
        <v>51</v>
      </c>
      <c r="F982" s="13">
        <v>2022.0</v>
      </c>
      <c r="G982" s="13">
        <v>20776.0</v>
      </c>
      <c r="H982" s="13">
        <v>1793.82</v>
      </c>
      <c r="I982" s="13">
        <f>' car_sales_data 1'!$G982*0.2</f>
        <v>4155.2</v>
      </c>
      <c r="J982" s="13" t="str">
        <f>TEXT(' car_sales_data 1'!$A982,"mmmm")</f>
        <v>June</v>
      </c>
      <c r="K982" s="13" t="str">
        <f>IF(' car_sales_data 1'!$G982&gt;40000,"Premium",
 IF(' car_sales_data 1'!$G982&gt;=20000,"Mid Range","Budget"))</f>
        <v>Mid Range</v>
      </c>
      <c r="L982" s="13">
        <f>YEAR(TODAY())-' car_sales_data 1'!$F982</f>
        <v>3</v>
      </c>
    </row>
    <row r="983" ht="15.75" customHeight="1">
      <c r="A983" s="16">
        <v>44986.0</v>
      </c>
      <c r="B983" s="13" t="s">
        <v>1988</v>
      </c>
      <c r="C983" s="13" t="s">
        <v>1989</v>
      </c>
      <c r="D983" s="13" t="s">
        <v>6</v>
      </c>
      <c r="E983" s="13" t="s">
        <v>62</v>
      </c>
      <c r="F983" s="13">
        <v>2011.0</v>
      </c>
      <c r="G983" s="13">
        <v>39917.0</v>
      </c>
      <c r="H983" s="13">
        <v>4657.24</v>
      </c>
      <c r="I983" s="13">
        <f>' car_sales_data 1'!$G983*0.2</f>
        <v>7983.4</v>
      </c>
      <c r="J983" s="13" t="str">
        <f>TEXT(' car_sales_data 1'!$A983,"mmmm")</f>
        <v>March</v>
      </c>
      <c r="K983" s="13" t="str">
        <f>IF(' car_sales_data 1'!$G983&gt;40000,"Premium",
 IF(' car_sales_data 1'!$G983&gt;=20000,"Mid Range","Budget"))</f>
        <v>Mid Range</v>
      </c>
      <c r="L983" s="13">
        <f>YEAR(TODAY())-' car_sales_data 1'!$F983</f>
        <v>14</v>
      </c>
    </row>
    <row r="984" ht="15.75" customHeight="1">
      <c r="A984" s="16">
        <v>44898.0</v>
      </c>
      <c r="B984" s="13" t="s">
        <v>1990</v>
      </c>
      <c r="C984" s="13" t="s">
        <v>1991</v>
      </c>
      <c r="D984" s="13" t="s">
        <v>10</v>
      </c>
      <c r="E984" s="13" t="s">
        <v>51</v>
      </c>
      <c r="F984" s="13">
        <v>2010.0</v>
      </c>
      <c r="G984" s="13">
        <v>26309.0</v>
      </c>
      <c r="H984" s="13">
        <v>1963.54</v>
      </c>
      <c r="I984" s="13">
        <f>' car_sales_data 1'!$G984*0.2</f>
        <v>5261.8</v>
      </c>
      <c r="J984" s="13" t="str">
        <f>TEXT(' car_sales_data 1'!$A984,"mmmm")</f>
        <v>December</v>
      </c>
      <c r="K984" s="13" t="str">
        <f>IF(' car_sales_data 1'!$G984&gt;40000,"Premium",
 IF(' car_sales_data 1'!$G984&gt;=20000,"Mid Range","Budget"))</f>
        <v>Mid Range</v>
      </c>
      <c r="L984" s="13">
        <f>YEAR(TODAY())-' car_sales_data 1'!$F984</f>
        <v>15</v>
      </c>
    </row>
    <row r="985" ht="15.75" customHeight="1">
      <c r="A985" s="16">
        <v>44819.0</v>
      </c>
      <c r="B985" s="13" t="s">
        <v>1992</v>
      </c>
      <c r="C985" s="13" t="s">
        <v>1993</v>
      </c>
      <c r="D985" s="13" t="s">
        <v>14</v>
      </c>
      <c r="E985" s="13" t="s">
        <v>54</v>
      </c>
      <c r="F985" s="13">
        <v>2016.0</v>
      </c>
      <c r="G985" s="13">
        <v>44329.0</v>
      </c>
      <c r="H985" s="13">
        <v>4179.62</v>
      </c>
      <c r="I985" s="13">
        <f>' car_sales_data 1'!$G985*0.2</f>
        <v>8865.8</v>
      </c>
      <c r="J985" s="13" t="str">
        <f>TEXT(' car_sales_data 1'!$A985,"mmmm")</f>
        <v>September</v>
      </c>
      <c r="K985" s="13" t="str">
        <f>IF(' car_sales_data 1'!$G985&gt;40000,"Premium",
 IF(' car_sales_data 1'!$G985&gt;=20000,"Mid Range","Budget"))</f>
        <v>Premium</v>
      </c>
      <c r="L985" s="13">
        <f>YEAR(TODAY())-' car_sales_data 1'!$F985</f>
        <v>9</v>
      </c>
    </row>
    <row r="986" ht="15.75" customHeight="1">
      <c r="A986" s="16">
        <v>44758.0</v>
      </c>
      <c r="B986" s="13" t="s">
        <v>1994</v>
      </c>
      <c r="C986" s="13" t="s">
        <v>1995</v>
      </c>
      <c r="D986" s="13" t="s">
        <v>8</v>
      </c>
      <c r="E986" s="13" t="s">
        <v>54</v>
      </c>
      <c r="F986" s="13">
        <v>2020.0</v>
      </c>
      <c r="G986" s="13">
        <v>49596.0</v>
      </c>
      <c r="H986" s="13">
        <v>5299.18</v>
      </c>
      <c r="I986" s="13">
        <f>' car_sales_data 1'!$G986*0.2</f>
        <v>9919.2</v>
      </c>
      <c r="J986" s="13" t="str">
        <f>TEXT(' car_sales_data 1'!$A986,"mmmm")</f>
        <v>July</v>
      </c>
      <c r="K986" s="13" t="str">
        <f>IF(' car_sales_data 1'!$G986&gt;40000,"Premium",
 IF(' car_sales_data 1'!$G986&gt;=20000,"Mid Range","Budget"))</f>
        <v>Premium</v>
      </c>
      <c r="L986" s="13">
        <f>YEAR(TODAY())-' car_sales_data 1'!$F986</f>
        <v>5</v>
      </c>
    </row>
    <row r="987" ht="15.75" customHeight="1">
      <c r="A987" s="16">
        <v>44787.0</v>
      </c>
      <c r="B987" s="13" t="s">
        <v>1996</v>
      </c>
      <c r="C987" s="13" t="s">
        <v>1997</v>
      </c>
      <c r="D987" s="13" t="s">
        <v>8</v>
      </c>
      <c r="E987" s="13" t="s">
        <v>70</v>
      </c>
      <c r="F987" s="13">
        <v>2019.0</v>
      </c>
      <c r="G987" s="13">
        <v>35136.0</v>
      </c>
      <c r="H987" s="13">
        <v>3240.38</v>
      </c>
      <c r="I987" s="13">
        <f>' car_sales_data 1'!$G987*0.2</f>
        <v>7027.2</v>
      </c>
      <c r="J987" s="13" t="str">
        <f>TEXT(' car_sales_data 1'!$A987,"mmmm")</f>
        <v>August</v>
      </c>
      <c r="K987" s="13" t="str">
        <f>IF(' car_sales_data 1'!$G987&gt;40000,"Premium",
 IF(' car_sales_data 1'!$G987&gt;=20000,"Mid Range","Budget"))</f>
        <v>Mid Range</v>
      </c>
      <c r="L987" s="13">
        <f>YEAR(TODAY())-' car_sales_data 1'!$F987</f>
        <v>6</v>
      </c>
    </row>
    <row r="988" ht="15.75" customHeight="1">
      <c r="A988" s="16">
        <v>44832.0</v>
      </c>
      <c r="B988" s="13" t="s">
        <v>1713</v>
      </c>
      <c r="C988" s="13" t="s">
        <v>1998</v>
      </c>
      <c r="D988" s="13" t="s">
        <v>6</v>
      </c>
      <c r="E988" s="13" t="s">
        <v>62</v>
      </c>
      <c r="F988" s="13">
        <v>2021.0</v>
      </c>
      <c r="G988" s="13">
        <v>22497.0</v>
      </c>
      <c r="H988" s="13">
        <v>1456.16</v>
      </c>
      <c r="I988" s="13">
        <f>' car_sales_data 1'!$G988*0.2</f>
        <v>4499.4</v>
      </c>
      <c r="J988" s="13" t="str">
        <f>TEXT(' car_sales_data 1'!$A988,"mmmm")</f>
        <v>September</v>
      </c>
      <c r="K988" s="13" t="str">
        <f>IF(' car_sales_data 1'!$G988&gt;40000,"Premium",
 IF(' car_sales_data 1'!$G988&gt;=20000,"Mid Range","Budget"))</f>
        <v>Mid Range</v>
      </c>
      <c r="L988" s="13">
        <f>YEAR(TODAY())-' car_sales_data 1'!$F988</f>
        <v>4</v>
      </c>
    </row>
    <row r="989" ht="15.75" customHeight="1">
      <c r="A989" s="16">
        <v>44938.0</v>
      </c>
      <c r="B989" s="13" t="s">
        <v>1999</v>
      </c>
      <c r="C989" s="13" t="s">
        <v>2000</v>
      </c>
      <c r="D989" s="13" t="s">
        <v>10</v>
      </c>
      <c r="E989" s="13" t="s">
        <v>57</v>
      </c>
      <c r="F989" s="13">
        <v>2015.0</v>
      </c>
      <c r="G989" s="13">
        <v>14180.0</v>
      </c>
      <c r="H989" s="13">
        <v>1537.07</v>
      </c>
      <c r="I989" s="13">
        <f>' car_sales_data 1'!$G989*0.2</f>
        <v>2836</v>
      </c>
      <c r="J989" s="13" t="str">
        <f>TEXT(' car_sales_data 1'!$A989,"mmmm")</f>
        <v>January</v>
      </c>
      <c r="K989" s="13" t="str">
        <f>IF(' car_sales_data 1'!$G989&gt;40000,"Premium",
 IF(' car_sales_data 1'!$G989&gt;=20000,"Mid Range","Budget"))</f>
        <v>Budget</v>
      </c>
      <c r="L989" s="13">
        <f>YEAR(TODAY())-' car_sales_data 1'!$F989</f>
        <v>10</v>
      </c>
    </row>
    <row r="990" ht="15.75" customHeight="1">
      <c r="A990" s="16">
        <v>44789.0</v>
      </c>
      <c r="B990" s="13" t="s">
        <v>2001</v>
      </c>
      <c r="C990" s="13" t="s">
        <v>2002</v>
      </c>
      <c r="D990" s="13" t="s">
        <v>14</v>
      </c>
      <c r="E990" s="13" t="s">
        <v>57</v>
      </c>
      <c r="F990" s="13">
        <v>2018.0</v>
      </c>
      <c r="G990" s="13">
        <v>28871.0</v>
      </c>
      <c r="H990" s="13">
        <v>2402.13</v>
      </c>
      <c r="I990" s="13">
        <f>' car_sales_data 1'!$G990*0.2</f>
        <v>5774.2</v>
      </c>
      <c r="J990" s="13" t="str">
        <f>TEXT(' car_sales_data 1'!$A990,"mmmm")</f>
        <v>August</v>
      </c>
      <c r="K990" s="13" t="str">
        <f>IF(' car_sales_data 1'!$G990&gt;40000,"Premium",
 IF(' car_sales_data 1'!$G990&gt;=20000,"Mid Range","Budget"))</f>
        <v>Mid Range</v>
      </c>
      <c r="L990" s="13">
        <f>YEAR(TODAY())-' car_sales_data 1'!$F990</f>
        <v>7</v>
      </c>
    </row>
    <row r="991" ht="15.75" customHeight="1">
      <c r="A991" s="16">
        <v>44795.0</v>
      </c>
      <c r="B991" s="13" t="s">
        <v>2003</v>
      </c>
      <c r="C991" s="13" t="s">
        <v>2004</v>
      </c>
      <c r="D991" s="13" t="s">
        <v>6</v>
      </c>
      <c r="E991" s="13" t="s">
        <v>54</v>
      </c>
      <c r="F991" s="13">
        <v>2010.0</v>
      </c>
      <c r="G991" s="13">
        <v>20202.0</v>
      </c>
      <c r="H991" s="13">
        <v>2860.15</v>
      </c>
      <c r="I991" s="13">
        <f>' car_sales_data 1'!$G991*0.2</f>
        <v>4040.4</v>
      </c>
      <c r="J991" s="13" t="str">
        <f>TEXT(' car_sales_data 1'!$A991,"mmmm")</f>
        <v>August</v>
      </c>
      <c r="K991" s="13" t="str">
        <f>IF(' car_sales_data 1'!$G991&gt;40000,"Premium",
 IF(' car_sales_data 1'!$G991&gt;=20000,"Mid Range","Budget"))</f>
        <v>Mid Range</v>
      </c>
      <c r="L991" s="13">
        <f>YEAR(TODAY())-' car_sales_data 1'!$F991</f>
        <v>15</v>
      </c>
    </row>
    <row r="992" ht="15.75" customHeight="1">
      <c r="A992" s="16">
        <v>45035.0</v>
      </c>
      <c r="B992" s="13" t="s">
        <v>2005</v>
      </c>
      <c r="C992" s="13" t="s">
        <v>2006</v>
      </c>
      <c r="D992" s="13" t="s">
        <v>6</v>
      </c>
      <c r="E992" s="13" t="s">
        <v>54</v>
      </c>
      <c r="F992" s="13">
        <v>2015.0</v>
      </c>
      <c r="G992" s="13">
        <v>39499.0</v>
      </c>
      <c r="H992" s="13">
        <v>5426.74</v>
      </c>
      <c r="I992" s="13">
        <f>' car_sales_data 1'!$G992*0.2</f>
        <v>7899.8</v>
      </c>
      <c r="J992" s="13" t="str">
        <f>TEXT(' car_sales_data 1'!$A992,"mmmm")</f>
        <v>April</v>
      </c>
      <c r="K992" s="13" t="str">
        <f>IF(' car_sales_data 1'!$G992&gt;40000,"Premium",
 IF(' car_sales_data 1'!$G992&gt;=20000,"Mid Range","Budget"))</f>
        <v>Mid Range</v>
      </c>
      <c r="L992" s="13">
        <f>YEAR(TODAY())-' car_sales_data 1'!$F992</f>
        <v>10</v>
      </c>
    </row>
    <row r="993" ht="15.75" customHeight="1">
      <c r="A993" s="16">
        <v>44960.0</v>
      </c>
      <c r="B993" s="13" t="s">
        <v>2007</v>
      </c>
      <c r="C993" s="13" t="s">
        <v>2008</v>
      </c>
      <c r="D993" s="13" t="s">
        <v>6</v>
      </c>
      <c r="E993" s="13" t="s">
        <v>57</v>
      </c>
      <c r="F993" s="13">
        <v>2021.0</v>
      </c>
      <c r="G993" s="13">
        <v>16079.0</v>
      </c>
      <c r="H993" s="13">
        <v>1710.1</v>
      </c>
      <c r="I993" s="13">
        <f>' car_sales_data 1'!$G993*0.2</f>
        <v>3215.8</v>
      </c>
      <c r="J993" s="13" t="str">
        <f>TEXT(' car_sales_data 1'!$A993,"mmmm")</f>
        <v>February</v>
      </c>
      <c r="K993" s="13" t="str">
        <f>IF(' car_sales_data 1'!$G993&gt;40000,"Premium",
 IF(' car_sales_data 1'!$G993&gt;=20000,"Mid Range","Budget"))</f>
        <v>Budget</v>
      </c>
      <c r="L993" s="13">
        <f>YEAR(TODAY())-' car_sales_data 1'!$F993</f>
        <v>4</v>
      </c>
    </row>
    <row r="994" ht="15.75" customHeight="1">
      <c r="A994" s="16">
        <v>44978.0</v>
      </c>
      <c r="B994" s="13" t="s">
        <v>2009</v>
      </c>
      <c r="C994" s="13" t="s">
        <v>2010</v>
      </c>
      <c r="D994" s="13" t="s">
        <v>6</v>
      </c>
      <c r="E994" s="13" t="s">
        <v>51</v>
      </c>
      <c r="F994" s="13">
        <v>2011.0</v>
      </c>
      <c r="G994" s="13">
        <v>10336.0</v>
      </c>
      <c r="H994" s="13">
        <v>1264.29</v>
      </c>
      <c r="I994" s="13">
        <f>' car_sales_data 1'!$G994*0.2</f>
        <v>2067.2</v>
      </c>
      <c r="J994" s="13" t="str">
        <f>TEXT(' car_sales_data 1'!$A994,"mmmm")</f>
        <v>February</v>
      </c>
      <c r="K994" s="13" t="str">
        <f>IF(' car_sales_data 1'!$G994&gt;40000,"Premium",
 IF(' car_sales_data 1'!$G994&gt;=20000,"Mid Range","Budget"))</f>
        <v>Budget</v>
      </c>
      <c r="L994" s="13">
        <f>YEAR(TODAY())-' car_sales_data 1'!$F994</f>
        <v>14</v>
      </c>
    </row>
    <row r="995" ht="15.75" customHeight="1">
      <c r="A995" s="16">
        <v>44722.0</v>
      </c>
      <c r="B995" s="13" t="s">
        <v>2011</v>
      </c>
      <c r="C995" s="13" t="s">
        <v>2012</v>
      </c>
      <c r="D995" s="13" t="s">
        <v>6</v>
      </c>
      <c r="E995" s="13" t="s">
        <v>57</v>
      </c>
      <c r="F995" s="13">
        <v>2013.0</v>
      </c>
      <c r="G995" s="13">
        <v>37116.0</v>
      </c>
      <c r="H995" s="13">
        <v>2739.77</v>
      </c>
      <c r="I995" s="13">
        <f>' car_sales_data 1'!$G995*0.2</f>
        <v>7423.2</v>
      </c>
      <c r="J995" s="13" t="str">
        <f>TEXT(' car_sales_data 1'!$A995,"mmmm")</f>
        <v>June</v>
      </c>
      <c r="K995" s="13" t="str">
        <f>IF(' car_sales_data 1'!$G995&gt;40000,"Premium",
 IF(' car_sales_data 1'!$G995&gt;=20000,"Mid Range","Budget"))</f>
        <v>Mid Range</v>
      </c>
      <c r="L995" s="13">
        <f>YEAR(TODAY())-' car_sales_data 1'!$F995</f>
        <v>12</v>
      </c>
    </row>
    <row r="996" ht="15.75" customHeight="1">
      <c r="A996" s="16">
        <v>44722.0</v>
      </c>
      <c r="B996" s="13" t="s">
        <v>2013</v>
      </c>
      <c r="C996" s="13" t="s">
        <v>2014</v>
      </c>
      <c r="D996" s="13" t="s">
        <v>14</v>
      </c>
      <c r="E996" s="13" t="s">
        <v>57</v>
      </c>
      <c r="F996" s="13">
        <v>2013.0</v>
      </c>
      <c r="G996" s="13">
        <v>49992.0</v>
      </c>
      <c r="H996" s="13">
        <v>4454.67</v>
      </c>
      <c r="I996" s="13">
        <f>' car_sales_data 1'!$G996*0.2</f>
        <v>9998.4</v>
      </c>
      <c r="J996" s="13" t="str">
        <f>TEXT(' car_sales_data 1'!$A996,"mmmm")</f>
        <v>June</v>
      </c>
      <c r="K996" s="13" t="str">
        <f>IF(' car_sales_data 1'!$G996&gt;40000,"Premium",
 IF(' car_sales_data 1'!$G996&gt;=20000,"Mid Range","Budget"))</f>
        <v>Premium</v>
      </c>
      <c r="L996" s="13">
        <f>YEAR(TODAY())-' car_sales_data 1'!$F996</f>
        <v>12</v>
      </c>
    </row>
    <row r="997" ht="15.75" customHeight="1">
      <c r="A997" s="16">
        <v>44838.0</v>
      </c>
      <c r="B997" s="13" t="s">
        <v>2015</v>
      </c>
      <c r="C997" s="13" t="s">
        <v>2016</v>
      </c>
      <c r="D997" s="13" t="s">
        <v>8</v>
      </c>
      <c r="E997" s="13" t="s">
        <v>51</v>
      </c>
      <c r="F997" s="13">
        <v>2012.0</v>
      </c>
      <c r="G997" s="13">
        <v>28323.0</v>
      </c>
      <c r="H997" s="13">
        <v>3904.6</v>
      </c>
      <c r="I997" s="13">
        <f>' car_sales_data 1'!$G997*0.2</f>
        <v>5664.6</v>
      </c>
      <c r="J997" s="13" t="str">
        <f>TEXT(' car_sales_data 1'!$A997,"mmmm")</f>
        <v>October</v>
      </c>
      <c r="K997" s="13" t="str">
        <f>IF(' car_sales_data 1'!$G997&gt;40000,"Premium",
 IF(' car_sales_data 1'!$G997&gt;=20000,"Mid Range","Budget"))</f>
        <v>Mid Range</v>
      </c>
      <c r="L997" s="13">
        <f>YEAR(TODAY())-' car_sales_data 1'!$F997</f>
        <v>13</v>
      </c>
    </row>
    <row r="998" ht="15.75" customHeight="1">
      <c r="A998" s="16">
        <v>44881.0</v>
      </c>
      <c r="B998" s="13" t="s">
        <v>2017</v>
      </c>
      <c r="C998" s="13" t="s">
        <v>2018</v>
      </c>
      <c r="D998" s="13" t="s">
        <v>14</v>
      </c>
      <c r="E998" s="13" t="s">
        <v>57</v>
      </c>
      <c r="F998" s="13">
        <v>2018.0</v>
      </c>
      <c r="G998" s="13">
        <v>49872.0</v>
      </c>
      <c r="H998" s="13">
        <v>4076.3</v>
      </c>
      <c r="I998" s="13">
        <f>' car_sales_data 1'!$G998*0.2</f>
        <v>9974.4</v>
      </c>
      <c r="J998" s="13" t="str">
        <f>TEXT(' car_sales_data 1'!$A998,"mmmm")</f>
        <v>November</v>
      </c>
      <c r="K998" s="13" t="str">
        <f>IF(' car_sales_data 1'!$G998&gt;40000,"Premium",
 IF(' car_sales_data 1'!$G998&gt;=20000,"Mid Range","Budget"))</f>
        <v>Premium</v>
      </c>
      <c r="L998" s="13">
        <f>YEAR(TODAY())-' car_sales_data 1'!$F998</f>
        <v>7</v>
      </c>
    </row>
    <row r="999" ht="15.75" customHeight="1">
      <c r="A999" s="16">
        <v>44825.0</v>
      </c>
      <c r="B999" s="13" t="s">
        <v>2019</v>
      </c>
      <c r="C999" s="13" t="s">
        <v>2020</v>
      </c>
      <c r="D999" s="13" t="s">
        <v>14</v>
      </c>
      <c r="E999" s="13" t="s">
        <v>57</v>
      </c>
      <c r="F999" s="13">
        <v>2019.0</v>
      </c>
      <c r="G999" s="13">
        <v>25195.0</v>
      </c>
      <c r="H999" s="13">
        <v>2017.12</v>
      </c>
      <c r="I999" s="13">
        <f>' car_sales_data 1'!$G999*0.2</f>
        <v>5039</v>
      </c>
      <c r="J999" s="13" t="str">
        <f>TEXT(' car_sales_data 1'!$A999,"mmmm")</f>
        <v>September</v>
      </c>
      <c r="K999" s="13" t="str">
        <f>IF(' car_sales_data 1'!$G999&gt;40000,"Premium",
 IF(' car_sales_data 1'!$G999&gt;=20000,"Mid Range","Budget"))</f>
        <v>Mid Range</v>
      </c>
      <c r="L999" s="13">
        <f>YEAR(TODAY())-' car_sales_data 1'!$F999</f>
        <v>6</v>
      </c>
    </row>
    <row r="1000" ht="15.75" customHeight="1">
      <c r="A1000" s="16">
        <v>45035.0</v>
      </c>
      <c r="B1000" s="13" t="s">
        <v>2021</v>
      </c>
      <c r="C1000" s="13" t="s">
        <v>2022</v>
      </c>
      <c r="D1000" s="13" t="s">
        <v>12</v>
      </c>
      <c r="E1000" s="13" t="s">
        <v>70</v>
      </c>
      <c r="F1000" s="13">
        <v>2021.0</v>
      </c>
      <c r="G1000" s="13">
        <v>29407.0</v>
      </c>
      <c r="H1000" s="13">
        <v>2935.6</v>
      </c>
      <c r="I1000" s="13">
        <f>' car_sales_data 1'!$G1000*0.2</f>
        <v>5881.4</v>
      </c>
      <c r="J1000" s="13" t="str">
        <f>TEXT(' car_sales_data 1'!$A1000,"mmmm")</f>
        <v>April</v>
      </c>
      <c r="K1000" s="13" t="str">
        <f>IF(' car_sales_data 1'!$G1000&gt;40000,"Premium",
 IF(' car_sales_data 1'!$G1000&gt;=20000,"Mid Range","Budget"))</f>
        <v>Mid Range</v>
      </c>
      <c r="L1000" s="13">
        <f>YEAR(TODAY())-' car_sales_data 1'!$F1000</f>
        <v>4</v>
      </c>
    </row>
    <row r="1001" ht="15.75" customHeight="1">
      <c r="A1001" s="16">
        <v>44833.0</v>
      </c>
      <c r="B1001" s="13" t="s">
        <v>2023</v>
      </c>
      <c r="C1001" s="13" t="s">
        <v>2024</v>
      </c>
      <c r="D1001" s="13" t="s">
        <v>12</v>
      </c>
      <c r="E1001" s="13" t="s">
        <v>70</v>
      </c>
      <c r="F1001" s="13">
        <v>2013.0</v>
      </c>
      <c r="G1001" s="13">
        <v>21521.0</v>
      </c>
      <c r="H1001" s="13">
        <v>2558.03</v>
      </c>
      <c r="I1001" s="13">
        <f>' car_sales_data 1'!$G1001*0.2</f>
        <v>4304.2</v>
      </c>
      <c r="J1001" s="13" t="str">
        <f>TEXT(' car_sales_data 1'!$A1001,"mmmm")</f>
        <v>September</v>
      </c>
      <c r="K1001" s="13" t="str">
        <f>IF(' car_sales_data 1'!$G1001&gt;40000,"Premium",
 IF(' car_sales_data 1'!$G1001&gt;=20000,"Mid Range","Budget"))</f>
        <v>Mid Range</v>
      </c>
      <c r="L1001" s="13">
        <f>YEAR(TODAY())-' car_sales_data 1'!$F1001</f>
        <v>12</v>
      </c>
    </row>
    <row r="1002" ht="15.75" customHeight="1">
      <c r="A1002" s="16">
        <v>44797.0</v>
      </c>
      <c r="B1002" s="13" t="s">
        <v>2025</v>
      </c>
      <c r="C1002" s="13" t="s">
        <v>2026</v>
      </c>
      <c r="D1002" s="13" t="s">
        <v>14</v>
      </c>
      <c r="E1002" s="13" t="s">
        <v>54</v>
      </c>
      <c r="F1002" s="13">
        <v>2017.0</v>
      </c>
      <c r="G1002" s="13">
        <v>37061.0</v>
      </c>
      <c r="H1002" s="13">
        <v>5338.98</v>
      </c>
      <c r="I1002" s="13">
        <f>' car_sales_data 1'!$G1002*0.2</f>
        <v>7412.2</v>
      </c>
      <c r="J1002" s="13" t="str">
        <f>TEXT(' car_sales_data 1'!$A1002,"mmmm")</f>
        <v>August</v>
      </c>
      <c r="K1002" s="13" t="str">
        <f>IF(' car_sales_data 1'!$G1002&gt;40000,"Premium",
 IF(' car_sales_data 1'!$G1002&gt;=20000,"Mid Range","Budget"))</f>
        <v>Mid Range</v>
      </c>
      <c r="L1002" s="13">
        <f>YEAR(TODAY())-' car_sales_data 1'!$F1002</f>
        <v>8</v>
      </c>
    </row>
    <row r="1003" ht="15.75" customHeight="1">
      <c r="A1003" s="16">
        <v>45043.0</v>
      </c>
      <c r="B1003" s="13" t="s">
        <v>2027</v>
      </c>
      <c r="C1003" s="13" t="s">
        <v>2028</v>
      </c>
      <c r="D1003" s="13" t="s">
        <v>14</v>
      </c>
      <c r="E1003" s="13" t="s">
        <v>57</v>
      </c>
      <c r="F1003" s="13">
        <v>2018.0</v>
      </c>
      <c r="G1003" s="13">
        <v>42299.0</v>
      </c>
      <c r="H1003" s="13">
        <v>2536.16</v>
      </c>
      <c r="I1003" s="13">
        <f>' car_sales_data 1'!$G1003*0.2</f>
        <v>8459.8</v>
      </c>
      <c r="J1003" s="13" t="str">
        <f>TEXT(' car_sales_data 1'!$A1003,"mmmm")</f>
        <v>April</v>
      </c>
      <c r="K1003" s="13" t="str">
        <f>IF(' car_sales_data 1'!$G1003&gt;40000,"Premium",
 IF(' car_sales_data 1'!$G1003&gt;=20000,"Mid Range","Budget"))</f>
        <v>Premium</v>
      </c>
      <c r="L1003" s="13">
        <f>YEAR(TODAY())-' car_sales_data 1'!$F1003</f>
        <v>7</v>
      </c>
    </row>
    <row r="1004" ht="15.75" customHeight="1">
      <c r="A1004" s="16">
        <v>44930.0</v>
      </c>
      <c r="B1004" s="13" t="s">
        <v>2029</v>
      </c>
      <c r="C1004" s="13" t="s">
        <v>2030</v>
      </c>
      <c r="D1004" s="13" t="s">
        <v>10</v>
      </c>
      <c r="E1004" s="13" t="s">
        <v>62</v>
      </c>
      <c r="F1004" s="13">
        <v>2013.0</v>
      </c>
      <c r="G1004" s="13">
        <v>20385.0</v>
      </c>
      <c r="H1004" s="13">
        <v>1929.89</v>
      </c>
      <c r="I1004" s="13">
        <f>' car_sales_data 1'!$G1004*0.2</f>
        <v>4077</v>
      </c>
      <c r="J1004" s="13" t="str">
        <f>TEXT(' car_sales_data 1'!$A1004,"mmmm")</f>
        <v>January</v>
      </c>
      <c r="K1004" s="13" t="str">
        <f>IF(' car_sales_data 1'!$G1004&gt;40000,"Premium",
 IF(' car_sales_data 1'!$G1004&gt;=20000,"Mid Range","Budget"))</f>
        <v>Mid Range</v>
      </c>
      <c r="L1004" s="13">
        <f>YEAR(TODAY())-' car_sales_data 1'!$F1004</f>
        <v>12</v>
      </c>
    </row>
    <row r="1005" ht="15.75" customHeight="1">
      <c r="A1005" s="16">
        <v>45036.0</v>
      </c>
      <c r="B1005" s="13" t="s">
        <v>2031</v>
      </c>
      <c r="C1005" s="13" t="s">
        <v>2032</v>
      </c>
      <c r="D1005" s="13" t="s">
        <v>6</v>
      </c>
      <c r="E1005" s="13" t="s">
        <v>57</v>
      </c>
      <c r="F1005" s="13">
        <v>2019.0</v>
      </c>
      <c r="G1005" s="13">
        <v>28375.0</v>
      </c>
      <c r="H1005" s="13">
        <v>2954.0</v>
      </c>
      <c r="I1005" s="13">
        <f>' car_sales_data 1'!$G1005*0.2</f>
        <v>5675</v>
      </c>
      <c r="J1005" s="13" t="str">
        <f>TEXT(' car_sales_data 1'!$A1005,"mmmm")</f>
        <v>April</v>
      </c>
      <c r="K1005" s="13" t="str">
        <f>IF(' car_sales_data 1'!$G1005&gt;40000,"Premium",
 IF(' car_sales_data 1'!$G1005&gt;=20000,"Mid Range","Budget"))</f>
        <v>Mid Range</v>
      </c>
      <c r="L1005" s="13">
        <f>YEAR(TODAY())-' car_sales_data 1'!$F1005</f>
        <v>6</v>
      </c>
    </row>
    <row r="1006" ht="15.75" customHeight="1">
      <c r="A1006" s="16">
        <v>44927.0</v>
      </c>
      <c r="B1006" s="13" t="s">
        <v>2033</v>
      </c>
      <c r="C1006" s="13" t="s">
        <v>2034</v>
      </c>
      <c r="D1006" s="13" t="s">
        <v>6</v>
      </c>
      <c r="E1006" s="13" t="s">
        <v>70</v>
      </c>
      <c r="F1006" s="13">
        <v>2013.0</v>
      </c>
      <c r="G1006" s="13">
        <v>40499.0</v>
      </c>
      <c r="H1006" s="13">
        <v>3934.38</v>
      </c>
      <c r="I1006" s="13">
        <f>' car_sales_data 1'!$G1006*0.2</f>
        <v>8099.8</v>
      </c>
      <c r="J1006" s="13" t="str">
        <f>TEXT(' car_sales_data 1'!$A1006,"mmmm")</f>
        <v>January</v>
      </c>
      <c r="K1006" s="13" t="str">
        <f>IF(' car_sales_data 1'!$G1006&gt;40000,"Premium",
 IF(' car_sales_data 1'!$G1006&gt;=20000,"Mid Range","Budget"))</f>
        <v>Premium</v>
      </c>
      <c r="L1006" s="13">
        <f>YEAR(TODAY())-' car_sales_data 1'!$F1006</f>
        <v>12</v>
      </c>
    </row>
    <row r="1007" ht="15.75" customHeight="1">
      <c r="A1007" s="16">
        <v>44905.0</v>
      </c>
      <c r="B1007" s="13" t="s">
        <v>2035</v>
      </c>
      <c r="C1007" s="13" t="s">
        <v>2036</v>
      </c>
      <c r="D1007" s="13" t="s">
        <v>6</v>
      </c>
      <c r="E1007" s="13" t="s">
        <v>62</v>
      </c>
      <c r="F1007" s="13">
        <v>2017.0</v>
      </c>
      <c r="G1007" s="13">
        <v>21445.0</v>
      </c>
      <c r="H1007" s="13">
        <v>2074.33</v>
      </c>
      <c r="I1007" s="13">
        <f>' car_sales_data 1'!$G1007*0.2</f>
        <v>4289</v>
      </c>
      <c r="J1007" s="13" t="str">
        <f>TEXT(' car_sales_data 1'!$A1007,"mmmm")</f>
        <v>December</v>
      </c>
      <c r="K1007" s="13" t="str">
        <f>IF(' car_sales_data 1'!$G1007&gt;40000,"Premium",
 IF(' car_sales_data 1'!$G1007&gt;=20000,"Mid Range","Budget"))</f>
        <v>Mid Range</v>
      </c>
      <c r="L1007" s="13">
        <f>YEAR(TODAY())-' car_sales_data 1'!$F1007</f>
        <v>8</v>
      </c>
    </row>
    <row r="1008" ht="15.75" customHeight="1">
      <c r="A1008" s="16">
        <v>44811.0</v>
      </c>
      <c r="B1008" s="13" t="s">
        <v>2037</v>
      </c>
      <c r="C1008" s="13" t="s">
        <v>2038</v>
      </c>
      <c r="D1008" s="13" t="s">
        <v>12</v>
      </c>
      <c r="E1008" s="13" t="s">
        <v>70</v>
      </c>
      <c r="F1008" s="13">
        <v>2013.0</v>
      </c>
      <c r="G1008" s="13">
        <v>37194.0</v>
      </c>
      <c r="H1008" s="13">
        <v>2722.36</v>
      </c>
      <c r="I1008" s="13">
        <f>' car_sales_data 1'!$G1008*0.2</f>
        <v>7438.8</v>
      </c>
      <c r="J1008" s="13" t="str">
        <f>TEXT(' car_sales_data 1'!$A1008,"mmmm")</f>
        <v>September</v>
      </c>
      <c r="K1008" s="13" t="str">
        <f>IF(' car_sales_data 1'!$G1008&gt;40000,"Premium",
 IF(' car_sales_data 1'!$G1008&gt;=20000,"Mid Range","Budget"))</f>
        <v>Mid Range</v>
      </c>
      <c r="L1008" s="13">
        <f>YEAR(TODAY())-' car_sales_data 1'!$F1008</f>
        <v>12</v>
      </c>
    </row>
    <row r="1009" ht="15.75" customHeight="1">
      <c r="A1009" s="16">
        <v>44716.0</v>
      </c>
      <c r="B1009" s="13" t="s">
        <v>2039</v>
      </c>
      <c r="C1009" s="13" t="s">
        <v>2040</v>
      </c>
      <c r="D1009" s="13" t="s">
        <v>8</v>
      </c>
      <c r="E1009" s="13" t="s">
        <v>57</v>
      </c>
      <c r="F1009" s="13">
        <v>2022.0</v>
      </c>
      <c r="G1009" s="13">
        <v>28876.0</v>
      </c>
      <c r="H1009" s="13">
        <v>3036.55</v>
      </c>
      <c r="I1009" s="13">
        <f>' car_sales_data 1'!$G1009*0.2</f>
        <v>5775.2</v>
      </c>
      <c r="J1009" s="13" t="str">
        <f>TEXT(' car_sales_data 1'!$A1009,"mmmm")</f>
        <v>June</v>
      </c>
      <c r="K1009" s="13" t="str">
        <f>IF(' car_sales_data 1'!$G1009&gt;40000,"Premium",
 IF(' car_sales_data 1'!$G1009&gt;=20000,"Mid Range","Budget"))</f>
        <v>Mid Range</v>
      </c>
      <c r="L1009" s="13">
        <f>YEAR(TODAY())-' car_sales_data 1'!$F1009</f>
        <v>3</v>
      </c>
    </row>
    <row r="1010" ht="15.75" customHeight="1">
      <c r="A1010" s="16">
        <v>44942.0</v>
      </c>
      <c r="B1010" s="13" t="s">
        <v>2041</v>
      </c>
      <c r="C1010" s="13" t="s">
        <v>2042</v>
      </c>
      <c r="D1010" s="13" t="s">
        <v>8</v>
      </c>
      <c r="E1010" s="13" t="s">
        <v>54</v>
      </c>
      <c r="F1010" s="13">
        <v>2020.0</v>
      </c>
      <c r="G1010" s="13">
        <v>15993.0</v>
      </c>
      <c r="H1010" s="13">
        <v>1229.78</v>
      </c>
      <c r="I1010" s="13">
        <f>' car_sales_data 1'!$G1010*0.2</f>
        <v>3198.6</v>
      </c>
      <c r="J1010" s="13" t="str">
        <f>TEXT(' car_sales_data 1'!$A1010,"mmmm")</f>
        <v>January</v>
      </c>
      <c r="K1010" s="13" t="str">
        <f>IF(' car_sales_data 1'!$G1010&gt;40000,"Premium",
 IF(' car_sales_data 1'!$G1010&gt;=20000,"Mid Range","Budget"))</f>
        <v>Budget</v>
      </c>
      <c r="L1010" s="13">
        <f>YEAR(TODAY())-' car_sales_data 1'!$F1010</f>
        <v>5</v>
      </c>
    </row>
    <row r="1011" ht="15.75" customHeight="1">
      <c r="A1011" s="16">
        <v>44741.0</v>
      </c>
      <c r="B1011" s="13" t="s">
        <v>2043</v>
      </c>
      <c r="C1011" s="13" t="s">
        <v>2044</v>
      </c>
      <c r="D1011" s="13" t="s">
        <v>10</v>
      </c>
      <c r="E1011" s="13" t="s">
        <v>62</v>
      </c>
      <c r="F1011" s="13">
        <v>2016.0</v>
      </c>
      <c r="G1011" s="13">
        <v>23752.0</v>
      </c>
      <c r="H1011" s="13">
        <v>2051.93</v>
      </c>
      <c r="I1011" s="13">
        <f>' car_sales_data 1'!$G1011*0.2</f>
        <v>4750.4</v>
      </c>
      <c r="J1011" s="13" t="str">
        <f>TEXT(' car_sales_data 1'!$A1011,"mmmm")</f>
        <v>June</v>
      </c>
      <c r="K1011" s="13" t="str">
        <f>IF(' car_sales_data 1'!$G1011&gt;40000,"Premium",
 IF(' car_sales_data 1'!$G1011&gt;=20000,"Mid Range","Budget"))</f>
        <v>Mid Range</v>
      </c>
      <c r="L1011" s="13">
        <f>YEAR(TODAY())-' car_sales_data 1'!$F1011</f>
        <v>9</v>
      </c>
    </row>
    <row r="1012" ht="15.75" customHeight="1">
      <c r="A1012" s="16">
        <v>44852.0</v>
      </c>
      <c r="B1012" s="13" t="s">
        <v>2045</v>
      </c>
      <c r="C1012" s="13" t="s">
        <v>2046</v>
      </c>
      <c r="D1012" s="13" t="s">
        <v>8</v>
      </c>
      <c r="E1012" s="13" t="s">
        <v>70</v>
      </c>
      <c r="F1012" s="13">
        <v>2020.0</v>
      </c>
      <c r="G1012" s="13">
        <v>49386.0</v>
      </c>
      <c r="H1012" s="13">
        <v>6863.04</v>
      </c>
      <c r="I1012" s="13">
        <f>' car_sales_data 1'!$G1012*0.2</f>
        <v>9877.2</v>
      </c>
      <c r="J1012" s="13" t="str">
        <f>TEXT(' car_sales_data 1'!$A1012,"mmmm")</f>
        <v>October</v>
      </c>
      <c r="K1012" s="13" t="str">
        <f>IF(' car_sales_data 1'!$G1012&gt;40000,"Premium",
 IF(' car_sales_data 1'!$G1012&gt;=20000,"Mid Range","Budget"))</f>
        <v>Premium</v>
      </c>
      <c r="L1012" s="13">
        <f>YEAR(TODAY())-' car_sales_data 1'!$F1012</f>
        <v>5</v>
      </c>
    </row>
    <row r="1013" ht="15.75" customHeight="1">
      <c r="A1013" s="16">
        <v>44951.0</v>
      </c>
      <c r="B1013" s="13" t="s">
        <v>2047</v>
      </c>
      <c r="C1013" s="13" t="s">
        <v>2048</v>
      </c>
      <c r="D1013" s="13" t="s">
        <v>8</v>
      </c>
      <c r="E1013" s="13" t="s">
        <v>62</v>
      </c>
      <c r="F1013" s="13">
        <v>2016.0</v>
      </c>
      <c r="G1013" s="13">
        <v>37971.0</v>
      </c>
      <c r="H1013" s="13">
        <v>4401.97</v>
      </c>
      <c r="I1013" s="13">
        <f>' car_sales_data 1'!$G1013*0.2</f>
        <v>7594.2</v>
      </c>
      <c r="J1013" s="13" t="str">
        <f>TEXT(' car_sales_data 1'!$A1013,"mmmm")</f>
        <v>January</v>
      </c>
      <c r="K1013" s="13" t="str">
        <f>IF(' car_sales_data 1'!$G1013&gt;40000,"Premium",
 IF(' car_sales_data 1'!$G1013&gt;=20000,"Mid Range","Budget"))</f>
        <v>Mid Range</v>
      </c>
      <c r="L1013" s="13">
        <f>YEAR(TODAY())-' car_sales_data 1'!$F1013</f>
        <v>9</v>
      </c>
    </row>
    <row r="1014" ht="15.75" customHeight="1">
      <c r="A1014" s="16">
        <v>44847.0</v>
      </c>
      <c r="B1014" s="13" t="s">
        <v>2049</v>
      </c>
      <c r="C1014" s="13" t="s">
        <v>2050</v>
      </c>
      <c r="D1014" s="13" t="s">
        <v>10</v>
      </c>
      <c r="E1014" s="13" t="s">
        <v>54</v>
      </c>
      <c r="F1014" s="13">
        <v>2021.0</v>
      </c>
      <c r="G1014" s="13">
        <v>27841.0</v>
      </c>
      <c r="H1014" s="13">
        <v>1692.66</v>
      </c>
      <c r="I1014" s="13">
        <f>' car_sales_data 1'!$G1014*0.2</f>
        <v>5568.2</v>
      </c>
      <c r="J1014" s="13" t="str">
        <f>TEXT(' car_sales_data 1'!$A1014,"mmmm")</f>
        <v>October</v>
      </c>
      <c r="K1014" s="13" t="str">
        <f>IF(' car_sales_data 1'!$G1014&gt;40000,"Premium",
 IF(' car_sales_data 1'!$G1014&gt;=20000,"Mid Range","Budget"))</f>
        <v>Mid Range</v>
      </c>
      <c r="L1014" s="13">
        <f>YEAR(TODAY())-' car_sales_data 1'!$F1014</f>
        <v>4</v>
      </c>
    </row>
    <row r="1015" ht="15.75" customHeight="1">
      <c r="A1015" s="16">
        <v>45035.0</v>
      </c>
      <c r="B1015" s="13" t="s">
        <v>2051</v>
      </c>
      <c r="C1015" s="13" t="s">
        <v>2052</v>
      </c>
      <c r="D1015" s="13" t="s">
        <v>10</v>
      </c>
      <c r="E1015" s="13" t="s">
        <v>62</v>
      </c>
      <c r="F1015" s="13">
        <v>2014.0</v>
      </c>
      <c r="G1015" s="13">
        <v>14986.0</v>
      </c>
      <c r="H1015" s="13">
        <v>856.18</v>
      </c>
      <c r="I1015" s="13">
        <f>' car_sales_data 1'!$G1015*0.2</f>
        <v>2997.2</v>
      </c>
      <c r="J1015" s="13" t="str">
        <f>TEXT(' car_sales_data 1'!$A1015,"mmmm")</f>
        <v>April</v>
      </c>
      <c r="K1015" s="13" t="str">
        <f>IF(' car_sales_data 1'!$G1015&gt;40000,"Premium",
 IF(' car_sales_data 1'!$G1015&gt;=20000,"Mid Range","Budget"))</f>
        <v>Budget</v>
      </c>
      <c r="L1015" s="13">
        <f>YEAR(TODAY())-' car_sales_data 1'!$F1015</f>
        <v>11</v>
      </c>
    </row>
    <row r="1016" ht="15.75" customHeight="1">
      <c r="A1016" s="16">
        <v>44929.0</v>
      </c>
      <c r="B1016" s="13" t="s">
        <v>2053</v>
      </c>
      <c r="C1016" s="13" t="s">
        <v>2054</v>
      </c>
      <c r="D1016" s="13" t="s">
        <v>6</v>
      </c>
      <c r="E1016" s="13" t="s">
        <v>70</v>
      </c>
      <c r="F1016" s="13">
        <v>2012.0</v>
      </c>
      <c r="G1016" s="13">
        <v>26546.0</v>
      </c>
      <c r="H1016" s="13">
        <v>2967.76</v>
      </c>
      <c r="I1016" s="13">
        <f>' car_sales_data 1'!$G1016*0.2</f>
        <v>5309.2</v>
      </c>
      <c r="J1016" s="13" t="str">
        <f>TEXT(' car_sales_data 1'!$A1016,"mmmm")</f>
        <v>January</v>
      </c>
      <c r="K1016" s="13" t="str">
        <f>IF(' car_sales_data 1'!$G1016&gt;40000,"Premium",
 IF(' car_sales_data 1'!$G1016&gt;=20000,"Mid Range","Budget"))</f>
        <v>Mid Range</v>
      </c>
      <c r="L1016" s="13">
        <f>YEAR(TODAY())-' car_sales_data 1'!$F1016</f>
        <v>13</v>
      </c>
    </row>
    <row r="1017" ht="15.75" customHeight="1">
      <c r="A1017" s="16">
        <v>44777.0</v>
      </c>
      <c r="B1017" s="13" t="s">
        <v>2055</v>
      </c>
      <c r="C1017" s="13" t="s">
        <v>2056</v>
      </c>
      <c r="D1017" s="13" t="s">
        <v>14</v>
      </c>
      <c r="E1017" s="13" t="s">
        <v>51</v>
      </c>
      <c r="F1017" s="13">
        <v>2019.0</v>
      </c>
      <c r="G1017" s="13">
        <v>38733.0</v>
      </c>
      <c r="H1017" s="13">
        <v>2276.15</v>
      </c>
      <c r="I1017" s="13">
        <f>' car_sales_data 1'!$G1017*0.2</f>
        <v>7746.6</v>
      </c>
      <c r="J1017" s="13" t="str">
        <f>TEXT(' car_sales_data 1'!$A1017,"mmmm")</f>
        <v>August</v>
      </c>
      <c r="K1017" s="13" t="str">
        <f>IF(' car_sales_data 1'!$G1017&gt;40000,"Premium",
 IF(' car_sales_data 1'!$G1017&gt;=20000,"Mid Range","Budget"))</f>
        <v>Mid Range</v>
      </c>
      <c r="L1017" s="13">
        <f>YEAR(TODAY())-' car_sales_data 1'!$F1017</f>
        <v>6</v>
      </c>
    </row>
    <row r="1018" ht="15.75" customHeight="1">
      <c r="A1018" s="16">
        <v>44882.0</v>
      </c>
      <c r="B1018" s="13" t="s">
        <v>2057</v>
      </c>
      <c r="C1018" s="13" t="s">
        <v>2058</v>
      </c>
      <c r="D1018" s="13" t="s">
        <v>12</v>
      </c>
      <c r="E1018" s="13" t="s">
        <v>70</v>
      </c>
      <c r="F1018" s="13">
        <v>2015.0</v>
      </c>
      <c r="G1018" s="13">
        <v>45854.0</v>
      </c>
      <c r="H1018" s="13">
        <v>4539.19</v>
      </c>
      <c r="I1018" s="13">
        <f>' car_sales_data 1'!$G1018*0.2</f>
        <v>9170.8</v>
      </c>
      <c r="J1018" s="13" t="str">
        <f>TEXT(' car_sales_data 1'!$A1018,"mmmm")</f>
        <v>November</v>
      </c>
      <c r="K1018" s="13" t="str">
        <f>IF(' car_sales_data 1'!$G1018&gt;40000,"Premium",
 IF(' car_sales_data 1'!$G1018&gt;=20000,"Mid Range","Budget"))</f>
        <v>Premium</v>
      </c>
      <c r="L1018" s="13">
        <f>YEAR(TODAY())-' car_sales_data 1'!$F1018</f>
        <v>10</v>
      </c>
    </row>
    <row r="1019" ht="15.75" customHeight="1">
      <c r="A1019" s="16">
        <v>44730.0</v>
      </c>
      <c r="B1019" s="13" t="s">
        <v>2059</v>
      </c>
      <c r="C1019" s="13" t="s">
        <v>2060</v>
      </c>
      <c r="D1019" s="13" t="s">
        <v>14</v>
      </c>
      <c r="E1019" s="13" t="s">
        <v>54</v>
      </c>
      <c r="F1019" s="13">
        <v>2012.0</v>
      </c>
      <c r="G1019" s="13">
        <v>49283.0</v>
      </c>
      <c r="H1019" s="13">
        <v>3206.14</v>
      </c>
      <c r="I1019" s="13">
        <f>' car_sales_data 1'!$G1019*0.2</f>
        <v>9856.6</v>
      </c>
      <c r="J1019" s="13" t="str">
        <f>TEXT(' car_sales_data 1'!$A1019,"mmmm")</f>
        <v>June</v>
      </c>
      <c r="K1019" s="13" t="str">
        <f>IF(' car_sales_data 1'!$G1019&gt;40000,"Premium",
 IF(' car_sales_data 1'!$G1019&gt;=20000,"Mid Range","Budget"))</f>
        <v>Premium</v>
      </c>
      <c r="L1019" s="13">
        <f>YEAR(TODAY())-' car_sales_data 1'!$F1019</f>
        <v>13</v>
      </c>
    </row>
    <row r="1020" ht="15.75" customHeight="1">
      <c r="A1020" s="16">
        <v>45029.0</v>
      </c>
      <c r="B1020" s="13" t="s">
        <v>2061</v>
      </c>
      <c r="C1020" s="13" t="s">
        <v>2062</v>
      </c>
      <c r="D1020" s="13" t="s">
        <v>6</v>
      </c>
      <c r="E1020" s="13" t="s">
        <v>54</v>
      </c>
      <c r="F1020" s="13">
        <v>2017.0</v>
      </c>
      <c r="G1020" s="13">
        <v>28014.0</v>
      </c>
      <c r="H1020" s="13">
        <v>3976.67</v>
      </c>
      <c r="I1020" s="13">
        <f>' car_sales_data 1'!$G1020*0.2</f>
        <v>5602.8</v>
      </c>
      <c r="J1020" s="13" t="str">
        <f>TEXT(' car_sales_data 1'!$A1020,"mmmm")</f>
        <v>April</v>
      </c>
      <c r="K1020" s="13" t="str">
        <f>IF(' car_sales_data 1'!$G1020&gt;40000,"Premium",
 IF(' car_sales_data 1'!$G1020&gt;=20000,"Mid Range","Budget"))</f>
        <v>Mid Range</v>
      </c>
      <c r="L1020" s="13">
        <f>YEAR(TODAY())-' car_sales_data 1'!$F1020</f>
        <v>8</v>
      </c>
    </row>
    <row r="1021" ht="15.75" customHeight="1">
      <c r="A1021" s="16">
        <v>44847.0</v>
      </c>
      <c r="B1021" s="13" t="s">
        <v>2063</v>
      </c>
      <c r="C1021" s="13" t="s">
        <v>2064</v>
      </c>
      <c r="D1021" s="13" t="s">
        <v>14</v>
      </c>
      <c r="E1021" s="13" t="s">
        <v>57</v>
      </c>
      <c r="F1021" s="13">
        <v>2019.0</v>
      </c>
      <c r="G1021" s="13">
        <v>39211.0</v>
      </c>
      <c r="H1021" s="13">
        <v>5719.5</v>
      </c>
      <c r="I1021" s="13">
        <f>' car_sales_data 1'!$G1021*0.2</f>
        <v>7842.2</v>
      </c>
      <c r="J1021" s="13" t="str">
        <f>TEXT(' car_sales_data 1'!$A1021,"mmmm")</f>
        <v>October</v>
      </c>
      <c r="K1021" s="13" t="str">
        <f>IF(' car_sales_data 1'!$G1021&gt;40000,"Premium",
 IF(' car_sales_data 1'!$G1021&gt;=20000,"Mid Range","Budget"))</f>
        <v>Mid Range</v>
      </c>
      <c r="L1021" s="13">
        <f>YEAR(TODAY())-' car_sales_data 1'!$F1021</f>
        <v>6</v>
      </c>
    </row>
    <row r="1022" ht="15.75" customHeight="1">
      <c r="A1022" s="16">
        <v>44923.0</v>
      </c>
      <c r="B1022" s="13" t="s">
        <v>2065</v>
      </c>
      <c r="C1022" s="13" t="s">
        <v>2066</v>
      </c>
      <c r="D1022" s="13" t="s">
        <v>6</v>
      </c>
      <c r="E1022" s="13" t="s">
        <v>51</v>
      </c>
      <c r="F1022" s="13">
        <v>2019.0</v>
      </c>
      <c r="G1022" s="13">
        <v>34601.0</v>
      </c>
      <c r="H1022" s="13">
        <v>4951.25</v>
      </c>
      <c r="I1022" s="13">
        <f>' car_sales_data 1'!$G1022*0.2</f>
        <v>6920.2</v>
      </c>
      <c r="J1022" s="13" t="str">
        <f>TEXT(' car_sales_data 1'!$A1022,"mmmm")</f>
        <v>December</v>
      </c>
      <c r="K1022" s="13" t="str">
        <f>IF(' car_sales_data 1'!$G1022&gt;40000,"Premium",
 IF(' car_sales_data 1'!$G1022&gt;=20000,"Mid Range","Budget"))</f>
        <v>Mid Range</v>
      </c>
      <c r="L1022" s="13">
        <f>YEAR(TODAY())-' car_sales_data 1'!$F1022</f>
        <v>6</v>
      </c>
    </row>
    <row r="1023" ht="15.75" customHeight="1">
      <c r="A1023" s="16">
        <v>45005.0</v>
      </c>
      <c r="B1023" s="13" t="s">
        <v>2067</v>
      </c>
      <c r="C1023" s="13" t="s">
        <v>2068</v>
      </c>
      <c r="D1023" s="13" t="s">
        <v>6</v>
      </c>
      <c r="E1023" s="13" t="s">
        <v>51</v>
      </c>
      <c r="F1023" s="13">
        <v>2019.0</v>
      </c>
      <c r="G1023" s="13">
        <v>35630.0</v>
      </c>
      <c r="H1023" s="13">
        <v>3878.2</v>
      </c>
      <c r="I1023" s="13">
        <f>' car_sales_data 1'!$G1023*0.2</f>
        <v>7126</v>
      </c>
      <c r="J1023" s="13" t="str">
        <f>TEXT(' car_sales_data 1'!$A1023,"mmmm")</f>
        <v>March</v>
      </c>
      <c r="K1023" s="13" t="str">
        <f>IF(' car_sales_data 1'!$G1023&gt;40000,"Premium",
 IF(' car_sales_data 1'!$G1023&gt;=20000,"Mid Range","Budget"))</f>
        <v>Mid Range</v>
      </c>
      <c r="L1023" s="13">
        <f>YEAR(TODAY())-' car_sales_data 1'!$F1023</f>
        <v>6</v>
      </c>
    </row>
    <row r="1024" ht="15.75" customHeight="1">
      <c r="A1024" s="16">
        <v>44840.0</v>
      </c>
      <c r="B1024" s="13" t="s">
        <v>2069</v>
      </c>
      <c r="C1024" s="13" t="s">
        <v>2070</v>
      </c>
      <c r="D1024" s="13" t="s">
        <v>14</v>
      </c>
      <c r="E1024" s="13" t="s">
        <v>54</v>
      </c>
      <c r="F1024" s="13">
        <v>2011.0</v>
      </c>
      <c r="G1024" s="13">
        <v>43206.0</v>
      </c>
      <c r="H1024" s="13">
        <v>5509.71</v>
      </c>
      <c r="I1024" s="13">
        <f>' car_sales_data 1'!$G1024*0.2</f>
        <v>8641.2</v>
      </c>
      <c r="J1024" s="13" t="str">
        <f>TEXT(' car_sales_data 1'!$A1024,"mmmm")</f>
        <v>October</v>
      </c>
      <c r="K1024" s="13" t="str">
        <f>IF(' car_sales_data 1'!$G1024&gt;40000,"Premium",
 IF(' car_sales_data 1'!$G1024&gt;=20000,"Mid Range","Budget"))</f>
        <v>Premium</v>
      </c>
      <c r="L1024" s="13">
        <f>YEAR(TODAY())-' car_sales_data 1'!$F1024</f>
        <v>14</v>
      </c>
    </row>
    <row r="1025" ht="15.75" customHeight="1">
      <c r="A1025" s="16">
        <v>45039.0</v>
      </c>
      <c r="B1025" s="13" t="s">
        <v>2071</v>
      </c>
      <c r="C1025" s="13" t="s">
        <v>2072</v>
      </c>
      <c r="D1025" s="13" t="s">
        <v>10</v>
      </c>
      <c r="E1025" s="13" t="s">
        <v>51</v>
      </c>
      <c r="F1025" s="13">
        <v>2012.0</v>
      </c>
      <c r="G1025" s="13">
        <v>21747.0</v>
      </c>
      <c r="H1025" s="13">
        <v>1685.58</v>
      </c>
      <c r="I1025" s="13">
        <f>' car_sales_data 1'!$G1025*0.2</f>
        <v>4349.4</v>
      </c>
      <c r="J1025" s="13" t="str">
        <f>TEXT(' car_sales_data 1'!$A1025,"mmmm")</f>
        <v>April</v>
      </c>
      <c r="K1025" s="13" t="str">
        <f>IF(' car_sales_data 1'!$G1025&gt;40000,"Premium",
 IF(' car_sales_data 1'!$G1025&gt;=20000,"Mid Range","Budget"))</f>
        <v>Mid Range</v>
      </c>
      <c r="L1025" s="13">
        <f>YEAR(TODAY())-' car_sales_data 1'!$F1025</f>
        <v>13</v>
      </c>
    </row>
    <row r="1026" ht="15.75" customHeight="1">
      <c r="A1026" s="16">
        <v>45022.0</v>
      </c>
      <c r="B1026" s="13" t="s">
        <v>2073</v>
      </c>
      <c r="C1026" s="13" t="s">
        <v>2074</v>
      </c>
      <c r="D1026" s="13" t="s">
        <v>14</v>
      </c>
      <c r="E1026" s="13" t="s">
        <v>57</v>
      </c>
      <c r="F1026" s="13">
        <v>2010.0</v>
      </c>
      <c r="G1026" s="13">
        <v>22449.0</v>
      </c>
      <c r="H1026" s="13">
        <v>2671.3</v>
      </c>
      <c r="I1026" s="13">
        <f>' car_sales_data 1'!$G1026*0.2</f>
        <v>4489.8</v>
      </c>
      <c r="J1026" s="13" t="str">
        <f>TEXT(' car_sales_data 1'!$A1026,"mmmm")</f>
        <v>April</v>
      </c>
      <c r="K1026" s="13" t="str">
        <f>IF(' car_sales_data 1'!$G1026&gt;40000,"Premium",
 IF(' car_sales_data 1'!$G1026&gt;=20000,"Mid Range","Budget"))</f>
        <v>Mid Range</v>
      </c>
      <c r="L1026" s="13">
        <f>YEAR(TODAY())-' car_sales_data 1'!$F1026</f>
        <v>15</v>
      </c>
    </row>
    <row r="1027" ht="15.75" customHeight="1">
      <c r="A1027" s="16">
        <v>44915.0</v>
      </c>
      <c r="B1027" s="13" t="s">
        <v>2075</v>
      </c>
      <c r="C1027" s="13" t="s">
        <v>2076</v>
      </c>
      <c r="D1027" s="13" t="s">
        <v>12</v>
      </c>
      <c r="E1027" s="13" t="s">
        <v>57</v>
      </c>
      <c r="F1027" s="13">
        <v>2010.0</v>
      </c>
      <c r="G1027" s="13">
        <v>30493.0</v>
      </c>
      <c r="H1027" s="13">
        <v>1976.27</v>
      </c>
      <c r="I1027" s="13">
        <f>' car_sales_data 1'!$G1027*0.2</f>
        <v>6098.6</v>
      </c>
      <c r="J1027" s="13" t="str">
        <f>TEXT(' car_sales_data 1'!$A1027,"mmmm")</f>
        <v>December</v>
      </c>
      <c r="K1027" s="13" t="str">
        <f>IF(' car_sales_data 1'!$G1027&gt;40000,"Premium",
 IF(' car_sales_data 1'!$G1027&gt;=20000,"Mid Range","Budget"))</f>
        <v>Mid Range</v>
      </c>
      <c r="L1027" s="13">
        <f>YEAR(TODAY())-' car_sales_data 1'!$F1027</f>
        <v>15</v>
      </c>
    </row>
    <row r="1028" ht="15.75" customHeight="1">
      <c r="A1028" s="16">
        <v>44784.0</v>
      </c>
      <c r="B1028" s="13" t="s">
        <v>2077</v>
      </c>
      <c r="C1028" s="13" t="s">
        <v>2078</v>
      </c>
      <c r="D1028" s="13" t="s">
        <v>8</v>
      </c>
      <c r="E1028" s="13" t="s">
        <v>54</v>
      </c>
      <c r="F1028" s="13">
        <v>2012.0</v>
      </c>
      <c r="G1028" s="13">
        <v>39026.0</v>
      </c>
      <c r="H1028" s="13">
        <v>5723.06</v>
      </c>
      <c r="I1028" s="13">
        <f>' car_sales_data 1'!$G1028*0.2</f>
        <v>7805.2</v>
      </c>
      <c r="J1028" s="13" t="str">
        <f>TEXT(' car_sales_data 1'!$A1028,"mmmm")</f>
        <v>August</v>
      </c>
      <c r="K1028" s="13" t="str">
        <f>IF(' car_sales_data 1'!$G1028&gt;40000,"Premium",
 IF(' car_sales_data 1'!$G1028&gt;=20000,"Mid Range","Budget"))</f>
        <v>Mid Range</v>
      </c>
      <c r="L1028" s="13">
        <f>YEAR(TODAY())-' car_sales_data 1'!$F1028</f>
        <v>13</v>
      </c>
    </row>
    <row r="1029" ht="15.75" customHeight="1">
      <c r="A1029" s="16">
        <v>44829.0</v>
      </c>
      <c r="B1029" s="13" t="s">
        <v>2079</v>
      </c>
      <c r="C1029" s="13" t="s">
        <v>2080</v>
      </c>
      <c r="D1029" s="13" t="s">
        <v>14</v>
      </c>
      <c r="E1029" s="13" t="s">
        <v>57</v>
      </c>
      <c r="F1029" s="13">
        <v>2014.0</v>
      </c>
      <c r="G1029" s="13">
        <v>42225.0</v>
      </c>
      <c r="H1029" s="13">
        <v>3819.24</v>
      </c>
      <c r="I1029" s="13">
        <f>' car_sales_data 1'!$G1029*0.2</f>
        <v>8445</v>
      </c>
      <c r="J1029" s="13" t="str">
        <f>TEXT(' car_sales_data 1'!$A1029,"mmmm")</f>
        <v>September</v>
      </c>
      <c r="K1029" s="13" t="str">
        <f>IF(' car_sales_data 1'!$G1029&gt;40000,"Premium",
 IF(' car_sales_data 1'!$G1029&gt;=20000,"Mid Range","Budget"))</f>
        <v>Premium</v>
      </c>
      <c r="L1029" s="13">
        <f>YEAR(TODAY())-' car_sales_data 1'!$F1029</f>
        <v>11</v>
      </c>
    </row>
    <row r="1030" ht="15.75" customHeight="1">
      <c r="A1030" s="16">
        <v>44907.0</v>
      </c>
      <c r="B1030" s="13" t="s">
        <v>2081</v>
      </c>
      <c r="C1030" s="13" t="s">
        <v>2082</v>
      </c>
      <c r="D1030" s="13" t="s">
        <v>6</v>
      </c>
      <c r="E1030" s="13" t="s">
        <v>62</v>
      </c>
      <c r="F1030" s="13">
        <v>2022.0</v>
      </c>
      <c r="G1030" s="13">
        <v>20752.0</v>
      </c>
      <c r="H1030" s="13">
        <v>2118.67</v>
      </c>
      <c r="I1030" s="13">
        <f>' car_sales_data 1'!$G1030*0.2</f>
        <v>4150.4</v>
      </c>
      <c r="J1030" s="13" t="str">
        <f>TEXT(' car_sales_data 1'!$A1030,"mmmm")</f>
        <v>December</v>
      </c>
      <c r="K1030" s="13" t="str">
        <f>IF(' car_sales_data 1'!$G1030&gt;40000,"Premium",
 IF(' car_sales_data 1'!$G1030&gt;=20000,"Mid Range","Budget"))</f>
        <v>Mid Range</v>
      </c>
      <c r="L1030" s="13">
        <f>YEAR(TODAY())-' car_sales_data 1'!$F1030</f>
        <v>3</v>
      </c>
    </row>
    <row r="1031" ht="15.75" customHeight="1">
      <c r="A1031" s="16">
        <v>44986.0</v>
      </c>
      <c r="B1031" s="13" t="s">
        <v>2083</v>
      </c>
      <c r="C1031" s="13" t="s">
        <v>2084</v>
      </c>
      <c r="D1031" s="13" t="s">
        <v>12</v>
      </c>
      <c r="E1031" s="13" t="s">
        <v>54</v>
      </c>
      <c r="F1031" s="13">
        <v>2017.0</v>
      </c>
      <c r="G1031" s="13">
        <v>33305.0</v>
      </c>
      <c r="H1031" s="13">
        <v>1666.08</v>
      </c>
      <c r="I1031" s="13">
        <f>' car_sales_data 1'!$G1031*0.2</f>
        <v>6661</v>
      </c>
      <c r="J1031" s="13" t="str">
        <f>TEXT(' car_sales_data 1'!$A1031,"mmmm")</f>
        <v>March</v>
      </c>
      <c r="K1031" s="13" t="str">
        <f>IF(' car_sales_data 1'!$G1031&gt;40000,"Premium",
 IF(' car_sales_data 1'!$G1031&gt;=20000,"Mid Range","Budget"))</f>
        <v>Mid Range</v>
      </c>
      <c r="L1031" s="13">
        <f>YEAR(TODAY())-' car_sales_data 1'!$F1031</f>
        <v>8</v>
      </c>
    </row>
    <row r="1032" ht="15.75" customHeight="1">
      <c r="A1032" s="16">
        <v>44863.0</v>
      </c>
      <c r="B1032" s="13" t="s">
        <v>17</v>
      </c>
      <c r="C1032" s="13" t="s">
        <v>2085</v>
      </c>
      <c r="D1032" s="13" t="s">
        <v>14</v>
      </c>
      <c r="E1032" s="13" t="s">
        <v>57</v>
      </c>
      <c r="F1032" s="13">
        <v>2022.0</v>
      </c>
      <c r="G1032" s="13">
        <v>26607.0</v>
      </c>
      <c r="H1032" s="13">
        <v>3760.38</v>
      </c>
      <c r="I1032" s="13">
        <f>' car_sales_data 1'!$G1032*0.2</f>
        <v>5321.4</v>
      </c>
      <c r="J1032" s="13" t="str">
        <f>TEXT(' car_sales_data 1'!$A1032,"mmmm")</f>
        <v>October</v>
      </c>
      <c r="K1032" s="13" t="str">
        <f>IF(' car_sales_data 1'!$G1032&gt;40000,"Premium",
 IF(' car_sales_data 1'!$G1032&gt;=20000,"Mid Range","Budget"))</f>
        <v>Mid Range</v>
      </c>
      <c r="L1032" s="13">
        <f>YEAR(TODAY())-' car_sales_data 1'!$F1032</f>
        <v>3</v>
      </c>
    </row>
    <row r="1033" ht="15.75" customHeight="1">
      <c r="A1033" s="16">
        <v>44870.0</v>
      </c>
      <c r="B1033" s="13" t="s">
        <v>2086</v>
      </c>
      <c r="C1033" s="13" t="s">
        <v>2087</v>
      </c>
      <c r="D1033" s="13" t="s">
        <v>12</v>
      </c>
      <c r="E1033" s="13" t="s">
        <v>57</v>
      </c>
      <c r="F1033" s="13">
        <v>2014.0</v>
      </c>
      <c r="G1033" s="13">
        <v>37671.0</v>
      </c>
      <c r="H1033" s="13">
        <v>3900.53</v>
      </c>
      <c r="I1033" s="13">
        <f>' car_sales_data 1'!$G1033*0.2</f>
        <v>7534.2</v>
      </c>
      <c r="J1033" s="13" t="str">
        <f>TEXT(' car_sales_data 1'!$A1033,"mmmm")</f>
        <v>November</v>
      </c>
      <c r="K1033" s="13" t="str">
        <f>IF(' car_sales_data 1'!$G1033&gt;40000,"Premium",
 IF(' car_sales_data 1'!$G1033&gt;=20000,"Mid Range","Budget"))</f>
        <v>Mid Range</v>
      </c>
      <c r="L1033" s="13">
        <f>YEAR(TODAY())-' car_sales_data 1'!$F1033</f>
        <v>11</v>
      </c>
    </row>
    <row r="1034" ht="15.75" customHeight="1">
      <c r="A1034" s="16">
        <v>44842.0</v>
      </c>
      <c r="B1034" s="13" t="s">
        <v>2088</v>
      </c>
      <c r="C1034" s="13" t="s">
        <v>2089</v>
      </c>
      <c r="D1034" s="13" t="s">
        <v>8</v>
      </c>
      <c r="E1034" s="13" t="s">
        <v>62</v>
      </c>
      <c r="F1034" s="13">
        <v>2019.0</v>
      </c>
      <c r="G1034" s="13">
        <v>17104.0</v>
      </c>
      <c r="H1034" s="13">
        <v>1926.15</v>
      </c>
      <c r="I1034" s="13">
        <f>' car_sales_data 1'!$G1034*0.2</f>
        <v>3420.8</v>
      </c>
      <c r="J1034" s="13" t="str">
        <f>TEXT(' car_sales_data 1'!$A1034,"mmmm")</f>
        <v>October</v>
      </c>
      <c r="K1034" s="13" t="str">
        <f>IF(' car_sales_data 1'!$G1034&gt;40000,"Premium",
 IF(' car_sales_data 1'!$G1034&gt;=20000,"Mid Range","Budget"))</f>
        <v>Budget</v>
      </c>
      <c r="L1034" s="13">
        <f>YEAR(TODAY())-' car_sales_data 1'!$F1034</f>
        <v>6</v>
      </c>
    </row>
    <row r="1035" ht="15.75" customHeight="1">
      <c r="A1035" s="16">
        <v>44693.0</v>
      </c>
      <c r="B1035" s="13" t="s">
        <v>2090</v>
      </c>
      <c r="C1035" s="13" t="s">
        <v>2091</v>
      </c>
      <c r="D1035" s="13" t="s">
        <v>8</v>
      </c>
      <c r="E1035" s="13" t="s">
        <v>62</v>
      </c>
      <c r="F1035" s="13">
        <v>2021.0</v>
      </c>
      <c r="G1035" s="13">
        <v>12730.0</v>
      </c>
      <c r="H1035" s="13">
        <v>1470.78</v>
      </c>
      <c r="I1035" s="13">
        <f>' car_sales_data 1'!$G1035*0.2</f>
        <v>2546</v>
      </c>
      <c r="J1035" s="13" t="str">
        <f>TEXT(' car_sales_data 1'!$A1035,"mmmm")</f>
        <v>May</v>
      </c>
      <c r="K1035" s="13" t="str">
        <f>IF(' car_sales_data 1'!$G1035&gt;40000,"Premium",
 IF(' car_sales_data 1'!$G1035&gt;=20000,"Mid Range","Budget"))</f>
        <v>Budget</v>
      </c>
      <c r="L1035" s="13">
        <f>YEAR(TODAY())-' car_sales_data 1'!$F1035</f>
        <v>4</v>
      </c>
    </row>
    <row r="1036" ht="15.75" customHeight="1">
      <c r="A1036" s="16">
        <v>44786.0</v>
      </c>
      <c r="B1036" s="13" t="s">
        <v>20</v>
      </c>
      <c r="C1036" s="13" t="s">
        <v>2092</v>
      </c>
      <c r="D1036" s="13" t="s">
        <v>8</v>
      </c>
      <c r="E1036" s="13" t="s">
        <v>54</v>
      </c>
      <c r="F1036" s="13">
        <v>2020.0</v>
      </c>
      <c r="G1036" s="13">
        <v>25451.0</v>
      </c>
      <c r="H1036" s="13">
        <v>1312.07</v>
      </c>
      <c r="I1036" s="13">
        <f>' car_sales_data 1'!$G1036*0.2</f>
        <v>5090.2</v>
      </c>
      <c r="J1036" s="13" t="str">
        <f>TEXT(' car_sales_data 1'!$A1036,"mmmm")</f>
        <v>August</v>
      </c>
      <c r="K1036" s="13" t="str">
        <f>IF(' car_sales_data 1'!$G1036&gt;40000,"Premium",
 IF(' car_sales_data 1'!$G1036&gt;=20000,"Mid Range","Budget"))</f>
        <v>Mid Range</v>
      </c>
      <c r="L1036" s="13">
        <f>YEAR(TODAY())-' car_sales_data 1'!$F1036</f>
        <v>5</v>
      </c>
    </row>
    <row r="1037" ht="15.75" customHeight="1">
      <c r="A1037" s="16">
        <v>44816.0</v>
      </c>
      <c r="B1037" s="13" t="s">
        <v>2093</v>
      </c>
      <c r="C1037" s="13" t="s">
        <v>2094</v>
      </c>
      <c r="D1037" s="13" t="s">
        <v>12</v>
      </c>
      <c r="E1037" s="13" t="s">
        <v>51</v>
      </c>
      <c r="F1037" s="13">
        <v>2014.0</v>
      </c>
      <c r="G1037" s="13">
        <v>35549.0</v>
      </c>
      <c r="H1037" s="13">
        <v>2198.92</v>
      </c>
      <c r="I1037" s="13">
        <f>' car_sales_data 1'!$G1037*0.2</f>
        <v>7109.8</v>
      </c>
      <c r="J1037" s="13" t="str">
        <f>TEXT(' car_sales_data 1'!$A1037,"mmmm")</f>
        <v>September</v>
      </c>
      <c r="K1037" s="13" t="str">
        <f>IF(' car_sales_data 1'!$G1037&gt;40000,"Premium",
 IF(' car_sales_data 1'!$G1037&gt;=20000,"Mid Range","Budget"))</f>
        <v>Mid Range</v>
      </c>
      <c r="L1037" s="13">
        <f>YEAR(TODAY())-' car_sales_data 1'!$F1037</f>
        <v>11</v>
      </c>
    </row>
    <row r="1038" ht="15.75" customHeight="1">
      <c r="A1038" s="16">
        <v>44783.0</v>
      </c>
      <c r="B1038" s="13" t="s">
        <v>2095</v>
      </c>
      <c r="C1038" s="13" t="s">
        <v>2096</v>
      </c>
      <c r="D1038" s="13" t="s">
        <v>14</v>
      </c>
      <c r="E1038" s="13" t="s">
        <v>70</v>
      </c>
      <c r="F1038" s="13">
        <v>2016.0</v>
      </c>
      <c r="G1038" s="13">
        <v>42297.0</v>
      </c>
      <c r="H1038" s="13">
        <v>3023.15</v>
      </c>
      <c r="I1038" s="13">
        <f>' car_sales_data 1'!$G1038*0.2</f>
        <v>8459.4</v>
      </c>
      <c r="J1038" s="13" t="str">
        <f>TEXT(' car_sales_data 1'!$A1038,"mmmm")</f>
        <v>August</v>
      </c>
      <c r="K1038" s="13" t="str">
        <f>IF(' car_sales_data 1'!$G1038&gt;40000,"Premium",
 IF(' car_sales_data 1'!$G1038&gt;=20000,"Mid Range","Budget"))</f>
        <v>Premium</v>
      </c>
      <c r="L1038" s="13">
        <f>YEAR(TODAY())-' car_sales_data 1'!$F1038</f>
        <v>9</v>
      </c>
    </row>
    <row r="1039" ht="15.75" customHeight="1">
      <c r="A1039" s="16">
        <v>45027.0</v>
      </c>
      <c r="B1039" s="13" t="s">
        <v>2097</v>
      </c>
      <c r="C1039" s="13" t="s">
        <v>2098</v>
      </c>
      <c r="D1039" s="13" t="s">
        <v>12</v>
      </c>
      <c r="E1039" s="13" t="s">
        <v>57</v>
      </c>
      <c r="F1039" s="13">
        <v>2013.0</v>
      </c>
      <c r="G1039" s="13">
        <v>37594.0</v>
      </c>
      <c r="H1039" s="13">
        <v>4354.01</v>
      </c>
      <c r="I1039" s="13">
        <f>' car_sales_data 1'!$G1039*0.2</f>
        <v>7518.8</v>
      </c>
      <c r="J1039" s="13" t="str">
        <f>TEXT(' car_sales_data 1'!$A1039,"mmmm")</f>
        <v>April</v>
      </c>
      <c r="K1039" s="13" t="str">
        <f>IF(' car_sales_data 1'!$G1039&gt;40000,"Premium",
 IF(' car_sales_data 1'!$G1039&gt;=20000,"Mid Range","Budget"))</f>
        <v>Mid Range</v>
      </c>
      <c r="L1039" s="13">
        <f>YEAR(TODAY())-' car_sales_data 1'!$F1039</f>
        <v>12</v>
      </c>
    </row>
    <row r="1040" ht="15.75" customHeight="1">
      <c r="A1040" s="16">
        <v>44766.0</v>
      </c>
      <c r="B1040" s="13" t="s">
        <v>2099</v>
      </c>
      <c r="C1040" s="13" t="s">
        <v>2069</v>
      </c>
      <c r="D1040" s="13" t="s">
        <v>6</v>
      </c>
      <c r="E1040" s="13" t="s">
        <v>57</v>
      </c>
      <c r="F1040" s="13">
        <v>2019.0</v>
      </c>
      <c r="G1040" s="13">
        <v>17869.0</v>
      </c>
      <c r="H1040" s="13">
        <v>1259.73</v>
      </c>
      <c r="I1040" s="13">
        <f>' car_sales_data 1'!$G1040*0.2</f>
        <v>3573.8</v>
      </c>
      <c r="J1040" s="13" t="str">
        <f>TEXT(' car_sales_data 1'!$A1040,"mmmm")</f>
        <v>July</v>
      </c>
      <c r="K1040" s="13" t="str">
        <f>IF(' car_sales_data 1'!$G1040&gt;40000,"Premium",
 IF(' car_sales_data 1'!$G1040&gt;=20000,"Mid Range","Budget"))</f>
        <v>Budget</v>
      </c>
      <c r="L1040" s="13">
        <f>YEAR(TODAY())-' car_sales_data 1'!$F1040</f>
        <v>6</v>
      </c>
    </row>
    <row r="1041" ht="15.75" customHeight="1">
      <c r="A1041" s="16">
        <v>45008.0</v>
      </c>
      <c r="B1041" s="13" t="s">
        <v>2100</v>
      </c>
      <c r="C1041" s="13" t="s">
        <v>2101</v>
      </c>
      <c r="D1041" s="13" t="s">
        <v>10</v>
      </c>
      <c r="E1041" s="13" t="s">
        <v>54</v>
      </c>
      <c r="F1041" s="13">
        <v>2020.0</v>
      </c>
      <c r="G1041" s="13">
        <v>48719.0</v>
      </c>
      <c r="H1041" s="13">
        <v>4261.85</v>
      </c>
      <c r="I1041" s="13">
        <f>' car_sales_data 1'!$G1041*0.2</f>
        <v>9743.8</v>
      </c>
      <c r="J1041" s="13" t="str">
        <f>TEXT(' car_sales_data 1'!$A1041,"mmmm")</f>
        <v>March</v>
      </c>
      <c r="K1041" s="13" t="str">
        <f>IF(' car_sales_data 1'!$G1041&gt;40000,"Premium",
 IF(' car_sales_data 1'!$G1041&gt;=20000,"Mid Range","Budget"))</f>
        <v>Premium</v>
      </c>
      <c r="L1041" s="13">
        <f>YEAR(TODAY())-' car_sales_data 1'!$F1041</f>
        <v>5</v>
      </c>
    </row>
    <row r="1042" ht="15.75" customHeight="1">
      <c r="A1042" s="16">
        <v>45009.0</v>
      </c>
      <c r="B1042" s="13" t="s">
        <v>2102</v>
      </c>
      <c r="C1042" s="13" t="s">
        <v>2103</v>
      </c>
      <c r="D1042" s="13" t="s">
        <v>6</v>
      </c>
      <c r="E1042" s="13" t="s">
        <v>62</v>
      </c>
      <c r="F1042" s="13">
        <v>2015.0</v>
      </c>
      <c r="G1042" s="13">
        <v>25493.0</v>
      </c>
      <c r="H1042" s="13">
        <v>2530.78</v>
      </c>
      <c r="I1042" s="13">
        <f>' car_sales_data 1'!$G1042*0.2</f>
        <v>5098.6</v>
      </c>
      <c r="J1042" s="13" t="str">
        <f>TEXT(' car_sales_data 1'!$A1042,"mmmm")</f>
        <v>March</v>
      </c>
      <c r="K1042" s="13" t="str">
        <f>IF(' car_sales_data 1'!$G1042&gt;40000,"Premium",
 IF(' car_sales_data 1'!$G1042&gt;=20000,"Mid Range","Budget"))</f>
        <v>Mid Range</v>
      </c>
      <c r="L1042" s="13">
        <f>YEAR(TODAY())-' car_sales_data 1'!$F1042</f>
        <v>10</v>
      </c>
    </row>
    <row r="1043" ht="15.75" customHeight="1">
      <c r="A1043" s="16">
        <v>44755.0</v>
      </c>
      <c r="B1043" s="13" t="s">
        <v>2104</v>
      </c>
      <c r="C1043" s="13" t="s">
        <v>2105</v>
      </c>
      <c r="D1043" s="13" t="s">
        <v>10</v>
      </c>
      <c r="E1043" s="13" t="s">
        <v>70</v>
      </c>
      <c r="F1043" s="13">
        <v>2022.0</v>
      </c>
      <c r="G1043" s="13">
        <v>33521.0</v>
      </c>
      <c r="H1043" s="13">
        <v>2623.7</v>
      </c>
      <c r="I1043" s="13">
        <f>' car_sales_data 1'!$G1043*0.2</f>
        <v>6704.2</v>
      </c>
      <c r="J1043" s="13" t="str">
        <f>TEXT(' car_sales_data 1'!$A1043,"mmmm")</f>
        <v>July</v>
      </c>
      <c r="K1043" s="13" t="str">
        <f>IF(' car_sales_data 1'!$G1043&gt;40000,"Premium",
 IF(' car_sales_data 1'!$G1043&gt;=20000,"Mid Range","Budget"))</f>
        <v>Mid Range</v>
      </c>
      <c r="L1043" s="13">
        <f>YEAR(TODAY())-' car_sales_data 1'!$F1043</f>
        <v>3</v>
      </c>
    </row>
    <row r="1044" ht="15.75" customHeight="1">
      <c r="A1044" s="16">
        <v>44702.0</v>
      </c>
      <c r="B1044" s="13" t="s">
        <v>2106</v>
      </c>
      <c r="C1044" s="13" t="s">
        <v>2107</v>
      </c>
      <c r="D1044" s="13" t="s">
        <v>10</v>
      </c>
      <c r="E1044" s="13" t="s">
        <v>51</v>
      </c>
      <c r="F1044" s="13">
        <v>2010.0</v>
      </c>
      <c r="G1044" s="13">
        <v>32012.0</v>
      </c>
      <c r="H1044" s="13">
        <v>3572.17</v>
      </c>
      <c r="I1044" s="13">
        <f>' car_sales_data 1'!$G1044*0.2</f>
        <v>6402.4</v>
      </c>
      <c r="J1044" s="13" t="str">
        <f>TEXT(' car_sales_data 1'!$A1044,"mmmm")</f>
        <v>May</v>
      </c>
      <c r="K1044" s="13" t="str">
        <f>IF(' car_sales_data 1'!$G1044&gt;40000,"Premium",
 IF(' car_sales_data 1'!$G1044&gt;=20000,"Mid Range","Budget"))</f>
        <v>Mid Range</v>
      </c>
      <c r="L1044" s="13">
        <f>YEAR(TODAY())-' car_sales_data 1'!$F1044</f>
        <v>15</v>
      </c>
    </row>
    <row r="1045" ht="15.75" customHeight="1">
      <c r="A1045" s="16">
        <v>44701.0</v>
      </c>
      <c r="B1045" s="13" t="s">
        <v>2108</v>
      </c>
      <c r="C1045" s="13" t="s">
        <v>1489</v>
      </c>
      <c r="D1045" s="13" t="s">
        <v>14</v>
      </c>
      <c r="E1045" s="13" t="s">
        <v>62</v>
      </c>
      <c r="F1045" s="13">
        <v>2010.0</v>
      </c>
      <c r="G1045" s="13">
        <v>28596.0</v>
      </c>
      <c r="H1045" s="13">
        <v>2050.66</v>
      </c>
      <c r="I1045" s="13">
        <f>' car_sales_data 1'!$G1045*0.2</f>
        <v>5719.2</v>
      </c>
      <c r="J1045" s="13" t="str">
        <f>TEXT(' car_sales_data 1'!$A1045,"mmmm")</f>
        <v>May</v>
      </c>
      <c r="K1045" s="13" t="str">
        <f>IF(' car_sales_data 1'!$G1045&gt;40000,"Premium",
 IF(' car_sales_data 1'!$G1045&gt;=20000,"Mid Range","Budget"))</f>
        <v>Mid Range</v>
      </c>
      <c r="L1045" s="13">
        <f>YEAR(TODAY())-' car_sales_data 1'!$F1045</f>
        <v>15</v>
      </c>
    </row>
    <row r="1046" ht="15.75" customHeight="1">
      <c r="A1046" s="16">
        <v>44751.0</v>
      </c>
      <c r="B1046" s="13" t="s">
        <v>2109</v>
      </c>
      <c r="C1046" s="13" t="s">
        <v>2110</v>
      </c>
      <c r="D1046" s="13" t="s">
        <v>12</v>
      </c>
      <c r="E1046" s="13" t="s">
        <v>57</v>
      </c>
      <c r="F1046" s="13">
        <v>2010.0</v>
      </c>
      <c r="G1046" s="13">
        <v>20154.0</v>
      </c>
      <c r="H1046" s="13">
        <v>1897.22</v>
      </c>
      <c r="I1046" s="13">
        <f>' car_sales_data 1'!$G1046*0.2</f>
        <v>4030.8</v>
      </c>
      <c r="J1046" s="13" t="str">
        <f>TEXT(' car_sales_data 1'!$A1046,"mmmm")</f>
        <v>July</v>
      </c>
      <c r="K1046" s="13" t="str">
        <f>IF(' car_sales_data 1'!$G1046&gt;40000,"Premium",
 IF(' car_sales_data 1'!$G1046&gt;=20000,"Mid Range","Budget"))</f>
        <v>Mid Range</v>
      </c>
      <c r="L1046" s="13">
        <f>YEAR(TODAY())-' car_sales_data 1'!$F1046</f>
        <v>15</v>
      </c>
    </row>
    <row r="1047" ht="15.75" customHeight="1">
      <c r="A1047" s="16">
        <v>44791.0</v>
      </c>
      <c r="B1047" s="13" t="s">
        <v>2111</v>
      </c>
      <c r="C1047" s="13" t="s">
        <v>2112</v>
      </c>
      <c r="D1047" s="13" t="s">
        <v>14</v>
      </c>
      <c r="E1047" s="13" t="s">
        <v>62</v>
      </c>
      <c r="F1047" s="13">
        <v>2015.0</v>
      </c>
      <c r="G1047" s="13">
        <v>17187.0</v>
      </c>
      <c r="H1047" s="13">
        <v>2234.85</v>
      </c>
      <c r="I1047" s="13">
        <f>' car_sales_data 1'!$G1047*0.2</f>
        <v>3437.4</v>
      </c>
      <c r="J1047" s="13" t="str">
        <f>TEXT(' car_sales_data 1'!$A1047,"mmmm")</f>
        <v>August</v>
      </c>
      <c r="K1047" s="13" t="str">
        <f>IF(' car_sales_data 1'!$G1047&gt;40000,"Premium",
 IF(' car_sales_data 1'!$G1047&gt;=20000,"Mid Range","Budget"))</f>
        <v>Budget</v>
      </c>
      <c r="L1047" s="13">
        <f>YEAR(TODAY())-' car_sales_data 1'!$F1047</f>
        <v>10</v>
      </c>
    </row>
    <row r="1048" ht="15.75" customHeight="1">
      <c r="A1048" s="16">
        <v>44939.0</v>
      </c>
      <c r="B1048" s="13" t="s">
        <v>2113</v>
      </c>
      <c r="C1048" s="13" t="s">
        <v>2114</v>
      </c>
      <c r="D1048" s="13" t="s">
        <v>8</v>
      </c>
      <c r="E1048" s="13" t="s">
        <v>57</v>
      </c>
      <c r="F1048" s="13">
        <v>2021.0</v>
      </c>
      <c r="G1048" s="13">
        <v>28250.0</v>
      </c>
      <c r="H1048" s="13">
        <v>2760.64</v>
      </c>
      <c r="I1048" s="13">
        <f>' car_sales_data 1'!$G1048*0.2</f>
        <v>5650</v>
      </c>
      <c r="J1048" s="13" t="str">
        <f>TEXT(' car_sales_data 1'!$A1048,"mmmm")</f>
        <v>January</v>
      </c>
      <c r="K1048" s="13" t="str">
        <f>IF(' car_sales_data 1'!$G1048&gt;40000,"Premium",
 IF(' car_sales_data 1'!$G1048&gt;=20000,"Mid Range","Budget"))</f>
        <v>Mid Range</v>
      </c>
      <c r="L1048" s="13">
        <f>YEAR(TODAY())-' car_sales_data 1'!$F1048</f>
        <v>4</v>
      </c>
    </row>
    <row r="1049" ht="15.75" customHeight="1">
      <c r="A1049" s="16">
        <v>44934.0</v>
      </c>
      <c r="B1049" s="13" t="s">
        <v>2115</v>
      </c>
      <c r="C1049" s="13" t="s">
        <v>2116</v>
      </c>
      <c r="D1049" s="13" t="s">
        <v>14</v>
      </c>
      <c r="E1049" s="13" t="s">
        <v>62</v>
      </c>
      <c r="F1049" s="13">
        <v>2019.0</v>
      </c>
      <c r="G1049" s="13">
        <v>37717.0</v>
      </c>
      <c r="H1049" s="13">
        <v>2671.44</v>
      </c>
      <c r="I1049" s="13">
        <f>' car_sales_data 1'!$G1049*0.2</f>
        <v>7543.4</v>
      </c>
      <c r="J1049" s="13" t="str">
        <f>TEXT(' car_sales_data 1'!$A1049,"mmmm")</f>
        <v>January</v>
      </c>
      <c r="K1049" s="13" t="str">
        <f>IF(' car_sales_data 1'!$G1049&gt;40000,"Premium",
 IF(' car_sales_data 1'!$G1049&gt;=20000,"Mid Range","Budget"))</f>
        <v>Mid Range</v>
      </c>
      <c r="L1049" s="13">
        <f>YEAR(TODAY())-' car_sales_data 1'!$F1049</f>
        <v>6</v>
      </c>
    </row>
    <row r="1050" ht="15.75" customHeight="1">
      <c r="A1050" s="16">
        <v>44787.0</v>
      </c>
      <c r="B1050" s="13" t="s">
        <v>2117</v>
      </c>
      <c r="C1050" s="13" t="s">
        <v>2118</v>
      </c>
      <c r="D1050" s="13" t="s">
        <v>12</v>
      </c>
      <c r="E1050" s="13" t="s">
        <v>57</v>
      </c>
      <c r="F1050" s="13">
        <v>2012.0</v>
      </c>
      <c r="G1050" s="13">
        <v>34246.0</v>
      </c>
      <c r="H1050" s="13">
        <v>3915.41</v>
      </c>
      <c r="I1050" s="13">
        <f>' car_sales_data 1'!$G1050*0.2</f>
        <v>6849.2</v>
      </c>
      <c r="J1050" s="13" t="str">
        <f>TEXT(' car_sales_data 1'!$A1050,"mmmm")</f>
        <v>August</v>
      </c>
      <c r="K1050" s="13" t="str">
        <f>IF(' car_sales_data 1'!$G1050&gt;40000,"Premium",
 IF(' car_sales_data 1'!$G1050&gt;=20000,"Mid Range","Budget"))</f>
        <v>Mid Range</v>
      </c>
      <c r="L1050" s="13">
        <f>YEAR(TODAY())-' car_sales_data 1'!$F1050</f>
        <v>13</v>
      </c>
    </row>
    <row r="1051" ht="15.75" customHeight="1">
      <c r="A1051" s="16">
        <v>44728.0</v>
      </c>
      <c r="B1051" s="13" t="s">
        <v>2119</v>
      </c>
      <c r="C1051" s="13" t="s">
        <v>2120</v>
      </c>
      <c r="D1051" s="13" t="s">
        <v>6</v>
      </c>
      <c r="E1051" s="13" t="s">
        <v>51</v>
      </c>
      <c r="F1051" s="13">
        <v>2013.0</v>
      </c>
      <c r="G1051" s="13">
        <v>19532.0</v>
      </c>
      <c r="H1051" s="13">
        <v>1699.23</v>
      </c>
      <c r="I1051" s="13">
        <f>' car_sales_data 1'!$G1051*0.2</f>
        <v>3906.4</v>
      </c>
      <c r="J1051" s="13" t="str">
        <f>TEXT(' car_sales_data 1'!$A1051,"mmmm")</f>
        <v>June</v>
      </c>
      <c r="K1051" s="13" t="str">
        <f>IF(' car_sales_data 1'!$G1051&gt;40000,"Premium",
 IF(' car_sales_data 1'!$G1051&gt;=20000,"Mid Range","Budget"))</f>
        <v>Budget</v>
      </c>
      <c r="L1051" s="13">
        <f>YEAR(TODAY())-' car_sales_data 1'!$F1051</f>
        <v>12</v>
      </c>
    </row>
    <row r="1052" ht="15.75" customHeight="1">
      <c r="A1052" s="16">
        <v>44940.0</v>
      </c>
      <c r="B1052" s="13" t="s">
        <v>2121</v>
      </c>
      <c r="C1052" s="13" t="s">
        <v>2122</v>
      </c>
      <c r="D1052" s="13" t="s">
        <v>12</v>
      </c>
      <c r="E1052" s="13" t="s">
        <v>70</v>
      </c>
      <c r="F1052" s="13">
        <v>2017.0</v>
      </c>
      <c r="G1052" s="13">
        <v>28668.0</v>
      </c>
      <c r="H1052" s="13">
        <v>3872.22</v>
      </c>
      <c r="I1052" s="13">
        <f>' car_sales_data 1'!$G1052*0.2</f>
        <v>5733.6</v>
      </c>
      <c r="J1052" s="13" t="str">
        <f>TEXT(' car_sales_data 1'!$A1052,"mmmm")</f>
        <v>January</v>
      </c>
      <c r="K1052" s="13" t="str">
        <f>IF(' car_sales_data 1'!$G1052&gt;40000,"Premium",
 IF(' car_sales_data 1'!$G1052&gt;=20000,"Mid Range","Budget"))</f>
        <v>Mid Range</v>
      </c>
      <c r="L1052" s="13">
        <f>YEAR(TODAY())-' car_sales_data 1'!$F1052</f>
        <v>8</v>
      </c>
    </row>
    <row r="1053" ht="15.75" customHeight="1">
      <c r="A1053" s="16">
        <v>44969.0</v>
      </c>
      <c r="B1053" s="13" t="s">
        <v>2123</v>
      </c>
      <c r="C1053" s="13" t="s">
        <v>2124</v>
      </c>
      <c r="D1053" s="13" t="s">
        <v>12</v>
      </c>
      <c r="E1053" s="13" t="s">
        <v>62</v>
      </c>
      <c r="F1053" s="13">
        <v>2013.0</v>
      </c>
      <c r="G1053" s="13">
        <v>27458.0</v>
      </c>
      <c r="H1053" s="13">
        <v>1561.08</v>
      </c>
      <c r="I1053" s="13">
        <f>' car_sales_data 1'!$G1053*0.2</f>
        <v>5491.6</v>
      </c>
      <c r="J1053" s="13" t="str">
        <f>TEXT(' car_sales_data 1'!$A1053,"mmmm")</f>
        <v>February</v>
      </c>
      <c r="K1053" s="13" t="str">
        <f>IF(' car_sales_data 1'!$G1053&gt;40000,"Premium",
 IF(' car_sales_data 1'!$G1053&gt;=20000,"Mid Range","Budget"))</f>
        <v>Mid Range</v>
      </c>
      <c r="L1053" s="13">
        <f>YEAR(TODAY())-' car_sales_data 1'!$F1053</f>
        <v>12</v>
      </c>
    </row>
    <row r="1054" ht="15.75" customHeight="1">
      <c r="A1054" s="16">
        <v>44947.0</v>
      </c>
      <c r="B1054" s="13" t="s">
        <v>2125</v>
      </c>
      <c r="C1054" s="13" t="s">
        <v>2126</v>
      </c>
      <c r="D1054" s="13" t="s">
        <v>14</v>
      </c>
      <c r="E1054" s="13" t="s">
        <v>57</v>
      </c>
      <c r="F1054" s="13">
        <v>2015.0</v>
      </c>
      <c r="G1054" s="13">
        <v>34632.0</v>
      </c>
      <c r="H1054" s="13">
        <v>4417.31</v>
      </c>
      <c r="I1054" s="13">
        <f>' car_sales_data 1'!$G1054*0.2</f>
        <v>6926.4</v>
      </c>
      <c r="J1054" s="13" t="str">
        <f>TEXT(' car_sales_data 1'!$A1054,"mmmm")</f>
        <v>January</v>
      </c>
      <c r="K1054" s="13" t="str">
        <f>IF(' car_sales_data 1'!$G1054&gt;40000,"Premium",
 IF(' car_sales_data 1'!$G1054&gt;=20000,"Mid Range","Budget"))</f>
        <v>Mid Range</v>
      </c>
      <c r="L1054" s="13">
        <f>YEAR(TODAY())-' car_sales_data 1'!$F1054</f>
        <v>10</v>
      </c>
    </row>
    <row r="1055" ht="15.75" customHeight="1">
      <c r="A1055" s="16">
        <v>44725.0</v>
      </c>
      <c r="B1055" s="13" t="s">
        <v>2127</v>
      </c>
      <c r="C1055" s="13" t="s">
        <v>2128</v>
      </c>
      <c r="D1055" s="13" t="s">
        <v>6</v>
      </c>
      <c r="E1055" s="13" t="s">
        <v>57</v>
      </c>
      <c r="F1055" s="13">
        <v>2022.0</v>
      </c>
      <c r="G1055" s="13">
        <v>26793.0</v>
      </c>
      <c r="H1055" s="13">
        <v>1383.0</v>
      </c>
      <c r="I1055" s="13">
        <f>' car_sales_data 1'!$G1055*0.2</f>
        <v>5358.6</v>
      </c>
      <c r="J1055" s="13" t="str">
        <f>TEXT(' car_sales_data 1'!$A1055,"mmmm")</f>
        <v>June</v>
      </c>
      <c r="K1055" s="13" t="str">
        <f>IF(' car_sales_data 1'!$G1055&gt;40000,"Premium",
 IF(' car_sales_data 1'!$G1055&gt;=20000,"Mid Range","Budget"))</f>
        <v>Mid Range</v>
      </c>
      <c r="L1055" s="13">
        <f>YEAR(TODAY())-' car_sales_data 1'!$F1055</f>
        <v>3</v>
      </c>
    </row>
    <row r="1056" ht="15.75" customHeight="1">
      <c r="A1056" s="16">
        <v>44772.0</v>
      </c>
      <c r="B1056" s="13" t="s">
        <v>2129</v>
      </c>
      <c r="C1056" s="13" t="s">
        <v>2130</v>
      </c>
      <c r="D1056" s="13" t="s">
        <v>10</v>
      </c>
      <c r="E1056" s="13" t="s">
        <v>70</v>
      </c>
      <c r="F1056" s="13">
        <v>2013.0</v>
      </c>
      <c r="G1056" s="13">
        <v>28472.0</v>
      </c>
      <c r="H1056" s="13">
        <v>2222.86</v>
      </c>
      <c r="I1056" s="13">
        <f>' car_sales_data 1'!$G1056*0.2</f>
        <v>5694.4</v>
      </c>
      <c r="J1056" s="13" t="str">
        <f>TEXT(' car_sales_data 1'!$A1056,"mmmm")</f>
        <v>July</v>
      </c>
      <c r="K1056" s="13" t="str">
        <f>IF(' car_sales_data 1'!$G1056&gt;40000,"Premium",
 IF(' car_sales_data 1'!$G1056&gt;=20000,"Mid Range","Budget"))</f>
        <v>Mid Range</v>
      </c>
      <c r="L1056" s="13">
        <f>YEAR(TODAY())-' car_sales_data 1'!$F1056</f>
        <v>12</v>
      </c>
    </row>
    <row r="1057" ht="15.75" customHeight="1">
      <c r="A1057" s="16">
        <v>45014.0</v>
      </c>
      <c r="B1057" s="13" t="s">
        <v>2131</v>
      </c>
      <c r="C1057" s="13" t="s">
        <v>2132</v>
      </c>
      <c r="D1057" s="13" t="s">
        <v>8</v>
      </c>
      <c r="E1057" s="13" t="s">
        <v>57</v>
      </c>
      <c r="F1057" s="13">
        <v>2014.0</v>
      </c>
      <c r="G1057" s="13">
        <v>19870.0</v>
      </c>
      <c r="H1057" s="13">
        <v>2008.34</v>
      </c>
      <c r="I1057" s="13">
        <f>' car_sales_data 1'!$G1057*0.2</f>
        <v>3974</v>
      </c>
      <c r="J1057" s="13" t="str">
        <f>TEXT(' car_sales_data 1'!$A1057,"mmmm")</f>
        <v>March</v>
      </c>
      <c r="K1057" s="13" t="str">
        <f>IF(' car_sales_data 1'!$G1057&gt;40000,"Premium",
 IF(' car_sales_data 1'!$G1057&gt;=20000,"Mid Range","Budget"))</f>
        <v>Budget</v>
      </c>
      <c r="L1057" s="13">
        <f>YEAR(TODAY())-' car_sales_data 1'!$F1057</f>
        <v>11</v>
      </c>
    </row>
    <row r="1058" ht="15.75" customHeight="1">
      <c r="A1058" s="16">
        <v>44900.0</v>
      </c>
      <c r="B1058" s="13" t="s">
        <v>2133</v>
      </c>
      <c r="C1058" s="13" t="s">
        <v>2134</v>
      </c>
      <c r="D1058" s="13" t="s">
        <v>10</v>
      </c>
      <c r="E1058" s="13" t="s">
        <v>62</v>
      </c>
      <c r="F1058" s="13">
        <v>2022.0</v>
      </c>
      <c r="G1058" s="13">
        <v>18553.0</v>
      </c>
      <c r="H1058" s="13">
        <v>2686.95</v>
      </c>
      <c r="I1058" s="13">
        <f>' car_sales_data 1'!$G1058*0.2</f>
        <v>3710.6</v>
      </c>
      <c r="J1058" s="13" t="str">
        <f>TEXT(' car_sales_data 1'!$A1058,"mmmm")</f>
        <v>December</v>
      </c>
      <c r="K1058" s="13" t="str">
        <f>IF(' car_sales_data 1'!$G1058&gt;40000,"Premium",
 IF(' car_sales_data 1'!$G1058&gt;=20000,"Mid Range","Budget"))</f>
        <v>Budget</v>
      </c>
      <c r="L1058" s="13">
        <f>YEAR(TODAY())-' car_sales_data 1'!$F1058</f>
        <v>3</v>
      </c>
    </row>
    <row r="1059" ht="15.75" customHeight="1">
      <c r="A1059" s="16">
        <v>45044.0</v>
      </c>
      <c r="B1059" s="13" t="s">
        <v>2135</v>
      </c>
      <c r="C1059" s="13" t="s">
        <v>2136</v>
      </c>
      <c r="D1059" s="13" t="s">
        <v>14</v>
      </c>
      <c r="E1059" s="13" t="s">
        <v>70</v>
      </c>
      <c r="F1059" s="13">
        <v>2018.0</v>
      </c>
      <c r="G1059" s="13">
        <v>48453.0</v>
      </c>
      <c r="H1059" s="13">
        <v>6297.65</v>
      </c>
      <c r="I1059" s="13">
        <f>' car_sales_data 1'!$G1059*0.2</f>
        <v>9690.6</v>
      </c>
      <c r="J1059" s="13" t="str">
        <f>TEXT(' car_sales_data 1'!$A1059,"mmmm")</f>
        <v>April</v>
      </c>
      <c r="K1059" s="13" t="str">
        <f>IF(' car_sales_data 1'!$G1059&gt;40000,"Premium",
 IF(' car_sales_data 1'!$G1059&gt;=20000,"Mid Range","Budget"))</f>
        <v>Premium</v>
      </c>
      <c r="L1059" s="13">
        <f>YEAR(TODAY())-' car_sales_data 1'!$F1059</f>
        <v>7</v>
      </c>
    </row>
    <row r="1060" ht="15.75" customHeight="1">
      <c r="A1060" s="16">
        <v>44873.0</v>
      </c>
      <c r="B1060" s="13" t="s">
        <v>2137</v>
      </c>
      <c r="C1060" s="13" t="s">
        <v>2138</v>
      </c>
      <c r="D1060" s="13" t="s">
        <v>14</v>
      </c>
      <c r="E1060" s="13" t="s">
        <v>70</v>
      </c>
      <c r="F1060" s="13">
        <v>2010.0</v>
      </c>
      <c r="G1060" s="13">
        <v>19384.0</v>
      </c>
      <c r="H1060" s="13">
        <v>2457.47</v>
      </c>
      <c r="I1060" s="13">
        <f>' car_sales_data 1'!$G1060*0.2</f>
        <v>3876.8</v>
      </c>
      <c r="J1060" s="13" t="str">
        <f>TEXT(' car_sales_data 1'!$A1060,"mmmm")</f>
        <v>November</v>
      </c>
      <c r="K1060" s="13" t="str">
        <f>IF(' car_sales_data 1'!$G1060&gt;40000,"Premium",
 IF(' car_sales_data 1'!$G1060&gt;=20000,"Mid Range","Budget"))</f>
        <v>Budget</v>
      </c>
      <c r="L1060" s="13">
        <f>YEAR(TODAY())-' car_sales_data 1'!$F1060</f>
        <v>15</v>
      </c>
    </row>
    <row r="1061" ht="15.75" customHeight="1">
      <c r="A1061" s="16">
        <v>45002.0</v>
      </c>
      <c r="B1061" s="13" t="s">
        <v>2139</v>
      </c>
      <c r="C1061" s="13" t="s">
        <v>2140</v>
      </c>
      <c r="D1061" s="13" t="s">
        <v>14</v>
      </c>
      <c r="E1061" s="13" t="s">
        <v>51</v>
      </c>
      <c r="F1061" s="13">
        <v>2012.0</v>
      </c>
      <c r="G1061" s="13">
        <v>22986.0</v>
      </c>
      <c r="H1061" s="13">
        <v>1713.75</v>
      </c>
      <c r="I1061" s="13">
        <f>' car_sales_data 1'!$G1061*0.2</f>
        <v>4597.2</v>
      </c>
      <c r="J1061" s="13" t="str">
        <f>TEXT(' car_sales_data 1'!$A1061,"mmmm")</f>
        <v>March</v>
      </c>
      <c r="K1061" s="13" t="str">
        <f>IF(' car_sales_data 1'!$G1061&gt;40000,"Premium",
 IF(' car_sales_data 1'!$G1061&gt;=20000,"Mid Range","Budget"))</f>
        <v>Mid Range</v>
      </c>
      <c r="L1061" s="13">
        <f>YEAR(TODAY())-' car_sales_data 1'!$F1061</f>
        <v>13</v>
      </c>
    </row>
    <row r="1062" ht="15.75" customHeight="1">
      <c r="A1062" s="16">
        <v>44788.0</v>
      </c>
      <c r="B1062" s="13" t="s">
        <v>2141</v>
      </c>
      <c r="C1062" s="13" t="s">
        <v>2142</v>
      </c>
      <c r="D1062" s="13" t="s">
        <v>14</v>
      </c>
      <c r="E1062" s="13" t="s">
        <v>51</v>
      </c>
      <c r="F1062" s="13">
        <v>2015.0</v>
      </c>
      <c r="G1062" s="13">
        <v>35357.0</v>
      </c>
      <c r="H1062" s="13">
        <v>2585.23</v>
      </c>
      <c r="I1062" s="13">
        <f>' car_sales_data 1'!$G1062*0.2</f>
        <v>7071.4</v>
      </c>
      <c r="J1062" s="13" t="str">
        <f>TEXT(' car_sales_data 1'!$A1062,"mmmm")</f>
        <v>August</v>
      </c>
      <c r="K1062" s="13" t="str">
        <f>IF(' car_sales_data 1'!$G1062&gt;40000,"Premium",
 IF(' car_sales_data 1'!$G1062&gt;=20000,"Mid Range","Budget"))</f>
        <v>Mid Range</v>
      </c>
      <c r="L1062" s="13">
        <f>YEAR(TODAY())-' car_sales_data 1'!$F1062</f>
        <v>10</v>
      </c>
    </row>
    <row r="1063" ht="15.75" customHeight="1">
      <c r="A1063" s="16">
        <v>44957.0</v>
      </c>
      <c r="B1063" s="13" t="s">
        <v>2143</v>
      </c>
      <c r="C1063" s="13" t="s">
        <v>2144</v>
      </c>
      <c r="D1063" s="13" t="s">
        <v>10</v>
      </c>
      <c r="E1063" s="13" t="s">
        <v>57</v>
      </c>
      <c r="F1063" s="13">
        <v>2022.0</v>
      </c>
      <c r="G1063" s="13">
        <v>13292.0</v>
      </c>
      <c r="H1063" s="13">
        <v>1427.69</v>
      </c>
      <c r="I1063" s="13">
        <f>' car_sales_data 1'!$G1063*0.2</f>
        <v>2658.4</v>
      </c>
      <c r="J1063" s="13" t="str">
        <f>TEXT(' car_sales_data 1'!$A1063,"mmmm")</f>
        <v>January</v>
      </c>
      <c r="K1063" s="13" t="str">
        <f>IF(' car_sales_data 1'!$G1063&gt;40000,"Premium",
 IF(' car_sales_data 1'!$G1063&gt;=20000,"Mid Range","Budget"))</f>
        <v>Budget</v>
      </c>
      <c r="L1063" s="13">
        <f>YEAR(TODAY())-' car_sales_data 1'!$F1063</f>
        <v>3</v>
      </c>
    </row>
    <row r="1064" ht="15.75" customHeight="1">
      <c r="A1064" s="16">
        <v>44719.0</v>
      </c>
      <c r="B1064" s="13" t="s">
        <v>2145</v>
      </c>
      <c r="C1064" s="13" t="s">
        <v>2146</v>
      </c>
      <c r="D1064" s="13" t="s">
        <v>8</v>
      </c>
      <c r="E1064" s="13" t="s">
        <v>70</v>
      </c>
      <c r="F1064" s="13">
        <v>2019.0</v>
      </c>
      <c r="G1064" s="13">
        <v>36388.0</v>
      </c>
      <c r="H1064" s="13">
        <v>2281.45</v>
      </c>
      <c r="I1064" s="13">
        <f>' car_sales_data 1'!$G1064*0.2</f>
        <v>7277.6</v>
      </c>
      <c r="J1064" s="13" t="str">
        <f>TEXT(' car_sales_data 1'!$A1064,"mmmm")</f>
        <v>June</v>
      </c>
      <c r="K1064" s="13" t="str">
        <f>IF(' car_sales_data 1'!$G1064&gt;40000,"Premium",
 IF(' car_sales_data 1'!$G1064&gt;=20000,"Mid Range","Budget"))</f>
        <v>Mid Range</v>
      </c>
      <c r="L1064" s="13">
        <f>YEAR(TODAY())-' car_sales_data 1'!$F1064</f>
        <v>6</v>
      </c>
    </row>
    <row r="1065" ht="15.75" customHeight="1">
      <c r="A1065" s="16">
        <v>44987.0</v>
      </c>
      <c r="B1065" s="13" t="s">
        <v>2147</v>
      </c>
      <c r="C1065" s="13" t="s">
        <v>2148</v>
      </c>
      <c r="D1065" s="13" t="s">
        <v>14</v>
      </c>
      <c r="E1065" s="13" t="s">
        <v>62</v>
      </c>
      <c r="F1065" s="13">
        <v>2021.0</v>
      </c>
      <c r="G1065" s="13">
        <v>32234.0</v>
      </c>
      <c r="H1065" s="13">
        <v>1965.71</v>
      </c>
      <c r="I1065" s="13">
        <f>' car_sales_data 1'!$G1065*0.2</f>
        <v>6446.8</v>
      </c>
      <c r="J1065" s="13" t="str">
        <f>TEXT(' car_sales_data 1'!$A1065,"mmmm")</f>
        <v>March</v>
      </c>
      <c r="K1065" s="13" t="str">
        <f>IF(' car_sales_data 1'!$G1065&gt;40000,"Premium",
 IF(' car_sales_data 1'!$G1065&gt;=20000,"Mid Range","Budget"))</f>
        <v>Mid Range</v>
      </c>
      <c r="L1065" s="13">
        <f>YEAR(TODAY())-' car_sales_data 1'!$F1065</f>
        <v>4</v>
      </c>
    </row>
    <row r="1066" ht="15.75" customHeight="1">
      <c r="A1066" s="16">
        <v>44774.0</v>
      </c>
      <c r="B1066" s="13" t="s">
        <v>2149</v>
      </c>
      <c r="C1066" s="13" t="s">
        <v>2150</v>
      </c>
      <c r="D1066" s="13" t="s">
        <v>10</v>
      </c>
      <c r="E1066" s="13" t="s">
        <v>54</v>
      </c>
      <c r="F1066" s="13">
        <v>2012.0</v>
      </c>
      <c r="G1066" s="13">
        <v>17804.0</v>
      </c>
      <c r="H1066" s="13">
        <v>2630.43</v>
      </c>
      <c r="I1066" s="13">
        <f>' car_sales_data 1'!$G1066*0.2</f>
        <v>3560.8</v>
      </c>
      <c r="J1066" s="13" t="str">
        <f>TEXT(' car_sales_data 1'!$A1066,"mmmm")</f>
        <v>August</v>
      </c>
      <c r="K1066" s="13" t="str">
        <f>IF(' car_sales_data 1'!$G1066&gt;40000,"Premium",
 IF(' car_sales_data 1'!$G1066&gt;=20000,"Mid Range","Budget"))</f>
        <v>Budget</v>
      </c>
      <c r="L1066" s="13">
        <f>YEAR(TODAY())-' car_sales_data 1'!$F1066</f>
        <v>13</v>
      </c>
    </row>
    <row r="1067" ht="15.75" customHeight="1">
      <c r="A1067" s="16">
        <v>45046.0</v>
      </c>
      <c r="B1067" s="13" t="s">
        <v>2151</v>
      </c>
      <c r="C1067" s="13" t="s">
        <v>2152</v>
      </c>
      <c r="D1067" s="13" t="s">
        <v>6</v>
      </c>
      <c r="E1067" s="13" t="s">
        <v>57</v>
      </c>
      <c r="F1067" s="13">
        <v>2019.0</v>
      </c>
      <c r="G1067" s="13">
        <v>10577.0</v>
      </c>
      <c r="H1067" s="13">
        <v>1215.94</v>
      </c>
      <c r="I1067" s="13">
        <f>' car_sales_data 1'!$G1067*0.2</f>
        <v>2115.4</v>
      </c>
      <c r="J1067" s="13" t="str">
        <f>TEXT(' car_sales_data 1'!$A1067,"mmmm")</f>
        <v>April</v>
      </c>
      <c r="K1067" s="13" t="str">
        <f>IF(' car_sales_data 1'!$G1067&gt;40000,"Premium",
 IF(' car_sales_data 1'!$G1067&gt;=20000,"Mid Range","Budget"))</f>
        <v>Budget</v>
      </c>
      <c r="L1067" s="13">
        <f>YEAR(TODAY())-' car_sales_data 1'!$F1067</f>
        <v>6</v>
      </c>
    </row>
    <row r="1068" ht="15.75" customHeight="1">
      <c r="A1068" s="16">
        <v>44732.0</v>
      </c>
      <c r="B1068" s="13" t="s">
        <v>2153</v>
      </c>
      <c r="C1068" s="13" t="s">
        <v>2154</v>
      </c>
      <c r="D1068" s="13" t="s">
        <v>10</v>
      </c>
      <c r="E1068" s="13" t="s">
        <v>57</v>
      </c>
      <c r="F1068" s="13">
        <v>2016.0</v>
      </c>
      <c r="G1068" s="13">
        <v>48325.0</v>
      </c>
      <c r="H1068" s="13">
        <v>4215.47</v>
      </c>
      <c r="I1068" s="13">
        <f>' car_sales_data 1'!$G1068*0.2</f>
        <v>9665</v>
      </c>
      <c r="J1068" s="13" t="str">
        <f>TEXT(' car_sales_data 1'!$A1068,"mmmm")</f>
        <v>June</v>
      </c>
      <c r="K1068" s="13" t="str">
        <f>IF(' car_sales_data 1'!$G1068&gt;40000,"Premium",
 IF(' car_sales_data 1'!$G1068&gt;=20000,"Mid Range","Budget"))</f>
        <v>Premium</v>
      </c>
      <c r="L1068" s="13">
        <f>YEAR(TODAY())-' car_sales_data 1'!$F1068</f>
        <v>9</v>
      </c>
    </row>
    <row r="1069" ht="15.75" customHeight="1">
      <c r="A1069" s="16">
        <v>44956.0</v>
      </c>
      <c r="B1069" s="13" t="s">
        <v>2155</v>
      </c>
      <c r="C1069" s="13" t="s">
        <v>2156</v>
      </c>
      <c r="D1069" s="13" t="s">
        <v>14</v>
      </c>
      <c r="E1069" s="13" t="s">
        <v>62</v>
      </c>
      <c r="F1069" s="13">
        <v>2011.0</v>
      </c>
      <c r="G1069" s="13">
        <v>37069.0</v>
      </c>
      <c r="H1069" s="13">
        <v>4202.06</v>
      </c>
      <c r="I1069" s="13">
        <f>' car_sales_data 1'!$G1069*0.2</f>
        <v>7413.8</v>
      </c>
      <c r="J1069" s="13" t="str">
        <f>TEXT(' car_sales_data 1'!$A1069,"mmmm")</f>
        <v>January</v>
      </c>
      <c r="K1069" s="13" t="str">
        <f>IF(' car_sales_data 1'!$G1069&gt;40000,"Premium",
 IF(' car_sales_data 1'!$G1069&gt;=20000,"Mid Range","Budget"))</f>
        <v>Mid Range</v>
      </c>
      <c r="L1069" s="13">
        <f>YEAR(TODAY())-' car_sales_data 1'!$F1069</f>
        <v>14</v>
      </c>
    </row>
    <row r="1070" ht="15.75" customHeight="1">
      <c r="A1070" s="16">
        <v>45044.0</v>
      </c>
      <c r="B1070" s="13" t="s">
        <v>2157</v>
      </c>
      <c r="C1070" s="13" t="s">
        <v>2158</v>
      </c>
      <c r="D1070" s="13" t="s">
        <v>12</v>
      </c>
      <c r="E1070" s="13" t="s">
        <v>62</v>
      </c>
      <c r="F1070" s="13">
        <v>2013.0</v>
      </c>
      <c r="G1070" s="13">
        <v>11324.0</v>
      </c>
      <c r="H1070" s="13">
        <v>724.94</v>
      </c>
      <c r="I1070" s="13">
        <f>' car_sales_data 1'!$G1070*0.2</f>
        <v>2264.8</v>
      </c>
      <c r="J1070" s="13" t="str">
        <f>TEXT(' car_sales_data 1'!$A1070,"mmmm")</f>
        <v>April</v>
      </c>
      <c r="K1070" s="13" t="str">
        <f>IF(' car_sales_data 1'!$G1070&gt;40000,"Premium",
 IF(' car_sales_data 1'!$G1070&gt;=20000,"Mid Range","Budget"))</f>
        <v>Budget</v>
      </c>
      <c r="L1070" s="13">
        <f>YEAR(TODAY())-' car_sales_data 1'!$F1070</f>
        <v>12</v>
      </c>
    </row>
    <row r="1071" ht="15.75" customHeight="1">
      <c r="A1071" s="16">
        <v>44684.0</v>
      </c>
      <c r="B1071" s="13" t="s">
        <v>2159</v>
      </c>
      <c r="C1071" s="13" t="s">
        <v>2160</v>
      </c>
      <c r="D1071" s="13" t="s">
        <v>10</v>
      </c>
      <c r="E1071" s="13" t="s">
        <v>57</v>
      </c>
      <c r="F1071" s="13">
        <v>2014.0</v>
      </c>
      <c r="G1071" s="13">
        <v>20623.0</v>
      </c>
      <c r="H1071" s="13">
        <v>2188.43</v>
      </c>
      <c r="I1071" s="13">
        <f>' car_sales_data 1'!$G1071*0.2</f>
        <v>4124.6</v>
      </c>
      <c r="J1071" s="13" t="str">
        <f>TEXT(' car_sales_data 1'!$A1071,"mmmm")</f>
        <v>May</v>
      </c>
      <c r="K1071" s="13" t="str">
        <f>IF(' car_sales_data 1'!$G1071&gt;40000,"Premium",
 IF(' car_sales_data 1'!$G1071&gt;=20000,"Mid Range","Budget"))</f>
        <v>Mid Range</v>
      </c>
      <c r="L1071" s="13">
        <f>YEAR(TODAY())-' car_sales_data 1'!$F1071</f>
        <v>11</v>
      </c>
    </row>
    <row r="1072" ht="15.75" customHeight="1">
      <c r="A1072" s="16">
        <v>44837.0</v>
      </c>
      <c r="B1072" s="13" t="s">
        <v>2161</v>
      </c>
      <c r="C1072" s="13" t="s">
        <v>2162</v>
      </c>
      <c r="D1072" s="13" t="s">
        <v>12</v>
      </c>
      <c r="E1072" s="13" t="s">
        <v>51</v>
      </c>
      <c r="F1072" s="13">
        <v>2017.0</v>
      </c>
      <c r="G1072" s="13">
        <v>13429.0</v>
      </c>
      <c r="H1072" s="13">
        <v>915.88</v>
      </c>
      <c r="I1072" s="13">
        <f>' car_sales_data 1'!$G1072*0.2</f>
        <v>2685.8</v>
      </c>
      <c r="J1072" s="13" t="str">
        <f>TEXT(' car_sales_data 1'!$A1072,"mmmm")</f>
        <v>October</v>
      </c>
      <c r="K1072" s="13" t="str">
        <f>IF(' car_sales_data 1'!$G1072&gt;40000,"Premium",
 IF(' car_sales_data 1'!$G1072&gt;=20000,"Mid Range","Budget"))</f>
        <v>Budget</v>
      </c>
      <c r="L1072" s="13">
        <f>YEAR(TODAY())-' car_sales_data 1'!$F1072</f>
        <v>8</v>
      </c>
    </row>
    <row r="1073" ht="15.75" customHeight="1">
      <c r="A1073" s="16">
        <v>44753.0</v>
      </c>
      <c r="B1073" s="13" t="s">
        <v>2163</v>
      </c>
      <c r="C1073" s="13" t="s">
        <v>2164</v>
      </c>
      <c r="D1073" s="13" t="s">
        <v>6</v>
      </c>
      <c r="E1073" s="13" t="s">
        <v>70</v>
      </c>
      <c r="F1073" s="13">
        <v>2016.0</v>
      </c>
      <c r="G1073" s="13">
        <v>39203.0</v>
      </c>
      <c r="H1073" s="13">
        <v>2836.7</v>
      </c>
      <c r="I1073" s="13">
        <f>' car_sales_data 1'!$G1073*0.2</f>
        <v>7840.6</v>
      </c>
      <c r="J1073" s="13" t="str">
        <f>TEXT(' car_sales_data 1'!$A1073,"mmmm")</f>
        <v>July</v>
      </c>
      <c r="K1073" s="13" t="str">
        <f>IF(' car_sales_data 1'!$G1073&gt;40000,"Premium",
 IF(' car_sales_data 1'!$G1073&gt;=20000,"Mid Range","Budget"))</f>
        <v>Mid Range</v>
      </c>
      <c r="L1073" s="13">
        <f>YEAR(TODAY())-' car_sales_data 1'!$F1073</f>
        <v>9</v>
      </c>
    </row>
    <row r="1074" ht="15.75" customHeight="1">
      <c r="A1074" s="16">
        <v>44696.0</v>
      </c>
      <c r="B1074" s="13" t="s">
        <v>2165</v>
      </c>
      <c r="C1074" s="13" t="s">
        <v>2166</v>
      </c>
      <c r="D1074" s="13" t="s">
        <v>6</v>
      </c>
      <c r="E1074" s="13" t="s">
        <v>51</v>
      </c>
      <c r="F1074" s="13">
        <v>2015.0</v>
      </c>
      <c r="G1074" s="13">
        <v>11849.0</v>
      </c>
      <c r="H1074" s="13">
        <v>667.23</v>
      </c>
      <c r="I1074" s="13">
        <f>' car_sales_data 1'!$G1074*0.2</f>
        <v>2369.8</v>
      </c>
      <c r="J1074" s="13" t="str">
        <f>TEXT(' car_sales_data 1'!$A1074,"mmmm")</f>
        <v>May</v>
      </c>
      <c r="K1074" s="13" t="str">
        <f>IF(' car_sales_data 1'!$G1074&gt;40000,"Premium",
 IF(' car_sales_data 1'!$G1074&gt;=20000,"Mid Range","Budget"))</f>
        <v>Budget</v>
      </c>
      <c r="L1074" s="13">
        <f>YEAR(TODAY())-' car_sales_data 1'!$F1074</f>
        <v>10</v>
      </c>
    </row>
    <row r="1075" ht="15.75" customHeight="1">
      <c r="A1075" s="16">
        <v>44890.0</v>
      </c>
      <c r="B1075" s="13" t="s">
        <v>1682</v>
      </c>
      <c r="C1075" s="13" t="s">
        <v>2167</v>
      </c>
      <c r="D1075" s="13" t="s">
        <v>10</v>
      </c>
      <c r="E1075" s="13" t="s">
        <v>54</v>
      </c>
      <c r="F1075" s="13">
        <v>2022.0</v>
      </c>
      <c r="G1075" s="13">
        <v>38130.0</v>
      </c>
      <c r="H1075" s="13">
        <v>4440.5</v>
      </c>
      <c r="I1075" s="13">
        <f>' car_sales_data 1'!$G1075*0.2</f>
        <v>7626</v>
      </c>
      <c r="J1075" s="13" t="str">
        <f>TEXT(' car_sales_data 1'!$A1075,"mmmm")</f>
        <v>November</v>
      </c>
      <c r="K1075" s="13" t="str">
        <f>IF(' car_sales_data 1'!$G1075&gt;40000,"Premium",
 IF(' car_sales_data 1'!$G1075&gt;=20000,"Mid Range","Budget"))</f>
        <v>Mid Range</v>
      </c>
      <c r="L1075" s="13">
        <f>YEAR(TODAY())-' car_sales_data 1'!$F1075</f>
        <v>3</v>
      </c>
    </row>
    <row r="1076" ht="15.75" customHeight="1">
      <c r="A1076" s="16">
        <v>44940.0</v>
      </c>
      <c r="B1076" s="13" t="s">
        <v>2168</v>
      </c>
      <c r="C1076" s="13" t="s">
        <v>2169</v>
      </c>
      <c r="D1076" s="13" t="s">
        <v>14</v>
      </c>
      <c r="E1076" s="13" t="s">
        <v>54</v>
      </c>
      <c r="F1076" s="13">
        <v>2022.0</v>
      </c>
      <c r="G1076" s="13">
        <v>13936.0</v>
      </c>
      <c r="H1076" s="13">
        <v>999.61</v>
      </c>
      <c r="I1076" s="13">
        <f>' car_sales_data 1'!$G1076*0.2</f>
        <v>2787.2</v>
      </c>
      <c r="J1076" s="13" t="str">
        <f>TEXT(' car_sales_data 1'!$A1076,"mmmm")</f>
        <v>January</v>
      </c>
      <c r="K1076" s="13" t="str">
        <f>IF(' car_sales_data 1'!$G1076&gt;40000,"Premium",
 IF(' car_sales_data 1'!$G1076&gt;=20000,"Mid Range","Budget"))</f>
        <v>Budget</v>
      </c>
      <c r="L1076" s="13">
        <f>YEAR(TODAY())-' car_sales_data 1'!$F1076</f>
        <v>3</v>
      </c>
    </row>
    <row r="1077" ht="15.75" customHeight="1">
      <c r="A1077" s="16">
        <v>44955.0</v>
      </c>
      <c r="B1077" s="13" t="s">
        <v>2170</v>
      </c>
      <c r="C1077" s="13" t="s">
        <v>2171</v>
      </c>
      <c r="D1077" s="13" t="s">
        <v>6</v>
      </c>
      <c r="E1077" s="13" t="s">
        <v>70</v>
      </c>
      <c r="F1077" s="13">
        <v>2015.0</v>
      </c>
      <c r="G1077" s="13">
        <v>39350.0</v>
      </c>
      <c r="H1077" s="13">
        <v>2655.34</v>
      </c>
      <c r="I1077" s="13">
        <f>' car_sales_data 1'!$G1077*0.2</f>
        <v>7870</v>
      </c>
      <c r="J1077" s="13" t="str">
        <f>TEXT(' car_sales_data 1'!$A1077,"mmmm")</f>
        <v>January</v>
      </c>
      <c r="K1077" s="13" t="str">
        <f>IF(' car_sales_data 1'!$G1077&gt;40000,"Premium",
 IF(' car_sales_data 1'!$G1077&gt;=20000,"Mid Range","Budget"))</f>
        <v>Mid Range</v>
      </c>
      <c r="L1077" s="13">
        <f>YEAR(TODAY())-' car_sales_data 1'!$F1077</f>
        <v>10</v>
      </c>
    </row>
    <row r="1078" ht="15.75" customHeight="1">
      <c r="A1078" s="16">
        <v>44882.0</v>
      </c>
      <c r="B1078" s="13" t="s">
        <v>2172</v>
      </c>
      <c r="C1078" s="13" t="s">
        <v>2173</v>
      </c>
      <c r="D1078" s="13" t="s">
        <v>6</v>
      </c>
      <c r="E1078" s="13" t="s">
        <v>70</v>
      </c>
      <c r="F1078" s="13">
        <v>2019.0</v>
      </c>
      <c r="G1078" s="13">
        <v>10980.0</v>
      </c>
      <c r="H1078" s="13">
        <v>1632.81</v>
      </c>
      <c r="I1078" s="13">
        <f>' car_sales_data 1'!$G1078*0.2</f>
        <v>2196</v>
      </c>
      <c r="J1078" s="13" t="str">
        <f>TEXT(' car_sales_data 1'!$A1078,"mmmm")</f>
        <v>November</v>
      </c>
      <c r="K1078" s="13" t="str">
        <f>IF(' car_sales_data 1'!$G1078&gt;40000,"Premium",
 IF(' car_sales_data 1'!$G1078&gt;=20000,"Mid Range","Budget"))</f>
        <v>Budget</v>
      </c>
      <c r="L1078" s="13">
        <f>YEAR(TODAY())-' car_sales_data 1'!$F1078</f>
        <v>6</v>
      </c>
    </row>
    <row r="1079" ht="15.75" customHeight="1">
      <c r="A1079" s="16">
        <v>44990.0</v>
      </c>
      <c r="B1079" s="13" t="s">
        <v>2174</v>
      </c>
      <c r="C1079" s="13" t="s">
        <v>2175</v>
      </c>
      <c r="D1079" s="13" t="s">
        <v>8</v>
      </c>
      <c r="E1079" s="13" t="s">
        <v>51</v>
      </c>
      <c r="F1079" s="13">
        <v>2022.0</v>
      </c>
      <c r="G1079" s="13">
        <v>18366.0</v>
      </c>
      <c r="H1079" s="13">
        <v>1849.09</v>
      </c>
      <c r="I1079" s="13">
        <f>' car_sales_data 1'!$G1079*0.2</f>
        <v>3673.2</v>
      </c>
      <c r="J1079" s="13" t="str">
        <f>TEXT(' car_sales_data 1'!$A1079,"mmmm")</f>
        <v>March</v>
      </c>
      <c r="K1079" s="13" t="str">
        <f>IF(' car_sales_data 1'!$G1079&gt;40000,"Premium",
 IF(' car_sales_data 1'!$G1079&gt;=20000,"Mid Range","Budget"))</f>
        <v>Budget</v>
      </c>
      <c r="L1079" s="13">
        <f>YEAR(TODAY())-' car_sales_data 1'!$F1079</f>
        <v>3</v>
      </c>
    </row>
    <row r="1080" ht="15.75" customHeight="1">
      <c r="A1080" s="16">
        <v>44759.0</v>
      </c>
      <c r="B1080" s="13" t="s">
        <v>2176</v>
      </c>
      <c r="C1080" s="13" t="s">
        <v>2177</v>
      </c>
      <c r="D1080" s="13" t="s">
        <v>14</v>
      </c>
      <c r="E1080" s="13" t="s">
        <v>51</v>
      </c>
      <c r="F1080" s="13">
        <v>2012.0</v>
      </c>
      <c r="G1080" s="13">
        <v>17763.0</v>
      </c>
      <c r="H1080" s="13">
        <v>2294.04</v>
      </c>
      <c r="I1080" s="13">
        <f>' car_sales_data 1'!$G1080*0.2</f>
        <v>3552.6</v>
      </c>
      <c r="J1080" s="13" t="str">
        <f>TEXT(' car_sales_data 1'!$A1080,"mmmm")</f>
        <v>July</v>
      </c>
      <c r="K1080" s="13" t="str">
        <f>IF(' car_sales_data 1'!$G1080&gt;40000,"Premium",
 IF(' car_sales_data 1'!$G1080&gt;=20000,"Mid Range","Budget"))</f>
        <v>Budget</v>
      </c>
      <c r="L1080" s="13">
        <f>YEAR(TODAY())-' car_sales_data 1'!$F1080</f>
        <v>13</v>
      </c>
    </row>
    <row r="1081" ht="15.75" customHeight="1">
      <c r="A1081" s="16">
        <v>45005.0</v>
      </c>
      <c r="B1081" s="13" t="s">
        <v>2178</v>
      </c>
      <c r="C1081" s="13" t="s">
        <v>2179</v>
      </c>
      <c r="D1081" s="13" t="s">
        <v>8</v>
      </c>
      <c r="E1081" s="13" t="s">
        <v>54</v>
      </c>
      <c r="F1081" s="13">
        <v>2016.0</v>
      </c>
      <c r="G1081" s="13">
        <v>16722.0</v>
      </c>
      <c r="H1081" s="13">
        <v>1286.11</v>
      </c>
      <c r="I1081" s="13">
        <f>' car_sales_data 1'!$G1081*0.2</f>
        <v>3344.4</v>
      </c>
      <c r="J1081" s="13" t="str">
        <f>TEXT(' car_sales_data 1'!$A1081,"mmmm")</f>
        <v>March</v>
      </c>
      <c r="K1081" s="13" t="str">
        <f>IF(' car_sales_data 1'!$G1081&gt;40000,"Premium",
 IF(' car_sales_data 1'!$G1081&gt;=20000,"Mid Range","Budget"))</f>
        <v>Budget</v>
      </c>
      <c r="L1081" s="13">
        <f>YEAR(TODAY())-' car_sales_data 1'!$F1081</f>
        <v>9</v>
      </c>
    </row>
    <row r="1082" ht="15.75" customHeight="1">
      <c r="A1082" s="16">
        <v>44936.0</v>
      </c>
      <c r="B1082" s="13" t="s">
        <v>2180</v>
      </c>
      <c r="C1082" s="13" t="s">
        <v>2181</v>
      </c>
      <c r="D1082" s="13" t="s">
        <v>10</v>
      </c>
      <c r="E1082" s="13" t="s">
        <v>70</v>
      </c>
      <c r="F1082" s="13">
        <v>2019.0</v>
      </c>
      <c r="G1082" s="13">
        <v>20606.0</v>
      </c>
      <c r="H1082" s="13">
        <v>1730.72</v>
      </c>
      <c r="I1082" s="13">
        <f>' car_sales_data 1'!$G1082*0.2</f>
        <v>4121.2</v>
      </c>
      <c r="J1082" s="13" t="str">
        <f>TEXT(' car_sales_data 1'!$A1082,"mmmm")</f>
        <v>January</v>
      </c>
      <c r="K1082" s="13" t="str">
        <f>IF(' car_sales_data 1'!$G1082&gt;40000,"Premium",
 IF(' car_sales_data 1'!$G1082&gt;=20000,"Mid Range","Budget"))</f>
        <v>Mid Range</v>
      </c>
      <c r="L1082" s="13">
        <f>YEAR(TODAY())-' car_sales_data 1'!$F1082</f>
        <v>6</v>
      </c>
    </row>
    <row r="1083" ht="15.75" customHeight="1">
      <c r="A1083" s="16">
        <v>44916.0</v>
      </c>
      <c r="B1083" s="13" t="s">
        <v>2182</v>
      </c>
      <c r="C1083" s="13" t="s">
        <v>2183</v>
      </c>
      <c r="D1083" s="13" t="s">
        <v>6</v>
      </c>
      <c r="E1083" s="13" t="s">
        <v>57</v>
      </c>
      <c r="F1083" s="13">
        <v>2015.0</v>
      </c>
      <c r="G1083" s="13">
        <v>32571.0</v>
      </c>
      <c r="H1083" s="13">
        <v>4588.8</v>
      </c>
      <c r="I1083" s="13">
        <f>' car_sales_data 1'!$G1083*0.2</f>
        <v>6514.2</v>
      </c>
      <c r="J1083" s="13" t="str">
        <f>TEXT(' car_sales_data 1'!$A1083,"mmmm")</f>
        <v>December</v>
      </c>
      <c r="K1083" s="13" t="str">
        <f>IF(' car_sales_data 1'!$G1083&gt;40000,"Premium",
 IF(' car_sales_data 1'!$G1083&gt;=20000,"Mid Range","Budget"))</f>
        <v>Mid Range</v>
      </c>
      <c r="L1083" s="13">
        <f>YEAR(TODAY())-' car_sales_data 1'!$F1083</f>
        <v>10</v>
      </c>
    </row>
    <row r="1084" ht="15.75" customHeight="1">
      <c r="A1084" s="16">
        <v>44703.0</v>
      </c>
      <c r="B1084" s="13" t="s">
        <v>2184</v>
      </c>
      <c r="C1084" s="13" t="s">
        <v>2185</v>
      </c>
      <c r="D1084" s="13" t="s">
        <v>8</v>
      </c>
      <c r="E1084" s="13" t="s">
        <v>57</v>
      </c>
      <c r="F1084" s="13">
        <v>2014.0</v>
      </c>
      <c r="G1084" s="13">
        <v>43355.0</v>
      </c>
      <c r="H1084" s="13">
        <v>6140.15</v>
      </c>
      <c r="I1084" s="13">
        <f>' car_sales_data 1'!$G1084*0.2</f>
        <v>8671</v>
      </c>
      <c r="J1084" s="13" t="str">
        <f>TEXT(' car_sales_data 1'!$A1084,"mmmm")</f>
        <v>May</v>
      </c>
      <c r="K1084" s="13" t="str">
        <f>IF(' car_sales_data 1'!$G1084&gt;40000,"Premium",
 IF(' car_sales_data 1'!$G1084&gt;=20000,"Mid Range","Budget"))</f>
        <v>Premium</v>
      </c>
      <c r="L1084" s="13">
        <f>YEAR(TODAY())-' car_sales_data 1'!$F1084</f>
        <v>11</v>
      </c>
    </row>
    <row r="1085" ht="15.75" customHeight="1">
      <c r="A1085" s="16">
        <v>44947.0</v>
      </c>
      <c r="B1085" s="13" t="s">
        <v>2186</v>
      </c>
      <c r="C1085" s="13" t="s">
        <v>2187</v>
      </c>
      <c r="D1085" s="13" t="s">
        <v>12</v>
      </c>
      <c r="E1085" s="13" t="s">
        <v>62</v>
      </c>
      <c r="F1085" s="13">
        <v>2013.0</v>
      </c>
      <c r="G1085" s="13">
        <v>46528.0</v>
      </c>
      <c r="H1085" s="13">
        <v>5981.78</v>
      </c>
      <c r="I1085" s="13">
        <f>' car_sales_data 1'!$G1085*0.2</f>
        <v>9305.6</v>
      </c>
      <c r="J1085" s="13" t="str">
        <f>TEXT(' car_sales_data 1'!$A1085,"mmmm")</f>
        <v>January</v>
      </c>
      <c r="K1085" s="13" t="str">
        <f>IF(' car_sales_data 1'!$G1085&gt;40000,"Premium",
 IF(' car_sales_data 1'!$G1085&gt;=20000,"Mid Range","Budget"))</f>
        <v>Premium</v>
      </c>
      <c r="L1085" s="13">
        <f>YEAR(TODAY())-' car_sales_data 1'!$F1085</f>
        <v>12</v>
      </c>
    </row>
    <row r="1086" ht="15.75" customHeight="1">
      <c r="A1086" s="16">
        <v>44683.0</v>
      </c>
      <c r="B1086" s="13" t="s">
        <v>2188</v>
      </c>
      <c r="C1086" s="13" t="s">
        <v>2189</v>
      </c>
      <c r="D1086" s="13" t="s">
        <v>14</v>
      </c>
      <c r="E1086" s="13" t="s">
        <v>54</v>
      </c>
      <c r="F1086" s="13">
        <v>2015.0</v>
      </c>
      <c r="G1086" s="13">
        <v>22848.0</v>
      </c>
      <c r="H1086" s="13">
        <v>1569.52</v>
      </c>
      <c r="I1086" s="13">
        <f>' car_sales_data 1'!$G1086*0.2</f>
        <v>4569.6</v>
      </c>
      <c r="J1086" s="13" t="str">
        <f>TEXT(' car_sales_data 1'!$A1086,"mmmm")</f>
        <v>May</v>
      </c>
      <c r="K1086" s="13" t="str">
        <f>IF(' car_sales_data 1'!$G1086&gt;40000,"Premium",
 IF(' car_sales_data 1'!$G1086&gt;=20000,"Mid Range","Budget"))</f>
        <v>Mid Range</v>
      </c>
      <c r="L1086" s="13">
        <f>YEAR(TODAY())-' car_sales_data 1'!$F1086</f>
        <v>10</v>
      </c>
    </row>
    <row r="1087" ht="15.75" customHeight="1">
      <c r="A1087" s="16">
        <v>44981.0</v>
      </c>
      <c r="B1087" s="13" t="s">
        <v>2190</v>
      </c>
      <c r="C1087" s="13" t="s">
        <v>2191</v>
      </c>
      <c r="D1087" s="13" t="s">
        <v>10</v>
      </c>
      <c r="E1087" s="13" t="s">
        <v>54</v>
      </c>
      <c r="F1087" s="13">
        <v>2020.0</v>
      </c>
      <c r="G1087" s="13">
        <v>40887.0</v>
      </c>
      <c r="H1087" s="13">
        <v>2319.93</v>
      </c>
      <c r="I1087" s="13">
        <f>' car_sales_data 1'!$G1087*0.2</f>
        <v>8177.4</v>
      </c>
      <c r="J1087" s="13" t="str">
        <f>TEXT(' car_sales_data 1'!$A1087,"mmmm")</f>
        <v>February</v>
      </c>
      <c r="K1087" s="13" t="str">
        <f>IF(' car_sales_data 1'!$G1087&gt;40000,"Premium",
 IF(' car_sales_data 1'!$G1087&gt;=20000,"Mid Range","Budget"))</f>
        <v>Premium</v>
      </c>
      <c r="L1087" s="13">
        <f>YEAR(TODAY())-' car_sales_data 1'!$F1087</f>
        <v>5</v>
      </c>
    </row>
    <row r="1088" ht="15.75" customHeight="1">
      <c r="A1088" s="16">
        <v>45013.0</v>
      </c>
      <c r="B1088" s="13" t="s">
        <v>2192</v>
      </c>
      <c r="C1088" s="13" t="s">
        <v>2193</v>
      </c>
      <c r="D1088" s="13" t="s">
        <v>8</v>
      </c>
      <c r="E1088" s="13" t="s">
        <v>51</v>
      </c>
      <c r="F1088" s="13">
        <v>2022.0</v>
      </c>
      <c r="G1088" s="13">
        <v>15697.0</v>
      </c>
      <c r="H1088" s="13">
        <v>2264.44</v>
      </c>
      <c r="I1088" s="13">
        <f>' car_sales_data 1'!$G1088*0.2</f>
        <v>3139.4</v>
      </c>
      <c r="J1088" s="13" t="str">
        <f>TEXT(' car_sales_data 1'!$A1088,"mmmm")</f>
        <v>March</v>
      </c>
      <c r="K1088" s="13" t="str">
        <f>IF(' car_sales_data 1'!$G1088&gt;40000,"Premium",
 IF(' car_sales_data 1'!$G1088&gt;=20000,"Mid Range","Budget"))</f>
        <v>Budget</v>
      </c>
      <c r="L1088" s="13">
        <f>YEAR(TODAY())-' car_sales_data 1'!$F1088</f>
        <v>3</v>
      </c>
    </row>
    <row r="1089" ht="15.75" customHeight="1">
      <c r="A1089" s="16">
        <v>44770.0</v>
      </c>
      <c r="B1089" s="13" t="s">
        <v>2194</v>
      </c>
      <c r="C1089" s="13" t="s">
        <v>2195</v>
      </c>
      <c r="D1089" s="13" t="s">
        <v>8</v>
      </c>
      <c r="E1089" s="13" t="s">
        <v>62</v>
      </c>
      <c r="F1089" s="13">
        <v>2013.0</v>
      </c>
      <c r="G1089" s="13">
        <v>43373.0</v>
      </c>
      <c r="H1089" s="13">
        <v>5613.61</v>
      </c>
      <c r="I1089" s="13">
        <f>' car_sales_data 1'!$G1089*0.2</f>
        <v>8674.6</v>
      </c>
      <c r="J1089" s="13" t="str">
        <f>TEXT(' car_sales_data 1'!$A1089,"mmmm")</f>
        <v>July</v>
      </c>
      <c r="K1089" s="13" t="str">
        <f>IF(' car_sales_data 1'!$G1089&gt;40000,"Premium",
 IF(' car_sales_data 1'!$G1089&gt;=20000,"Mid Range","Budget"))</f>
        <v>Premium</v>
      </c>
      <c r="L1089" s="13">
        <f>YEAR(TODAY())-' car_sales_data 1'!$F1089</f>
        <v>12</v>
      </c>
    </row>
    <row r="1090" ht="15.75" customHeight="1">
      <c r="A1090" s="16">
        <v>44866.0</v>
      </c>
      <c r="B1090" s="13" t="s">
        <v>2196</v>
      </c>
      <c r="C1090" s="13" t="s">
        <v>2197</v>
      </c>
      <c r="D1090" s="13" t="s">
        <v>8</v>
      </c>
      <c r="E1090" s="13" t="s">
        <v>62</v>
      </c>
      <c r="F1090" s="13">
        <v>2017.0</v>
      </c>
      <c r="G1090" s="13">
        <v>32195.0</v>
      </c>
      <c r="H1090" s="13">
        <v>2355.59</v>
      </c>
      <c r="I1090" s="13">
        <f>' car_sales_data 1'!$G1090*0.2</f>
        <v>6439</v>
      </c>
      <c r="J1090" s="13" t="str">
        <f>TEXT(' car_sales_data 1'!$A1090,"mmmm")</f>
        <v>November</v>
      </c>
      <c r="K1090" s="13" t="str">
        <f>IF(' car_sales_data 1'!$G1090&gt;40000,"Premium",
 IF(' car_sales_data 1'!$G1090&gt;=20000,"Mid Range","Budget"))</f>
        <v>Mid Range</v>
      </c>
      <c r="L1090" s="13">
        <f>YEAR(TODAY())-' car_sales_data 1'!$F1090</f>
        <v>8</v>
      </c>
    </row>
    <row r="1091" ht="15.75" customHeight="1">
      <c r="A1091" s="16">
        <v>44912.0</v>
      </c>
      <c r="B1091" s="13" t="s">
        <v>2198</v>
      </c>
      <c r="C1091" s="13" t="s">
        <v>2199</v>
      </c>
      <c r="D1091" s="13" t="s">
        <v>8</v>
      </c>
      <c r="E1091" s="13" t="s">
        <v>54</v>
      </c>
      <c r="F1091" s="13">
        <v>2021.0</v>
      </c>
      <c r="G1091" s="13">
        <v>29315.0</v>
      </c>
      <c r="H1091" s="13">
        <v>2682.65</v>
      </c>
      <c r="I1091" s="13">
        <f>' car_sales_data 1'!$G1091*0.2</f>
        <v>5863</v>
      </c>
      <c r="J1091" s="13" t="str">
        <f>TEXT(' car_sales_data 1'!$A1091,"mmmm")</f>
        <v>December</v>
      </c>
      <c r="K1091" s="13" t="str">
        <f>IF(' car_sales_data 1'!$G1091&gt;40000,"Premium",
 IF(' car_sales_data 1'!$G1091&gt;=20000,"Mid Range","Budget"))</f>
        <v>Mid Range</v>
      </c>
      <c r="L1091" s="13">
        <f>YEAR(TODAY())-' car_sales_data 1'!$F1091</f>
        <v>4</v>
      </c>
    </row>
    <row r="1092" ht="15.75" customHeight="1">
      <c r="A1092" s="16">
        <v>44697.0</v>
      </c>
      <c r="B1092" s="13" t="s">
        <v>2200</v>
      </c>
      <c r="C1092" s="13" t="s">
        <v>2201</v>
      </c>
      <c r="D1092" s="13" t="s">
        <v>12</v>
      </c>
      <c r="E1092" s="13" t="s">
        <v>70</v>
      </c>
      <c r="F1092" s="13">
        <v>2015.0</v>
      </c>
      <c r="G1092" s="13">
        <v>43368.0</v>
      </c>
      <c r="H1092" s="13">
        <v>5995.61</v>
      </c>
      <c r="I1092" s="13">
        <f>' car_sales_data 1'!$G1092*0.2</f>
        <v>8673.6</v>
      </c>
      <c r="J1092" s="13" t="str">
        <f>TEXT(' car_sales_data 1'!$A1092,"mmmm")</f>
        <v>May</v>
      </c>
      <c r="K1092" s="13" t="str">
        <f>IF(' car_sales_data 1'!$G1092&gt;40000,"Premium",
 IF(' car_sales_data 1'!$G1092&gt;=20000,"Mid Range","Budget"))</f>
        <v>Premium</v>
      </c>
      <c r="L1092" s="13">
        <f>YEAR(TODAY())-' car_sales_data 1'!$F1092</f>
        <v>10</v>
      </c>
    </row>
    <row r="1093" ht="15.75" customHeight="1">
      <c r="A1093" s="16">
        <v>44694.0</v>
      </c>
      <c r="B1093" s="13" t="s">
        <v>2202</v>
      </c>
      <c r="C1093" s="13" t="s">
        <v>2203</v>
      </c>
      <c r="D1093" s="13" t="s">
        <v>12</v>
      </c>
      <c r="E1093" s="13" t="s">
        <v>51</v>
      </c>
      <c r="F1093" s="13">
        <v>2018.0</v>
      </c>
      <c r="G1093" s="13">
        <v>44174.0</v>
      </c>
      <c r="H1093" s="13">
        <v>6244.09</v>
      </c>
      <c r="I1093" s="13">
        <f>' car_sales_data 1'!$G1093*0.2</f>
        <v>8834.8</v>
      </c>
      <c r="J1093" s="13" t="str">
        <f>TEXT(' car_sales_data 1'!$A1093,"mmmm")</f>
        <v>May</v>
      </c>
      <c r="K1093" s="13" t="str">
        <f>IF(' car_sales_data 1'!$G1093&gt;40000,"Premium",
 IF(' car_sales_data 1'!$G1093&gt;=20000,"Mid Range","Budget"))</f>
        <v>Premium</v>
      </c>
      <c r="L1093" s="13">
        <f>YEAR(TODAY())-' car_sales_data 1'!$F1093</f>
        <v>7</v>
      </c>
    </row>
    <row r="1094" ht="15.75" customHeight="1">
      <c r="A1094" s="16">
        <v>44772.0</v>
      </c>
      <c r="B1094" s="13" t="s">
        <v>2204</v>
      </c>
      <c r="C1094" s="13" t="s">
        <v>2205</v>
      </c>
      <c r="D1094" s="13" t="s">
        <v>12</v>
      </c>
      <c r="E1094" s="13" t="s">
        <v>51</v>
      </c>
      <c r="F1094" s="13">
        <v>2017.0</v>
      </c>
      <c r="G1094" s="13">
        <v>22615.0</v>
      </c>
      <c r="H1094" s="13">
        <v>1622.76</v>
      </c>
      <c r="I1094" s="13">
        <f>' car_sales_data 1'!$G1094*0.2</f>
        <v>4523</v>
      </c>
      <c r="J1094" s="13" t="str">
        <f>TEXT(' car_sales_data 1'!$A1094,"mmmm")</f>
        <v>July</v>
      </c>
      <c r="K1094" s="13" t="str">
        <f>IF(' car_sales_data 1'!$G1094&gt;40000,"Premium",
 IF(' car_sales_data 1'!$G1094&gt;=20000,"Mid Range","Budget"))</f>
        <v>Mid Range</v>
      </c>
      <c r="L1094" s="13">
        <f>YEAR(TODAY())-' car_sales_data 1'!$F1094</f>
        <v>8</v>
      </c>
    </row>
    <row r="1095" ht="15.75" customHeight="1">
      <c r="A1095" s="16">
        <v>44931.0</v>
      </c>
      <c r="B1095" s="13" t="s">
        <v>2206</v>
      </c>
      <c r="C1095" s="13" t="s">
        <v>2207</v>
      </c>
      <c r="D1095" s="13" t="s">
        <v>14</v>
      </c>
      <c r="E1095" s="13" t="s">
        <v>70</v>
      </c>
      <c r="F1095" s="13">
        <v>2022.0</v>
      </c>
      <c r="G1095" s="13">
        <v>47453.0</v>
      </c>
      <c r="H1095" s="13">
        <v>3096.14</v>
      </c>
      <c r="I1095" s="13">
        <f>' car_sales_data 1'!$G1095*0.2</f>
        <v>9490.6</v>
      </c>
      <c r="J1095" s="13" t="str">
        <f>TEXT(' car_sales_data 1'!$A1095,"mmmm")</f>
        <v>January</v>
      </c>
      <c r="K1095" s="13" t="str">
        <f>IF(' car_sales_data 1'!$G1095&gt;40000,"Premium",
 IF(' car_sales_data 1'!$G1095&gt;=20000,"Mid Range","Budget"))</f>
        <v>Premium</v>
      </c>
      <c r="L1095" s="13">
        <f>YEAR(TODAY())-' car_sales_data 1'!$F1095</f>
        <v>3</v>
      </c>
    </row>
    <row r="1096" ht="15.75" customHeight="1">
      <c r="A1096" s="16">
        <v>45044.0</v>
      </c>
      <c r="B1096" s="13" t="s">
        <v>2208</v>
      </c>
      <c r="C1096" s="13" t="s">
        <v>2209</v>
      </c>
      <c r="D1096" s="13" t="s">
        <v>8</v>
      </c>
      <c r="E1096" s="13" t="s">
        <v>70</v>
      </c>
      <c r="F1096" s="13">
        <v>2015.0</v>
      </c>
      <c r="G1096" s="13">
        <v>32444.0</v>
      </c>
      <c r="H1096" s="13">
        <v>4023.3</v>
      </c>
      <c r="I1096" s="13">
        <f>' car_sales_data 1'!$G1096*0.2</f>
        <v>6488.8</v>
      </c>
      <c r="J1096" s="13" t="str">
        <f>TEXT(' car_sales_data 1'!$A1096,"mmmm")</f>
        <v>April</v>
      </c>
      <c r="K1096" s="13" t="str">
        <f>IF(' car_sales_data 1'!$G1096&gt;40000,"Premium",
 IF(' car_sales_data 1'!$G1096&gt;=20000,"Mid Range","Budget"))</f>
        <v>Mid Range</v>
      </c>
      <c r="L1096" s="13">
        <f>YEAR(TODAY())-' car_sales_data 1'!$F1096</f>
        <v>10</v>
      </c>
    </row>
    <row r="1097" ht="15.75" customHeight="1">
      <c r="A1097" s="16">
        <v>44730.0</v>
      </c>
      <c r="B1097" s="13" t="s">
        <v>2210</v>
      </c>
      <c r="C1097" s="13" t="s">
        <v>2211</v>
      </c>
      <c r="D1097" s="13" t="s">
        <v>6</v>
      </c>
      <c r="E1097" s="13" t="s">
        <v>51</v>
      </c>
      <c r="F1097" s="13">
        <v>2021.0</v>
      </c>
      <c r="G1097" s="13">
        <v>14594.0</v>
      </c>
      <c r="H1097" s="13">
        <v>1872.32</v>
      </c>
      <c r="I1097" s="13">
        <f>' car_sales_data 1'!$G1097*0.2</f>
        <v>2918.8</v>
      </c>
      <c r="J1097" s="13" t="str">
        <f>TEXT(' car_sales_data 1'!$A1097,"mmmm")</f>
        <v>June</v>
      </c>
      <c r="K1097" s="13" t="str">
        <f>IF(' car_sales_data 1'!$G1097&gt;40000,"Premium",
 IF(' car_sales_data 1'!$G1097&gt;=20000,"Mid Range","Budget"))</f>
        <v>Budget</v>
      </c>
      <c r="L1097" s="13">
        <f>YEAR(TODAY())-' car_sales_data 1'!$F1097</f>
        <v>4</v>
      </c>
    </row>
    <row r="1098" ht="15.75" customHeight="1">
      <c r="A1098" s="16">
        <v>45015.0</v>
      </c>
      <c r="B1098" s="13" t="s">
        <v>2212</v>
      </c>
      <c r="C1098" s="13" t="s">
        <v>2213</v>
      </c>
      <c r="D1098" s="13" t="s">
        <v>6</v>
      </c>
      <c r="E1098" s="13" t="s">
        <v>62</v>
      </c>
      <c r="F1098" s="13">
        <v>2013.0</v>
      </c>
      <c r="G1098" s="13">
        <v>36970.0</v>
      </c>
      <c r="H1098" s="13">
        <v>5521.04</v>
      </c>
      <c r="I1098" s="13">
        <f>' car_sales_data 1'!$G1098*0.2</f>
        <v>7394</v>
      </c>
      <c r="J1098" s="13" t="str">
        <f>TEXT(' car_sales_data 1'!$A1098,"mmmm")</f>
        <v>March</v>
      </c>
      <c r="K1098" s="13" t="str">
        <f>IF(' car_sales_data 1'!$G1098&gt;40000,"Premium",
 IF(' car_sales_data 1'!$G1098&gt;=20000,"Mid Range","Budget"))</f>
        <v>Mid Range</v>
      </c>
      <c r="L1098" s="13">
        <f>YEAR(TODAY())-' car_sales_data 1'!$F1098</f>
        <v>12</v>
      </c>
    </row>
    <row r="1099" ht="15.75" customHeight="1">
      <c r="A1099" s="16">
        <v>45031.0</v>
      </c>
      <c r="B1099" s="13" t="s">
        <v>2214</v>
      </c>
      <c r="C1099" s="13" t="s">
        <v>2215</v>
      </c>
      <c r="D1099" s="13" t="s">
        <v>10</v>
      </c>
      <c r="E1099" s="13" t="s">
        <v>54</v>
      </c>
      <c r="F1099" s="13">
        <v>2012.0</v>
      </c>
      <c r="G1099" s="13">
        <v>15472.0</v>
      </c>
      <c r="H1099" s="13">
        <v>2158.57</v>
      </c>
      <c r="I1099" s="13">
        <f>' car_sales_data 1'!$G1099*0.2</f>
        <v>3094.4</v>
      </c>
      <c r="J1099" s="13" t="str">
        <f>TEXT(' car_sales_data 1'!$A1099,"mmmm")</f>
        <v>April</v>
      </c>
      <c r="K1099" s="13" t="str">
        <f>IF(' car_sales_data 1'!$G1099&gt;40000,"Premium",
 IF(' car_sales_data 1'!$G1099&gt;=20000,"Mid Range","Budget"))</f>
        <v>Budget</v>
      </c>
      <c r="L1099" s="13">
        <f>YEAR(TODAY())-' car_sales_data 1'!$F1099</f>
        <v>13</v>
      </c>
    </row>
    <row r="1100" ht="15.75" customHeight="1">
      <c r="A1100" s="16">
        <v>44730.0</v>
      </c>
      <c r="B1100" s="13" t="s">
        <v>2216</v>
      </c>
      <c r="C1100" s="13" t="s">
        <v>2217</v>
      </c>
      <c r="D1100" s="13" t="s">
        <v>8</v>
      </c>
      <c r="E1100" s="13" t="s">
        <v>70</v>
      </c>
      <c r="F1100" s="13">
        <v>2020.0</v>
      </c>
      <c r="G1100" s="13">
        <v>21424.0</v>
      </c>
      <c r="H1100" s="13">
        <v>1787.77</v>
      </c>
      <c r="I1100" s="13">
        <f>' car_sales_data 1'!$G1100*0.2</f>
        <v>4284.8</v>
      </c>
      <c r="J1100" s="13" t="str">
        <f>TEXT(' car_sales_data 1'!$A1100,"mmmm")</f>
        <v>June</v>
      </c>
      <c r="K1100" s="13" t="str">
        <f>IF(' car_sales_data 1'!$G1100&gt;40000,"Premium",
 IF(' car_sales_data 1'!$G1100&gt;=20000,"Mid Range","Budget"))</f>
        <v>Mid Range</v>
      </c>
      <c r="L1100" s="13">
        <f>YEAR(TODAY())-' car_sales_data 1'!$F1100</f>
        <v>5</v>
      </c>
    </row>
    <row r="1101" ht="15.75" customHeight="1">
      <c r="A1101" s="16">
        <v>44913.0</v>
      </c>
      <c r="B1101" s="13" t="s">
        <v>2218</v>
      </c>
      <c r="C1101" s="13" t="s">
        <v>2219</v>
      </c>
      <c r="D1101" s="13" t="s">
        <v>12</v>
      </c>
      <c r="E1101" s="13" t="s">
        <v>62</v>
      </c>
      <c r="F1101" s="13">
        <v>2022.0</v>
      </c>
      <c r="G1101" s="13">
        <v>45811.0</v>
      </c>
      <c r="H1101" s="13">
        <v>6472.81</v>
      </c>
      <c r="I1101" s="13">
        <f>' car_sales_data 1'!$G1101*0.2</f>
        <v>9162.2</v>
      </c>
      <c r="J1101" s="13" t="str">
        <f>TEXT(' car_sales_data 1'!$A1101,"mmmm")</f>
        <v>December</v>
      </c>
      <c r="K1101" s="13" t="str">
        <f>IF(' car_sales_data 1'!$G1101&gt;40000,"Premium",
 IF(' car_sales_data 1'!$G1101&gt;=20000,"Mid Range","Budget"))</f>
        <v>Premium</v>
      </c>
      <c r="L1101" s="13">
        <f>YEAR(TODAY())-' car_sales_data 1'!$F1101</f>
        <v>3</v>
      </c>
    </row>
    <row r="1102" ht="15.75" customHeight="1">
      <c r="A1102" s="16">
        <v>44684.0</v>
      </c>
      <c r="B1102" s="13" t="s">
        <v>2220</v>
      </c>
      <c r="C1102" s="13" t="s">
        <v>2221</v>
      </c>
      <c r="D1102" s="13" t="s">
        <v>6</v>
      </c>
      <c r="E1102" s="13" t="s">
        <v>54</v>
      </c>
      <c r="F1102" s="13">
        <v>2014.0</v>
      </c>
      <c r="G1102" s="13">
        <v>48732.0</v>
      </c>
      <c r="H1102" s="13">
        <v>7273.03</v>
      </c>
      <c r="I1102" s="13">
        <f>' car_sales_data 1'!$G1102*0.2</f>
        <v>9746.4</v>
      </c>
      <c r="J1102" s="13" t="str">
        <f>TEXT(' car_sales_data 1'!$A1102,"mmmm")</f>
        <v>May</v>
      </c>
      <c r="K1102" s="13" t="str">
        <f>IF(' car_sales_data 1'!$G1102&gt;40000,"Premium",
 IF(' car_sales_data 1'!$G1102&gt;=20000,"Mid Range","Budget"))</f>
        <v>Premium</v>
      </c>
      <c r="L1102" s="13">
        <f>YEAR(TODAY())-' car_sales_data 1'!$F1102</f>
        <v>11</v>
      </c>
    </row>
    <row r="1103" ht="15.75" customHeight="1">
      <c r="A1103" s="16">
        <v>44872.0</v>
      </c>
      <c r="B1103" s="13" t="s">
        <v>2222</v>
      </c>
      <c r="C1103" s="13" t="s">
        <v>2223</v>
      </c>
      <c r="D1103" s="13" t="s">
        <v>6</v>
      </c>
      <c r="E1103" s="13" t="s">
        <v>57</v>
      </c>
      <c r="F1103" s="13">
        <v>2014.0</v>
      </c>
      <c r="G1103" s="13">
        <v>49438.0</v>
      </c>
      <c r="H1103" s="13">
        <v>6353.49</v>
      </c>
      <c r="I1103" s="13">
        <f>' car_sales_data 1'!$G1103*0.2</f>
        <v>9887.6</v>
      </c>
      <c r="J1103" s="13" t="str">
        <f>TEXT(' car_sales_data 1'!$A1103,"mmmm")</f>
        <v>November</v>
      </c>
      <c r="K1103" s="13" t="str">
        <f>IF(' car_sales_data 1'!$G1103&gt;40000,"Premium",
 IF(' car_sales_data 1'!$G1103&gt;=20000,"Mid Range","Budget"))</f>
        <v>Premium</v>
      </c>
      <c r="L1103" s="13">
        <f>YEAR(TODAY())-' car_sales_data 1'!$F1103</f>
        <v>11</v>
      </c>
    </row>
    <row r="1104" ht="15.75" customHeight="1">
      <c r="A1104" s="16">
        <v>44844.0</v>
      </c>
      <c r="B1104" s="13" t="s">
        <v>634</v>
      </c>
      <c r="C1104" s="13" t="s">
        <v>2224</v>
      </c>
      <c r="D1104" s="13" t="s">
        <v>14</v>
      </c>
      <c r="E1104" s="13" t="s">
        <v>54</v>
      </c>
      <c r="F1104" s="13">
        <v>2011.0</v>
      </c>
      <c r="G1104" s="13">
        <v>40465.0</v>
      </c>
      <c r="H1104" s="13">
        <v>3716.78</v>
      </c>
      <c r="I1104" s="13">
        <f>' car_sales_data 1'!$G1104*0.2</f>
        <v>8093</v>
      </c>
      <c r="J1104" s="13" t="str">
        <f>TEXT(' car_sales_data 1'!$A1104,"mmmm")</f>
        <v>October</v>
      </c>
      <c r="K1104" s="13" t="str">
        <f>IF(' car_sales_data 1'!$G1104&gt;40000,"Premium",
 IF(' car_sales_data 1'!$G1104&gt;=20000,"Mid Range","Budget"))</f>
        <v>Premium</v>
      </c>
      <c r="L1104" s="13">
        <f>YEAR(TODAY())-' car_sales_data 1'!$F1104</f>
        <v>14</v>
      </c>
    </row>
    <row r="1105" ht="15.75" customHeight="1">
      <c r="A1105" s="16">
        <v>44997.0</v>
      </c>
      <c r="B1105" s="13" t="s">
        <v>2225</v>
      </c>
      <c r="C1105" s="13" t="s">
        <v>2226</v>
      </c>
      <c r="D1105" s="13" t="s">
        <v>8</v>
      </c>
      <c r="E1105" s="13" t="s">
        <v>70</v>
      </c>
      <c r="F1105" s="13">
        <v>2020.0</v>
      </c>
      <c r="G1105" s="13">
        <v>47306.0</v>
      </c>
      <c r="H1105" s="13">
        <v>3967.18</v>
      </c>
      <c r="I1105" s="13">
        <f>' car_sales_data 1'!$G1105*0.2</f>
        <v>9461.2</v>
      </c>
      <c r="J1105" s="13" t="str">
        <f>TEXT(' car_sales_data 1'!$A1105,"mmmm")</f>
        <v>March</v>
      </c>
      <c r="K1105" s="13" t="str">
        <f>IF(' car_sales_data 1'!$G1105&gt;40000,"Premium",
 IF(' car_sales_data 1'!$G1105&gt;=20000,"Mid Range","Budget"))</f>
        <v>Premium</v>
      </c>
      <c r="L1105" s="13">
        <f>YEAR(TODAY())-' car_sales_data 1'!$F1105</f>
        <v>5</v>
      </c>
    </row>
    <row r="1106" ht="15.75" customHeight="1">
      <c r="A1106" s="16">
        <v>44804.0</v>
      </c>
      <c r="B1106" s="13" t="s">
        <v>2227</v>
      </c>
      <c r="C1106" s="13" t="s">
        <v>372</v>
      </c>
      <c r="D1106" s="13" t="s">
        <v>10</v>
      </c>
      <c r="E1106" s="13" t="s">
        <v>51</v>
      </c>
      <c r="F1106" s="13">
        <v>2022.0</v>
      </c>
      <c r="G1106" s="13">
        <v>15752.0</v>
      </c>
      <c r="H1106" s="13">
        <v>2101.25</v>
      </c>
      <c r="I1106" s="13">
        <f>' car_sales_data 1'!$G1106*0.2</f>
        <v>3150.4</v>
      </c>
      <c r="J1106" s="13" t="str">
        <f>TEXT(' car_sales_data 1'!$A1106,"mmmm")</f>
        <v>August</v>
      </c>
      <c r="K1106" s="13" t="str">
        <f>IF(' car_sales_data 1'!$G1106&gt;40000,"Premium",
 IF(' car_sales_data 1'!$G1106&gt;=20000,"Mid Range","Budget"))</f>
        <v>Budget</v>
      </c>
      <c r="L1106" s="13">
        <f>YEAR(TODAY())-' car_sales_data 1'!$F1106</f>
        <v>3</v>
      </c>
    </row>
    <row r="1107" ht="15.75" customHeight="1">
      <c r="A1107" s="16">
        <v>44962.0</v>
      </c>
      <c r="B1107" s="13" t="s">
        <v>2228</v>
      </c>
      <c r="C1107" s="13" t="s">
        <v>2229</v>
      </c>
      <c r="D1107" s="13" t="s">
        <v>10</v>
      </c>
      <c r="E1107" s="13" t="s">
        <v>70</v>
      </c>
      <c r="F1107" s="13">
        <v>2010.0</v>
      </c>
      <c r="G1107" s="13">
        <v>42262.0</v>
      </c>
      <c r="H1107" s="13">
        <v>3387.64</v>
      </c>
      <c r="I1107" s="13">
        <f>' car_sales_data 1'!$G1107*0.2</f>
        <v>8452.4</v>
      </c>
      <c r="J1107" s="13" t="str">
        <f>TEXT(' car_sales_data 1'!$A1107,"mmmm")</f>
        <v>February</v>
      </c>
      <c r="K1107" s="13" t="str">
        <f>IF(' car_sales_data 1'!$G1107&gt;40000,"Premium",
 IF(' car_sales_data 1'!$G1107&gt;=20000,"Mid Range","Budget"))</f>
        <v>Premium</v>
      </c>
      <c r="L1107" s="13">
        <f>YEAR(TODAY())-' car_sales_data 1'!$F1107</f>
        <v>15</v>
      </c>
    </row>
    <row r="1108" ht="15.75" customHeight="1">
      <c r="A1108" s="16">
        <v>44850.0</v>
      </c>
      <c r="B1108" s="13" t="s">
        <v>2230</v>
      </c>
      <c r="C1108" s="13" t="s">
        <v>2231</v>
      </c>
      <c r="D1108" s="13" t="s">
        <v>10</v>
      </c>
      <c r="E1108" s="13" t="s">
        <v>70</v>
      </c>
      <c r="F1108" s="13">
        <v>2020.0</v>
      </c>
      <c r="G1108" s="13">
        <v>11329.0</v>
      </c>
      <c r="H1108" s="13">
        <v>744.49</v>
      </c>
      <c r="I1108" s="13">
        <f>' car_sales_data 1'!$G1108*0.2</f>
        <v>2265.8</v>
      </c>
      <c r="J1108" s="13" t="str">
        <f>TEXT(' car_sales_data 1'!$A1108,"mmmm")</f>
        <v>October</v>
      </c>
      <c r="K1108" s="13" t="str">
        <f>IF(' car_sales_data 1'!$G1108&gt;40000,"Premium",
 IF(' car_sales_data 1'!$G1108&gt;=20000,"Mid Range","Budget"))</f>
        <v>Budget</v>
      </c>
      <c r="L1108" s="13">
        <f>YEAR(TODAY())-' car_sales_data 1'!$F1108</f>
        <v>5</v>
      </c>
    </row>
    <row r="1109" ht="15.75" customHeight="1">
      <c r="A1109" s="16">
        <v>45017.0</v>
      </c>
      <c r="B1109" s="13" t="s">
        <v>2232</v>
      </c>
      <c r="C1109" s="13" t="s">
        <v>2233</v>
      </c>
      <c r="D1109" s="13" t="s">
        <v>10</v>
      </c>
      <c r="E1109" s="13" t="s">
        <v>54</v>
      </c>
      <c r="F1109" s="13">
        <v>2022.0</v>
      </c>
      <c r="G1109" s="13">
        <v>11587.0</v>
      </c>
      <c r="H1109" s="13">
        <v>1218.08</v>
      </c>
      <c r="I1109" s="13">
        <f>' car_sales_data 1'!$G1109*0.2</f>
        <v>2317.4</v>
      </c>
      <c r="J1109" s="13" t="str">
        <f>TEXT(' car_sales_data 1'!$A1109,"mmmm")</f>
        <v>April</v>
      </c>
      <c r="K1109" s="13" t="str">
        <f>IF(' car_sales_data 1'!$G1109&gt;40000,"Premium",
 IF(' car_sales_data 1'!$G1109&gt;=20000,"Mid Range","Budget"))</f>
        <v>Budget</v>
      </c>
      <c r="L1109" s="13">
        <f>YEAR(TODAY())-' car_sales_data 1'!$F1109</f>
        <v>3</v>
      </c>
    </row>
    <row r="1110" ht="15.75" customHeight="1">
      <c r="A1110" s="16">
        <v>44830.0</v>
      </c>
      <c r="B1110" s="13" t="s">
        <v>2234</v>
      </c>
      <c r="C1110" s="13" t="s">
        <v>2235</v>
      </c>
      <c r="D1110" s="13" t="s">
        <v>10</v>
      </c>
      <c r="E1110" s="13" t="s">
        <v>70</v>
      </c>
      <c r="F1110" s="13">
        <v>2021.0</v>
      </c>
      <c r="G1110" s="13">
        <v>42085.0</v>
      </c>
      <c r="H1110" s="13">
        <v>5806.76</v>
      </c>
      <c r="I1110" s="13">
        <f>' car_sales_data 1'!$G1110*0.2</f>
        <v>8417</v>
      </c>
      <c r="J1110" s="13" t="str">
        <f>TEXT(' car_sales_data 1'!$A1110,"mmmm")</f>
        <v>September</v>
      </c>
      <c r="K1110" s="13" t="str">
        <f>IF(' car_sales_data 1'!$G1110&gt;40000,"Premium",
 IF(' car_sales_data 1'!$G1110&gt;=20000,"Mid Range","Budget"))</f>
        <v>Premium</v>
      </c>
      <c r="L1110" s="13">
        <f>YEAR(TODAY())-' car_sales_data 1'!$F1110</f>
        <v>4</v>
      </c>
    </row>
    <row r="1111" ht="15.75" customHeight="1">
      <c r="A1111" s="16">
        <v>44727.0</v>
      </c>
      <c r="B1111" s="13" t="s">
        <v>2236</v>
      </c>
      <c r="C1111" s="13" t="s">
        <v>2237</v>
      </c>
      <c r="D1111" s="13" t="s">
        <v>10</v>
      </c>
      <c r="E1111" s="13" t="s">
        <v>57</v>
      </c>
      <c r="F1111" s="13">
        <v>2020.0</v>
      </c>
      <c r="G1111" s="13">
        <v>24521.0</v>
      </c>
      <c r="H1111" s="13">
        <v>2338.66</v>
      </c>
      <c r="I1111" s="13">
        <f>' car_sales_data 1'!$G1111*0.2</f>
        <v>4904.2</v>
      </c>
      <c r="J1111" s="13" t="str">
        <f>TEXT(' car_sales_data 1'!$A1111,"mmmm")</f>
        <v>June</v>
      </c>
      <c r="K1111" s="13" t="str">
        <f>IF(' car_sales_data 1'!$G1111&gt;40000,"Premium",
 IF(' car_sales_data 1'!$G1111&gt;=20000,"Mid Range","Budget"))</f>
        <v>Mid Range</v>
      </c>
      <c r="L1111" s="13">
        <f>YEAR(TODAY())-' car_sales_data 1'!$F1111</f>
        <v>5</v>
      </c>
    </row>
    <row r="1112" ht="15.75" customHeight="1">
      <c r="A1112" s="16">
        <v>44764.0</v>
      </c>
      <c r="B1112" s="13" t="s">
        <v>2238</v>
      </c>
      <c r="C1112" s="13" t="s">
        <v>2239</v>
      </c>
      <c r="D1112" s="13" t="s">
        <v>8</v>
      </c>
      <c r="E1112" s="13" t="s">
        <v>57</v>
      </c>
      <c r="F1112" s="13">
        <v>2017.0</v>
      </c>
      <c r="G1112" s="13">
        <v>27369.0</v>
      </c>
      <c r="H1112" s="13">
        <v>3234.59</v>
      </c>
      <c r="I1112" s="13">
        <f>' car_sales_data 1'!$G1112*0.2</f>
        <v>5473.8</v>
      </c>
      <c r="J1112" s="13" t="str">
        <f>TEXT(' car_sales_data 1'!$A1112,"mmmm")</f>
        <v>July</v>
      </c>
      <c r="K1112" s="13" t="str">
        <f>IF(' car_sales_data 1'!$G1112&gt;40000,"Premium",
 IF(' car_sales_data 1'!$G1112&gt;=20000,"Mid Range","Budget"))</f>
        <v>Mid Range</v>
      </c>
      <c r="L1112" s="13">
        <f>YEAR(TODAY())-' car_sales_data 1'!$F1112</f>
        <v>8</v>
      </c>
    </row>
    <row r="1113" ht="15.75" customHeight="1">
      <c r="A1113" s="16">
        <v>44925.0</v>
      </c>
      <c r="B1113" s="13" t="s">
        <v>2240</v>
      </c>
      <c r="C1113" s="13" t="s">
        <v>2241</v>
      </c>
      <c r="D1113" s="13" t="s">
        <v>6</v>
      </c>
      <c r="E1113" s="13" t="s">
        <v>54</v>
      </c>
      <c r="F1113" s="13">
        <v>2017.0</v>
      </c>
      <c r="G1113" s="13">
        <v>15844.0</v>
      </c>
      <c r="H1113" s="13">
        <v>1716.98</v>
      </c>
      <c r="I1113" s="13">
        <f>' car_sales_data 1'!$G1113*0.2</f>
        <v>3168.8</v>
      </c>
      <c r="J1113" s="13" t="str">
        <f>TEXT(' car_sales_data 1'!$A1113,"mmmm")</f>
        <v>December</v>
      </c>
      <c r="K1113" s="13" t="str">
        <f>IF(' car_sales_data 1'!$G1113&gt;40000,"Premium",
 IF(' car_sales_data 1'!$G1113&gt;=20000,"Mid Range","Budget"))</f>
        <v>Budget</v>
      </c>
      <c r="L1113" s="13">
        <f>YEAR(TODAY())-' car_sales_data 1'!$F1113</f>
        <v>8</v>
      </c>
    </row>
    <row r="1114" ht="15.75" customHeight="1">
      <c r="A1114" s="16">
        <v>44902.0</v>
      </c>
      <c r="B1114" s="13" t="s">
        <v>2242</v>
      </c>
      <c r="C1114" s="13" t="s">
        <v>2243</v>
      </c>
      <c r="D1114" s="13" t="s">
        <v>8</v>
      </c>
      <c r="E1114" s="13" t="s">
        <v>51</v>
      </c>
      <c r="F1114" s="13">
        <v>2012.0</v>
      </c>
      <c r="G1114" s="13">
        <v>25434.0</v>
      </c>
      <c r="H1114" s="13">
        <v>1795.83</v>
      </c>
      <c r="I1114" s="13">
        <f>' car_sales_data 1'!$G1114*0.2</f>
        <v>5086.8</v>
      </c>
      <c r="J1114" s="13" t="str">
        <f>TEXT(' car_sales_data 1'!$A1114,"mmmm")</f>
        <v>December</v>
      </c>
      <c r="K1114" s="13" t="str">
        <f>IF(' car_sales_data 1'!$G1114&gt;40000,"Premium",
 IF(' car_sales_data 1'!$G1114&gt;=20000,"Mid Range","Budget"))</f>
        <v>Mid Range</v>
      </c>
      <c r="L1114" s="13">
        <f>YEAR(TODAY())-' car_sales_data 1'!$F1114</f>
        <v>13</v>
      </c>
    </row>
    <row r="1115" ht="15.75" customHeight="1">
      <c r="A1115" s="16">
        <v>45006.0</v>
      </c>
      <c r="B1115" s="13" t="s">
        <v>2244</v>
      </c>
      <c r="C1115" s="13" t="s">
        <v>2245</v>
      </c>
      <c r="D1115" s="13" t="s">
        <v>12</v>
      </c>
      <c r="E1115" s="13" t="s">
        <v>54</v>
      </c>
      <c r="F1115" s="13">
        <v>2014.0</v>
      </c>
      <c r="G1115" s="13">
        <v>18179.0</v>
      </c>
      <c r="H1115" s="13">
        <v>2552.16</v>
      </c>
      <c r="I1115" s="13">
        <f>' car_sales_data 1'!$G1115*0.2</f>
        <v>3635.8</v>
      </c>
      <c r="J1115" s="13" t="str">
        <f>TEXT(' car_sales_data 1'!$A1115,"mmmm")</f>
        <v>March</v>
      </c>
      <c r="K1115" s="13" t="str">
        <f>IF(' car_sales_data 1'!$G1115&gt;40000,"Premium",
 IF(' car_sales_data 1'!$G1115&gt;=20000,"Mid Range","Budget"))</f>
        <v>Budget</v>
      </c>
      <c r="L1115" s="13">
        <f>YEAR(TODAY())-' car_sales_data 1'!$F1115</f>
        <v>11</v>
      </c>
    </row>
    <row r="1116" ht="15.75" customHeight="1">
      <c r="A1116" s="16">
        <v>44999.0</v>
      </c>
      <c r="B1116" s="13" t="s">
        <v>2246</v>
      </c>
      <c r="C1116" s="13" t="s">
        <v>2247</v>
      </c>
      <c r="D1116" s="13" t="s">
        <v>6</v>
      </c>
      <c r="E1116" s="13" t="s">
        <v>57</v>
      </c>
      <c r="F1116" s="13">
        <v>2014.0</v>
      </c>
      <c r="G1116" s="13">
        <v>46526.0</v>
      </c>
      <c r="H1116" s="13">
        <v>2747.62</v>
      </c>
      <c r="I1116" s="13">
        <f>' car_sales_data 1'!$G1116*0.2</f>
        <v>9305.2</v>
      </c>
      <c r="J1116" s="13" t="str">
        <f>TEXT(' car_sales_data 1'!$A1116,"mmmm")</f>
        <v>March</v>
      </c>
      <c r="K1116" s="13" t="str">
        <f>IF(' car_sales_data 1'!$G1116&gt;40000,"Premium",
 IF(' car_sales_data 1'!$G1116&gt;=20000,"Mid Range","Budget"))</f>
        <v>Premium</v>
      </c>
      <c r="L1116" s="13">
        <f>YEAR(TODAY())-' car_sales_data 1'!$F1116</f>
        <v>11</v>
      </c>
    </row>
    <row r="1117" ht="15.75" customHeight="1">
      <c r="A1117" s="16">
        <v>44855.0</v>
      </c>
      <c r="B1117" s="13" t="s">
        <v>2248</v>
      </c>
      <c r="C1117" s="13" t="s">
        <v>2249</v>
      </c>
      <c r="D1117" s="13" t="s">
        <v>14</v>
      </c>
      <c r="E1117" s="13" t="s">
        <v>57</v>
      </c>
      <c r="F1117" s="13">
        <v>2016.0</v>
      </c>
      <c r="G1117" s="13">
        <v>13019.0</v>
      </c>
      <c r="H1117" s="13">
        <v>1272.65</v>
      </c>
      <c r="I1117" s="13">
        <f>' car_sales_data 1'!$G1117*0.2</f>
        <v>2603.8</v>
      </c>
      <c r="J1117" s="13" t="str">
        <f>TEXT(' car_sales_data 1'!$A1117,"mmmm")</f>
        <v>October</v>
      </c>
      <c r="K1117" s="13" t="str">
        <f>IF(' car_sales_data 1'!$G1117&gt;40000,"Premium",
 IF(' car_sales_data 1'!$G1117&gt;=20000,"Mid Range","Budget"))</f>
        <v>Budget</v>
      </c>
      <c r="L1117" s="13">
        <f>YEAR(TODAY())-' car_sales_data 1'!$F1117</f>
        <v>9</v>
      </c>
    </row>
    <row r="1118" ht="15.75" customHeight="1">
      <c r="A1118" s="16">
        <v>45022.0</v>
      </c>
      <c r="B1118" s="13" t="s">
        <v>2250</v>
      </c>
      <c r="C1118" s="13" t="s">
        <v>2251</v>
      </c>
      <c r="D1118" s="13" t="s">
        <v>14</v>
      </c>
      <c r="E1118" s="13" t="s">
        <v>57</v>
      </c>
      <c r="F1118" s="13">
        <v>2020.0</v>
      </c>
      <c r="G1118" s="13">
        <v>39216.0</v>
      </c>
      <c r="H1118" s="13">
        <v>2453.5</v>
      </c>
      <c r="I1118" s="13">
        <f>' car_sales_data 1'!$G1118*0.2</f>
        <v>7843.2</v>
      </c>
      <c r="J1118" s="13" t="str">
        <f>TEXT(' car_sales_data 1'!$A1118,"mmmm")</f>
        <v>April</v>
      </c>
      <c r="K1118" s="13" t="str">
        <f>IF(' car_sales_data 1'!$G1118&gt;40000,"Premium",
 IF(' car_sales_data 1'!$G1118&gt;=20000,"Mid Range","Budget"))</f>
        <v>Mid Range</v>
      </c>
      <c r="L1118" s="13">
        <f>YEAR(TODAY())-' car_sales_data 1'!$F1118</f>
        <v>5</v>
      </c>
    </row>
    <row r="1119" ht="15.75" customHeight="1">
      <c r="A1119" s="16">
        <v>44747.0</v>
      </c>
      <c r="B1119" s="13" t="s">
        <v>2252</v>
      </c>
      <c r="C1119" s="13" t="s">
        <v>2253</v>
      </c>
      <c r="D1119" s="13" t="s">
        <v>14</v>
      </c>
      <c r="E1119" s="13" t="s">
        <v>70</v>
      </c>
      <c r="F1119" s="13">
        <v>2021.0</v>
      </c>
      <c r="G1119" s="13">
        <v>28654.0</v>
      </c>
      <c r="H1119" s="13">
        <v>3136.41</v>
      </c>
      <c r="I1119" s="13">
        <f>' car_sales_data 1'!$G1119*0.2</f>
        <v>5730.8</v>
      </c>
      <c r="J1119" s="13" t="str">
        <f>TEXT(' car_sales_data 1'!$A1119,"mmmm")</f>
        <v>July</v>
      </c>
      <c r="K1119" s="13" t="str">
        <f>IF(' car_sales_data 1'!$G1119&gt;40000,"Premium",
 IF(' car_sales_data 1'!$G1119&gt;=20000,"Mid Range","Budget"))</f>
        <v>Mid Range</v>
      </c>
      <c r="L1119" s="13">
        <f>YEAR(TODAY())-' car_sales_data 1'!$F1119</f>
        <v>4</v>
      </c>
    </row>
    <row r="1120" ht="15.75" customHeight="1">
      <c r="A1120" s="16">
        <v>44907.0</v>
      </c>
      <c r="B1120" s="13" t="s">
        <v>2254</v>
      </c>
      <c r="C1120" s="13" t="s">
        <v>2255</v>
      </c>
      <c r="D1120" s="13" t="s">
        <v>12</v>
      </c>
      <c r="E1120" s="13" t="s">
        <v>62</v>
      </c>
      <c r="F1120" s="13">
        <v>2021.0</v>
      </c>
      <c r="G1120" s="13">
        <v>48730.0</v>
      </c>
      <c r="H1120" s="13">
        <v>7104.84</v>
      </c>
      <c r="I1120" s="13">
        <f>' car_sales_data 1'!$G1120*0.2</f>
        <v>9746</v>
      </c>
      <c r="J1120" s="13" t="str">
        <f>TEXT(' car_sales_data 1'!$A1120,"mmmm")</f>
        <v>December</v>
      </c>
      <c r="K1120" s="13" t="str">
        <f>IF(' car_sales_data 1'!$G1120&gt;40000,"Premium",
 IF(' car_sales_data 1'!$G1120&gt;=20000,"Mid Range","Budget"))</f>
        <v>Premium</v>
      </c>
      <c r="L1120" s="13">
        <f>YEAR(TODAY())-' car_sales_data 1'!$F1120</f>
        <v>4</v>
      </c>
    </row>
    <row r="1121" ht="15.75" customHeight="1">
      <c r="A1121" s="16">
        <v>44848.0</v>
      </c>
      <c r="B1121" s="13" t="s">
        <v>2256</v>
      </c>
      <c r="C1121" s="13" t="s">
        <v>2257</v>
      </c>
      <c r="D1121" s="13" t="s">
        <v>12</v>
      </c>
      <c r="E1121" s="13" t="s">
        <v>62</v>
      </c>
      <c r="F1121" s="13">
        <v>2016.0</v>
      </c>
      <c r="G1121" s="13">
        <v>20817.0</v>
      </c>
      <c r="H1121" s="13">
        <v>2564.64</v>
      </c>
      <c r="I1121" s="13">
        <f>' car_sales_data 1'!$G1121*0.2</f>
        <v>4163.4</v>
      </c>
      <c r="J1121" s="13" t="str">
        <f>TEXT(' car_sales_data 1'!$A1121,"mmmm")</f>
        <v>October</v>
      </c>
      <c r="K1121" s="13" t="str">
        <f>IF(' car_sales_data 1'!$G1121&gt;40000,"Premium",
 IF(' car_sales_data 1'!$G1121&gt;=20000,"Mid Range","Budget"))</f>
        <v>Mid Range</v>
      </c>
      <c r="L1121" s="13">
        <f>YEAR(TODAY())-' car_sales_data 1'!$F1121</f>
        <v>9</v>
      </c>
    </row>
    <row r="1122" ht="15.75" customHeight="1">
      <c r="A1122" s="16">
        <v>44780.0</v>
      </c>
      <c r="B1122" s="13" t="s">
        <v>2258</v>
      </c>
      <c r="C1122" s="13" t="s">
        <v>2259</v>
      </c>
      <c r="D1122" s="13" t="s">
        <v>10</v>
      </c>
      <c r="E1122" s="13" t="s">
        <v>70</v>
      </c>
      <c r="F1122" s="13">
        <v>2010.0</v>
      </c>
      <c r="G1122" s="13">
        <v>21475.0</v>
      </c>
      <c r="H1122" s="13">
        <v>2219.11</v>
      </c>
      <c r="I1122" s="13">
        <f>' car_sales_data 1'!$G1122*0.2</f>
        <v>4295</v>
      </c>
      <c r="J1122" s="13" t="str">
        <f>TEXT(' car_sales_data 1'!$A1122,"mmmm")</f>
        <v>August</v>
      </c>
      <c r="K1122" s="13" t="str">
        <f>IF(' car_sales_data 1'!$G1122&gt;40000,"Premium",
 IF(' car_sales_data 1'!$G1122&gt;=20000,"Mid Range","Budget"))</f>
        <v>Mid Range</v>
      </c>
      <c r="L1122" s="13">
        <f>YEAR(TODAY())-' car_sales_data 1'!$F1122</f>
        <v>15</v>
      </c>
    </row>
    <row r="1123" ht="15.75" customHeight="1">
      <c r="A1123" s="16">
        <v>44790.0</v>
      </c>
      <c r="B1123" s="13" t="s">
        <v>2260</v>
      </c>
      <c r="C1123" s="13" t="s">
        <v>2261</v>
      </c>
      <c r="D1123" s="13" t="s">
        <v>12</v>
      </c>
      <c r="E1123" s="13" t="s">
        <v>62</v>
      </c>
      <c r="F1123" s="13">
        <v>2020.0</v>
      </c>
      <c r="G1123" s="13">
        <v>28060.0</v>
      </c>
      <c r="H1123" s="13">
        <v>3933.33</v>
      </c>
      <c r="I1123" s="13">
        <f>' car_sales_data 1'!$G1123*0.2</f>
        <v>5612</v>
      </c>
      <c r="J1123" s="13" t="str">
        <f>TEXT(' car_sales_data 1'!$A1123,"mmmm")</f>
        <v>August</v>
      </c>
      <c r="K1123" s="13" t="str">
        <f>IF(' car_sales_data 1'!$G1123&gt;40000,"Premium",
 IF(' car_sales_data 1'!$G1123&gt;=20000,"Mid Range","Budget"))</f>
        <v>Mid Range</v>
      </c>
      <c r="L1123" s="13">
        <f>YEAR(TODAY())-' car_sales_data 1'!$F1123</f>
        <v>5</v>
      </c>
    </row>
    <row r="1124" ht="15.75" customHeight="1">
      <c r="A1124" s="16">
        <v>44915.0</v>
      </c>
      <c r="B1124" s="13" t="s">
        <v>2262</v>
      </c>
      <c r="C1124" s="13" t="s">
        <v>2263</v>
      </c>
      <c r="D1124" s="13" t="s">
        <v>6</v>
      </c>
      <c r="E1124" s="13" t="s">
        <v>54</v>
      </c>
      <c r="F1124" s="13">
        <v>2016.0</v>
      </c>
      <c r="G1124" s="13">
        <v>23356.0</v>
      </c>
      <c r="H1124" s="13">
        <v>2473.69</v>
      </c>
      <c r="I1124" s="13">
        <f>' car_sales_data 1'!$G1124*0.2</f>
        <v>4671.2</v>
      </c>
      <c r="J1124" s="13" t="str">
        <f>TEXT(' car_sales_data 1'!$A1124,"mmmm")</f>
        <v>December</v>
      </c>
      <c r="K1124" s="13" t="str">
        <f>IF(' car_sales_data 1'!$G1124&gt;40000,"Premium",
 IF(' car_sales_data 1'!$G1124&gt;=20000,"Mid Range","Budget"))</f>
        <v>Mid Range</v>
      </c>
      <c r="L1124" s="13">
        <f>YEAR(TODAY())-' car_sales_data 1'!$F1124</f>
        <v>9</v>
      </c>
    </row>
    <row r="1125" ht="15.75" customHeight="1">
      <c r="A1125" s="16">
        <v>44967.0</v>
      </c>
      <c r="B1125" s="13" t="s">
        <v>2264</v>
      </c>
      <c r="C1125" s="13" t="s">
        <v>2265</v>
      </c>
      <c r="D1125" s="13" t="s">
        <v>14</v>
      </c>
      <c r="E1125" s="13" t="s">
        <v>54</v>
      </c>
      <c r="F1125" s="13">
        <v>2022.0</v>
      </c>
      <c r="G1125" s="13">
        <v>21901.0</v>
      </c>
      <c r="H1125" s="13">
        <v>1865.25</v>
      </c>
      <c r="I1125" s="13">
        <f>' car_sales_data 1'!$G1125*0.2</f>
        <v>4380.2</v>
      </c>
      <c r="J1125" s="13" t="str">
        <f>TEXT(' car_sales_data 1'!$A1125,"mmmm")</f>
        <v>February</v>
      </c>
      <c r="K1125" s="13" t="str">
        <f>IF(' car_sales_data 1'!$G1125&gt;40000,"Premium",
 IF(' car_sales_data 1'!$G1125&gt;=20000,"Mid Range","Budget"))</f>
        <v>Mid Range</v>
      </c>
      <c r="L1125" s="13">
        <f>YEAR(TODAY())-' car_sales_data 1'!$F1125</f>
        <v>3</v>
      </c>
    </row>
    <row r="1126" ht="15.75" customHeight="1">
      <c r="A1126" s="16">
        <v>44954.0</v>
      </c>
      <c r="B1126" s="13" t="s">
        <v>2266</v>
      </c>
      <c r="C1126" s="13" t="s">
        <v>2267</v>
      </c>
      <c r="D1126" s="13" t="s">
        <v>6</v>
      </c>
      <c r="E1126" s="13" t="s">
        <v>54</v>
      </c>
      <c r="F1126" s="13">
        <v>2019.0</v>
      </c>
      <c r="G1126" s="13">
        <v>43573.0</v>
      </c>
      <c r="H1126" s="13">
        <v>3854.26</v>
      </c>
      <c r="I1126" s="13">
        <f>' car_sales_data 1'!$G1126*0.2</f>
        <v>8714.6</v>
      </c>
      <c r="J1126" s="13" t="str">
        <f>TEXT(' car_sales_data 1'!$A1126,"mmmm")</f>
        <v>January</v>
      </c>
      <c r="K1126" s="13" t="str">
        <f>IF(' car_sales_data 1'!$G1126&gt;40000,"Premium",
 IF(' car_sales_data 1'!$G1126&gt;=20000,"Mid Range","Budget"))</f>
        <v>Premium</v>
      </c>
      <c r="L1126" s="13">
        <f>YEAR(TODAY())-' car_sales_data 1'!$F1126</f>
        <v>6</v>
      </c>
    </row>
    <row r="1127" ht="15.75" customHeight="1">
      <c r="A1127" s="16">
        <v>44891.0</v>
      </c>
      <c r="B1127" s="13" t="s">
        <v>2268</v>
      </c>
      <c r="C1127" s="13" t="s">
        <v>2269</v>
      </c>
      <c r="D1127" s="13" t="s">
        <v>6</v>
      </c>
      <c r="E1127" s="13" t="s">
        <v>62</v>
      </c>
      <c r="F1127" s="13">
        <v>2016.0</v>
      </c>
      <c r="G1127" s="13">
        <v>25706.0</v>
      </c>
      <c r="H1127" s="13">
        <v>3318.08</v>
      </c>
      <c r="I1127" s="13">
        <f>' car_sales_data 1'!$G1127*0.2</f>
        <v>5141.2</v>
      </c>
      <c r="J1127" s="13" t="str">
        <f>TEXT(' car_sales_data 1'!$A1127,"mmmm")</f>
        <v>November</v>
      </c>
      <c r="K1127" s="13" t="str">
        <f>IF(' car_sales_data 1'!$G1127&gt;40000,"Premium",
 IF(' car_sales_data 1'!$G1127&gt;=20000,"Mid Range","Budget"))</f>
        <v>Mid Range</v>
      </c>
      <c r="L1127" s="13">
        <f>YEAR(TODAY())-' car_sales_data 1'!$F1127</f>
        <v>9</v>
      </c>
    </row>
    <row r="1128" ht="15.75" customHeight="1">
      <c r="A1128" s="16">
        <v>44765.0</v>
      </c>
      <c r="B1128" s="13" t="s">
        <v>2270</v>
      </c>
      <c r="C1128" s="13" t="s">
        <v>2271</v>
      </c>
      <c r="D1128" s="13" t="s">
        <v>8</v>
      </c>
      <c r="E1128" s="13" t="s">
        <v>51</v>
      </c>
      <c r="F1128" s="13">
        <v>2021.0</v>
      </c>
      <c r="G1128" s="13">
        <v>36443.0</v>
      </c>
      <c r="H1128" s="13">
        <v>5226.21</v>
      </c>
      <c r="I1128" s="13">
        <f>' car_sales_data 1'!$G1128*0.2</f>
        <v>7288.6</v>
      </c>
      <c r="J1128" s="13" t="str">
        <f>TEXT(' car_sales_data 1'!$A1128,"mmmm")</f>
        <v>July</v>
      </c>
      <c r="K1128" s="13" t="str">
        <f>IF(' car_sales_data 1'!$G1128&gt;40000,"Premium",
 IF(' car_sales_data 1'!$G1128&gt;=20000,"Mid Range","Budget"))</f>
        <v>Mid Range</v>
      </c>
      <c r="L1128" s="13">
        <f>YEAR(TODAY())-' car_sales_data 1'!$F1128</f>
        <v>4</v>
      </c>
    </row>
    <row r="1129" ht="15.75" customHeight="1">
      <c r="A1129" s="16">
        <v>45032.0</v>
      </c>
      <c r="B1129" s="13" t="s">
        <v>2272</v>
      </c>
      <c r="C1129" s="13" t="s">
        <v>2273</v>
      </c>
      <c r="D1129" s="13" t="s">
        <v>8</v>
      </c>
      <c r="E1129" s="13" t="s">
        <v>54</v>
      </c>
      <c r="F1129" s="13">
        <v>2020.0</v>
      </c>
      <c r="G1129" s="13">
        <v>13934.0</v>
      </c>
      <c r="H1129" s="13">
        <v>795.45</v>
      </c>
      <c r="I1129" s="13">
        <f>' car_sales_data 1'!$G1129*0.2</f>
        <v>2786.8</v>
      </c>
      <c r="J1129" s="13" t="str">
        <f>TEXT(' car_sales_data 1'!$A1129,"mmmm")</f>
        <v>April</v>
      </c>
      <c r="K1129" s="13" t="str">
        <f>IF(' car_sales_data 1'!$G1129&gt;40000,"Premium",
 IF(' car_sales_data 1'!$G1129&gt;=20000,"Mid Range","Budget"))</f>
        <v>Budget</v>
      </c>
      <c r="L1129" s="13">
        <f>YEAR(TODAY())-' car_sales_data 1'!$F1129</f>
        <v>5</v>
      </c>
    </row>
    <row r="1130" ht="15.75" customHeight="1">
      <c r="A1130" s="16">
        <v>44981.0</v>
      </c>
      <c r="B1130" s="13" t="s">
        <v>2274</v>
      </c>
      <c r="C1130" s="13" t="s">
        <v>2275</v>
      </c>
      <c r="D1130" s="13" t="s">
        <v>12</v>
      </c>
      <c r="E1130" s="13" t="s">
        <v>57</v>
      </c>
      <c r="F1130" s="13">
        <v>2010.0</v>
      </c>
      <c r="G1130" s="13">
        <v>12478.0</v>
      </c>
      <c r="H1130" s="13">
        <v>1519.6</v>
      </c>
      <c r="I1130" s="13">
        <f>' car_sales_data 1'!$G1130*0.2</f>
        <v>2495.6</v>
      </c>
      <c r="J1130" s="13" t="str">
        <f>TEXT(' car_sales_data 1'!$A1130,"mmmm")</f>
        <v>February</v>
      </c>
      <c r="K1130" s="13" t="str">
        <f>IF(' car_sales_data 1'!$G1130&gt;40000,"Premium",
 IF(' car_sales_data 1'!$G1130&gt;=20000,"Mid Range","Budget"))</f>
        <v>Budget</v>
      </c>
      <c r="L1130" s="13">
        <f>YEAR(TODAY())-' car_sales_data 1'!$F1130</f>
        <v>15</v>
      </c>
    </row>
    <row r="1131" ht="15.75" customHeight="1">
      <c r="A1131" s="16">
        <v>44806.0</v>
      </c>
      <c r="B1131" s="13" t="s">
        <v>2276</v>
      </c>
      <c r="C1131" s="13" t="s">
        <v>2277</v>
      </c>
      <c r="D1131" s="13" t="s">
        <v>6</v>
      </c>
      <c r="E1131" s="13" t="s">
        <v>70</v>
      </c>
      <c r="F1131" s="13">
        <v>2022.0</v>
      </c>
      <c r="G1131" s="13">
        <v>44978.0</v>
      </c>
      <c r="H1131" s="13">
        <v>5073.51</v>
      </c>
      <c r="I1131" s="13">
        <f>' car_sales_data 1'!$G1131*0.2</f>
        <v>8995.6</v>
      </c>
      <c r="J1131" s="13" t="str">
        <f>TEXT(' car_sales_data 1'!$A1131,"mmmm")</f>
        <v>September</v>
      </c>
      <c r="K1131" s="13" t="str">
        <f>IF(' car_sales_data 1'!$G1131&gt;40000,"Premium",
 IF(' car_sales_data 1'!$G1131&gt;=20000,"Mid Range","Budget"))</f>
        <v>Premium</v>
      </c>
      <c r="L1131" s="13">
        <f>YEAR(TODAY())-' car_sales_data 1'!$F1131</f>
        <v>3</v>
      </c>
    </row>
    <row r="1132" ht="15.75" customHeight="1">
      <c r="A1132" s="16">
        <v>44970.0</v>
      </c>
      <c r="B1132" s="13" t="s">
        <v>2278</v>
      </c>
      <c r="C1132" s="13" t="s">
        <v>2279</v>
      </c>
      <c r="D1132" s="13" t="s">
        <v>10</v>
      </c>
      <c r="E1132" s="13" t="s">
        <v>51</v>
      </c>
      <c r="F1132" s="13">
        <v>2012.0</v>
      </c>
      <c r="G1132" s="13">
        <v>41933.0</v>
      </c>
      <c r="H1132" s="13">
        <v>3353.6</v>
      </c>
      <c r="I1132" s="13">
        <f>' car_sales_data 1'!$G1132*0.2</f>
        <v>8386.6</v>
      </c>
      <c r="J1132" s="13" t="str">
        <f>TEXT(' car_sales_data 1'!$A1132,"mmmm")</f>
        <v>February</v>
      </c>
      <c r="K1132" s="13" t="str">
        <f>IF(' car_sales_data 1'!$G1132&gt;40000,"Premium",
 IF(' car_sales_data 1'!$G1132&gt;=20000,"Mid Range","Budget"))</f>
        <v>Premium</v>
      </c>
      <c r="L1132" s="13">
        <f>YEAR(TODAY())-' car_sales_data 1'!$F1132</f>
        <v>13</v>
      </c>
    </row>
    <row r="1133" ht="15.75" customHeight="1">
      <c r="A1133" s="16">
        <v>44844.0</v>
      </c>
      <c r="B1133" s="13" t="s">
        <v>2280</v>
      </c>
      <c r="C1133" s="13" t="s">
        <v>2281</v>
      </c>
      <c r="D1133" s="13" t="s">
        <v>6</v>
      </c>
      <c r="E1133" s="13" t="s">
        <v>70</v>
      </c>
      <c r="F1133" s="13">
        <v>2016.0</v>
      </c>
      <c r="G1133" s="13">
        <v>44158.0</v>
      </c>
      <c r="H1133" s="13">
        <v>4917.67</v>
      </c>
      <c r="I1133" s="13">
        <f>' car_sales_data 1'!$G1133*0.2</f>
        <v>8831.6</v>
      </c>
      <c r="J1133" s="13" t="str">
        <f>TEXT(' car_sales_data 1'!$A1133,"mmmm")</f>
        <v>October</v>
      </c>
      <c r="K1133" s="13" t="str">
        <f>IF(' car_sales_data 1'!$G1133&gt;40000,"Premium",
 IF(' car_sales_data 1'!$G1133&gt;=20000,"Mid Range","Budget"))</f>
        <v>Premium</v>
      </c>
      <c r="L1133" s="13">
        <f>YEAR(TODAY())-' car_sales_data 1'!$F1133</f>
        <v>9</v>
      </c>
    </row>
    <row r="1134" ht="15.75" customHeight="1">
      <c r="A1134" s="16">
        <v>44848.0</v>
      </c>
      <c r="B1134" s="13" t="s">
        <v>2282</v>
      </c>
      <c r="C1134" s="13" t="s">
        <v>2283</v>
      </c>
      <c r="D1134" s="13" t="s">
        <v>10</v>
      </c>
      <c r="E1134" s="13" t="s">
        <v>57</v>
      </c>
      <c r="F1134" s="13">
        <v>2013.0</v>
      </c>
      <c r="G1134" s="13">
        <v>32857.0</v>
      </c>
      <c r="H1134" s="13">
        <v>3684.74</v>
      </c>
      <c r="I1134" s="13">
        <f>' car_sales_data 1'!$G1134*0.2</f>
        <v>6571.4</v>
      </c>
      <c r="J1134" s="13" t="str">
        <f>TEXT(' car_sales_data 1'!$A1134,"mmmm")</f>
        <v>October</v>
      </c>
      <c r="K1134" s="13" t="str">
        <f>IF(' car_sales_data 1'!$G1134&gt;40000,"Premium",
 IF(' car_sales_data 1'!$G1134&gt;=20000,"Mid Range","Budget"))</f>
        <v>Mid Range</v>
      </c>
      <c r="L1134" s="13">
        <f>YEAR(TODAY())-' car_sales_data 1'!$F1134</f>
        <v>12</v>
      </c>
    </row>
    <row r="1135" ht="15.75" customHeight="1">
      <c r="A1135" s="16">
        <v>44892.0</v>
      </c>
      <c r="B1135" s="13" t="s">
        <v>2284</v>
      </c>
      <c r="C1135" s="13" t="s">
        <v>2285</v>
      </c>
      <c r="D1135" s="13" t="s">
        <v>6</v>
      </c>
      <c r="E1135" s="13" t="s">
        <v>54</v>
      </c>
      <c r="F1135" s="13">
        <v>2022.0</v>
      </c>
      <c r="G1135" s="13">
        <v>38909.0</v>
      </c>
      <c r="H1135" s="13">
        <v>3769.66</v>
      </c>
      <c r="I1135" s="13">
        <f>' car_sales_data 1'!$G1135*0.2</f>
        <v>7781.8</v>
      </c>
      <c r="J1135" s="13" t="str">
        <f>TEXT(' car_sales_data 1'!$A1135,"mmmm")</f>
        <v>November</v>
      </c>
      <c r="K1135" s="13" t="str">
        <f>IF(' car_sales_data 1'!$G1135&gt;40000,"Premium",
 IF(' car_sales_data 1'!$G1135&gt;=20000,"Mid Range","Budget"))</f>
        <v>Mid Range</v>
      </c>
      <c r="L1135" s="13">
        <f>YEAR(TODAY())-' car_sales_data 1'!$F1135</f>
        <v>3</v>
      </c>
    </row>
    <row r="1136" ht="15.75" customHeight="1">
      <c r="A1136" s="16">
        <v>45046.0</v>
      </c>
      <c r="B1136" s="13" t="s">
        <v>2286</v>
      </c>
      <c r="C1136" s="13" t="s">
        <v>2287</v>
      </c>
      <c r="D1136" s="13" t="s">
        <v>14</v>
      </c>
      <c r="E1136" s="13" t="s">
        <v>51</v>
      </c>
      <c r="F1136" s="13">
        <v>2020.0</v>
      </c>
      <c r="G1136" s="13">
        <v>17231.0</v>
      </c>
      <c r="H1136" s="13">
        <v>1095.72</v>
      </c>
      <c r="I1136" s="13">
        <f>' car_sales_data 1'!$G1136*0.2</f>
        <v>3446.2</v>
      </c>
      <c r="J1136" s="13" t="str">
        <f>TEXT(' car_sales_data 1'!$A1136,"mmmm")</f>
        <v>April</v>
      </c>
      <c r="K1136" s="13" t="str">
        <f>IF(' car_sales_data 1'!$G1136&gt;40000,"Premium",
 IF(' car_sales_data 1'!$G1136&gt;=20000,"Mid Range","Budget"))</f>
        <v>Budget</v>
      </c>
      <c r="L1136" s="13">
        <f>YEAR(TODAY())-' car_sales_data 1'!$F1136</f>
        <v>5</v>
      </c>
    </row>
    <row r="1137" ht="15.75" customHeight="1">
      <c r="A1137" s="16">
        <v>44926.0</v>
      </c>
      <c r="B1137" s="13" t="s">
        <v>2288</v>
      </c>
      <c r="C1137" s="13" t="s">
        <v>2289</v>
      </c>
      <c r="D1137" s="13" t="s">
        <v>6</v>
      </c>
      <c r="E1137" s="13" t="s">
        <v>54</v>
      </c>
      <c r="F1137" s="13">
        <v>2015.0</v>
      </c>
      <c r="G1137" s="13">
        <v>34912.0</v>
      </c>
      <c r="H1137" s="13">
        <v>3206.22</v>
      </c>
      <c r="I1137" s="13">
        <f>' car_sales_data 1'!$G1137*0.2</f>
        <v>6982.4</v>
      </c>
      <c r="J1137" s="13" t="str">
        <f>TEXT(' car_sales_data 1'!$A1137,"mmmm")</f>
        <v>December</v>
      </c>
      <c r="K1137" s="13" t="str">
        <f>IF(' car_sales_data 1'!$G1137&gt;40000,"Premium",
 IF(' car_sales_data 1'!$G1137&gt;=20000,"Mid Range","Budget"))</f>
        <v>Mid Range</v>
      </c>
      <c r="L1137" s="13">
        <f>YEAR(TODAY())-' car_sales_data 1'!$F1137</f>
        <v>10</v>
      </c>
    </row>
    <row r="1138" ht="15.75" customHeight="1">
      <c r="A1138" s="16">
        <v>44871.0</v>
      </c>
      <c r="B1138" s="13" t="s">
        <v>2290</v>
      </c>
      <c r="C1138" s="13" t="s">
        <v>2291</v>
      </c>
      <c r="D1138" s="13" t="s">
        <v>12</v>
      </c>
      <c r="E1138" s="13" t="s">
        <v>54</v>
      </c>
      <c r="F1138" s="13">
        <v>2018.0</v>
      </c>
      <c r="G1138" s="13">
        <v>42975.0</v>
      </c>
      <c r="H1138" s="13">
        <v>2174.83</v>
      </c>
      <c r="I1138" s="13">
        <f>' car_sales_data 1'!$G1138*0.2</f>
        <v>8595</v>
      </c>
      <c r="J1138" s="13" t="str">
        <f>TEXT(' car_sales_data 1'!$A1138,"mmmm")</f>
        <v>November</v>
      </c>
      <c r="K1138" s="13" t="str">
        <f>IF(' car_sales_data 1'!$G1138&gt;40000,"Premium",
 IF(' car_sales_data 1'!$G1138&gt;=20000,"Mid Range","Budget"))</f>
        <v>Premium</v>
      </c>
      <c r="L1138" s="13">
        <f>YEAR(TODAY())-' car_sales_data 1'!$F1138</f>
        <v>7</v>
      </c>
    </row>
    <row r="1139" ht="15.75" customHeight="1">
      <c r="A1139" s="16">
        <v>44989.0</v>
      </c>
      <c r="B1139" s="13" t="s">
        <v>2292</v>
      </c>
      <c r="C1139" s="13" t="s">
        <v>2293</v>
      </c>
      <c r="D1139" s="13" t="s">
        <v>6</v>
      </c>
      <c r="E1139" s="13" t="s">
        <v>62</v>
      </c>
      <c r="F1139" s="13">
        <v>2012.0</v>
      </c>
      <c r="G1139" s="13">
        <v>33947.0</v>
      </c>
      <c r="H1139" s="13">
        <v>4816.62</v>
      </c>
      <c r="I1139" s="13">
        <f>' car_sales_data 1'!$G1139*0.2</f>
        <v>6789.4</v>
      </c>
      <c r="J1139" s="13" t="str">
        <f>TEXT(' car_sales_data 1'!$A1139,"mmmm")</f>
        <v>March</v>
      </c>
      <c r="K1139" s="13" t="str">
        <f>IF(' car_sales_data 1'!$G1139&gt;40000,"Premium",
 IF(' car_sales_data 1'!$G1139&gt;=20000,"Mid Range","Budget"))</f>
        <v>Mid Range</v>
      </c>
      <c r="L1139" s="13">
        <f>YEAR(TODAY())-' car_sales_data 1'!$F1139</f>
        <v>13</v>
      </c>
    </row>
    <row r="1140" ht="15.75" customHeight="1">
      <c r="A1140" s="16">
        <v>44754.0</v>
      </c>
      <c r="B1140" s="13" t="s">
        <v>2294</v>
      </c>
      <c r="C1140" s="13" t="s">
        <v>2295</v>
      </c>
      <c r="D1140" s="13" t="s">
        <v>12</v>
      </c>
      <c r="E1140" s="13" t="s">
        <v>57</v>
      </c>
      <c r="F1140" s="13">
        <v>2022.0</v>
      </c>
      <c r="G1140" s="13">
        <v>49471.0</v>
      </c>
      <c r="H1140" s="13">
        <v>3608.86</v>
      </c>
      <c r="I1140" s="13">
        <f>' car_sales_data 1'!$G1140*0.2</f>
        <v>9894.2</v>
      </c>
      <c r="J1140" s="13" t="str">
        <f>TEXT(' car_sales_data 1'!$A1140,"mmmm")</f>
        <v>July</v>
      </c>
      <c r="K1140" s="13" t="str">
        <f>IF(' car_sales_data 1'!$G1140&gt;40000,"Premium",
 IF(' car_sales_data 1'!$G1140&gt;=20000,"Mid Range","Budget"))</f>
        <v>Premium</v>
      </c>
      <c r="L1140" s="13">
        <f>YEAR(TODAY())-' car_sales_data 1'!$F1140</f>
        <v>3</v>
      </c>
    </row>
    <row r="1141" ht="15.75" customHeight="1">
      <c r="A1141" s="16">
        <v>44764.0</v>
      </c>
      <c r="B1141" s="13" t="s">
        <v>2296</v>
      </c>
      <c r="C1141" s="13" t="s">
        <v>2297</v>
      </c>
      <c r="D1141" s="13" t="s">
        <v>12</v>
      </c>
      <c r="E1141" s="13" t="s">
        <v>62</v>
      </c>
      <c r="F1141" s="13">
        <v>2010.0</v>
      </c>
      <c r="G1141" s="13">
        <v>11728.0</v>
      </c>
      <c r="H1141" s="13">
        <v>625.35</v>
      </c>
      <c r="I1141" s="13">
        <f>' car_sales_data 1'!$G1141*0.2</f>
        <v>2345.6</v>
      </c>
      <c r="J1141" s="13" t="str">
        <f>TEXT(' car_sales_data 1'!$A1141,"mmmm")</f>
        <v>July</v>
      </c>
      <c r="K1141" s="13" t="str">
        <f>IF(' car_sales_data 1'!$G1141&gt;40000,"Premium",
 IF(' car_sales_data 1'!$G1141&gt;=20000,"Mid Range","Budget"))</f>
        <v>Budget</v>
      </c>
      <c r="L1141" s="13">
        <f>YEAR(TODAY())-' car_sales_data 1'!$F1141</f>
        <v>15</v>
      </c>
    </row>
    <row r="1142" ht="15.75" customHeight="1">
      <c r="A1142" s="16">
        <v>44820.0</v>
      </c>
      <c r="B1142" s="13" t="s">
        <v>2298</v>
      </c>
      <c r="C1142" s="13" t="s">
        <v>2299</v>
      </c>
      <c r="D1142" s="13" t="s">
        <v>8</v>
      </c>
      <c r="E1142" s="13" t="s">
        <v>54</v>
      </c>
      <c r="F1142" s="13">
        <v>2012.0</v>
      </c>
      <c r="G1142" s="13">
        <v>40928.0</v>
      </c>
      <c r="H1142" s="13">
        <v>2220.18</v>
      </c>
      <c r="I1142" s="13">
        <f>' car_sales_data 1'!$G1142*0.2</f>
        <v>8185.6</v>
      </c>
      <c r="J1142" s="13" t="str">
        <f>TEXT(' car_sales_data 1'!$A1142,"mmmm")</f>
        <v>September</v>
      </c>
      <c r="K1142" s="13" t="str">
        <f>IF(' car_sales_data 1'!$G1142&gt;40000,"Premium",
 IF(' car_sales_data 1'!$G1142&gt;=20000,"Mid Range","Budget"))</f>
        <v>Premium</v>
      </c>
      <c r="L1142" s="13">
        <f>YEAR(TODAY())-' car_sales_data 1'!$F1142</f>
        <v>13</v>
      </c>
    </row>
    <row r="1143" ht="15.75" customHeight="1">
      <c r="A1143" s="16">
        <v>44764.0</v>
      </c>
      <c r="B1143" s="13" t="s">
        <v>2300</v>
      </c>
      <c r="C1143" s="13" t="s">
        <v>2301</v>
      </c>
      <c r="D1143" s="13" t="s">
        <v>12</v>
      </c>
      <c r="E1143" s="13" t="s">
        <v>57</v>
      </c>
      <c r="F1143" s="13">
        <v>2014.0</v>
      </c>
      <c r="G1143" s="13">
        <v>14877.0</v>
      </c>
      <c r="H1143" s="13">
        <v>1538.23</v>
      </c>
      <c r="I1143" s="13">
        <f>' car_sales_data 1'!$G1143*0.2</f>
        <v>2975.4</v>
      </c>
      <c r="J1143" s="13" t="str">
        <f>TEXT(' car_sales_data 1'!$A1143,"mmmm")</f>
        <v>July</v>
      </c>
      <c r="K1143" s="13" t="str">
        <f>IF(' car_sales_data 1'!$G1143&gt;40000,"Premium",
 IF(' car_sales_data 1'!$G1143&gt;=20000,"Mid Range","Budget"))</f>
        <v>Budget</v>
      </c>
      <c r="L1143" s="13">
        <f>YEAR(TODAY())-' car_sales_data 1'!$F1143</f>
        <v>11</v>
      </c>
    </row>
    <row r="1144" ht="15.75" customHeight="1">
      <c r="A1144" s="16">
        <v>44940.0</v>
      </c>
      <c r="B1144" s="13" t="s">
        <v>2302</v>
      </c>
      <c r="C1144" s="13" t="s">
        <v>2303</v>
      </c>
      <c r="D1144" s="13" t="s">
        <v>12</v>
      </c>
      <c r="E1144" s="13" t="s">
        <v>54</v>
      </c>
      <c r="F1144" s="13">
        <v>2015.0</v>
      </c>
      <c r="G1144" s="13">
        <v>37275.0</v>
      </c>
      <c r="H1144" s="13">
        <v>2902.18</v>
      </c>
      <c r="I1144" s="13">
        <f>' car_sales_data 1'!$G1144*0.2</f>
        <v>7455</v>
      </c>
      <c r="J1144" s="13" t="str">
        <f>TEXT(' car_sales_data 1'!$A1144,"mmmm")</f>
        <v>January</v>
      </c>
      <c r="K1144" s="13" t="str">
        <f>IF(' car_sales_data 1'!$G1144&gt;40000,"Premium",
 IF(' car_sales_data 1'!$G1144&gt;=20000,"Mid Range","Budget"))</f>
        <v>Mid Range</v>
      </c>
      <c r="L1144" s="13">
        <f>YEAR(TODAY())-' car_sales_data 1'!$F1144</f>
        <v>10</v>
      </c>
    </row>
    <row r="1145" ht="15.75" customHeight="1">
      <c r="A1145" s="16">
        <v>44698.0</v>
      </c>
      <c r="B1145" s="13" t="s">
        <v>2304</v>
      </c>
      <c r="C1145" s="13" t="s">
        <v>2305</v>
      </c>
      <c r="D1145" s="13" t="s">
        <v>8</v>
      </c>
      <c r="E1145" s="13" t="s">
        <v>51</v>
      </c>
      <c r="F1145" s="13">
        <v>2022.0</v>
      </c>
      <c r="G1145" s="13">
        <v>28143.0</v>
      </c>
      <c r="H1145" s="13">
        <v>3256.7</v>
      </c>
      <c r="I1145" s="13">
        <f>' car_sales_data 1'!$G1145*0.2</f>
        <v>5628.6</v>
      </c>
      <c r="J1145" s="13" t="str">
        <f>TEXT(' car_sales_data 1'!$A1145,"mmmm")</f>
        <v>May</v>
      </c>
      <c r="K1145" s="13" t="str">
        <f>IF(' car_sales_data 1'!$G1145&gt;40000,"Premium",
 IF(' car_sales_data 1'!$G1145&gt;=20000,"Mid Range","Budget"))</f>
        <v>Mid Range</v>
      </c>
      <c r="L1145" s="13">
        <f>YEAR(TODAY())-' car_sales_data 1'!$F1145</f>
        <v>3</v>
      </c>
    </row>
    <row r="1146" ht="15.75" customHeight="1">
      <c r="A1146" s="16">
        <v>44817.0</v>
      </c>
      <c r="B1146" s="13" t="s">
        <v>2306</v>
      </c>
      <c r="C1146" s="13" t="s">
        <v>2307</v>
      </c>
      <c r="D1146" s="13" t="s">
        <v>6</v>
      </c>
      <c r="E1146" s="13" t="s">
        <v>51</v>
      </c>
      <c r="F1146" s="13">
        <v>2013.0</v>
      </c>
      <c r="G1146" s="13">
        <v>41116.0</v>
      </c>
      <c r="H1146" s="13">
        <v>3870.75</v>
      </c>
      <c r="I1146" s="13">
        <f>' car_sales_data 1'!$G1146*0.2</f>
        <v>8223.2</v>
      </c>
      <c r="J1146" s="13" t="str">
        <f>TEXT(' car_sales_data 1'!$A1146,"mmmm")</f>
        <v>September</v>
      </c>
      <c r="K1146" s="13" t="str">
        <f>IF(' car_sales_data 1'!$G1146&gt;40000,"Premium",
 IF(' car_sales_data 1'!$G1146&gt;=20000,"Mid Range","Budget"))</f>
        <v>Premium</v>
      </c>
      <c r="L1146" s="13">
        <f>YEAR(TODAY())-' car_sales_data 1'!$F1146</f>
        <v>12</v>
      </c>
    </row>
    <row r="1147" ht="15.75" customHeight="1">
      <c r="A1147" s="16">
        <v>44810.0</v>
      </c>
      <c r="B1147" s="13" t="s">
        <v>2308</v>
      </c>
      <c r="C1147" s="13" t="s">
        <v>2309</v>
      </c>
      <c r="D1147" s="13" t="s">
        <v>14</v>
      </c>
      <c r="E1147" s="13" t="s">
        <v>70</v>
      </c>
      <c r="F1147" s="13">
        <v>2014.0</v>
      </c>
      <c r="G1147" s="13">
        <v>11999.0</v>
      </c>
      <c r="H1147" s="13">
        <v>1493.81</v>
      </c>
      <c r="I1147" s="13">
        <f>' car_sales_data 1'!$G1147*0.2</f>
        <v>2399.8</v>
      </c>
      <c r="J1147" s="13" t="str">
        <f>TEXT(' car_sales_data 1'!$A1147,"mmmm")</f>
        <v>September</v>
      </c>
      <c r="K1147" s="13" t="str">
        <f>IF(' car_sales_data 1'!$G1147&gt;40000,"Premium",
 IF(' car_sales_data 1'!$G1147&gt;=20000,"Mid Range","Budget"))</f>
        <v>Budget</v>
      </c>
      <c r="L1147" s="13">
        <f>YEAR(TODAY())-' car_sales_data 1'!$F1147</f>
        <v>11</v>
      </c>
    </row>
    <row r="1148" ht="15.75" customHeight="1">
      <c r="A1148" s="16">
        <v>44930.0</v>
      </c>
      <c r="B1148" s="13" t="s">
        <v>2310</v>
      </c>
      <c r="C1148" s="13" t="s">
        <v>2311</v>
      </c>
      <c r="D1148" s="13" t="s">
        <v>10</v>
      </c>
      <c r="E1148" s="13" t="s">
        <v>70</v>
      </c>
      <c r="F1148" s="13">
        <v>2019.0</v>
      </c>
      <c r="G1148" s="13">
        <v>23725.0</v>
      </c>
      <c r="H1148" s="13">
        <v>2639.02</v>
      </c>
      <c r="I1148" s="13">
        <f>' car_sales_data 1'!$G1148*0.2</f>
        <v>4745</v>
      </c>
      <c r="J1148" s="13" t="str">
        <f>TEXT(' car_sales_data 1'!$A1148,"mmmm")</f>
        <v>January</v>
      </c>
      <c r="K1148" s="13" t="str">
        <f>IF(' car_sales_data 1'!$G1148&gt;40000,"Premium",
 IF(' car_sales_data 1'!$G1148&gt;=20000,"Mid Range","Budget"))</f>
        <v>Mid Range</v>
      </c>
      <c r="L1148" s="13">
        <f>YEAR(TODAY())-' car_sales_data 1'!$F1148</f>
        <v>6</v>
      </c>
    </row>
    <row r="1149" ht="15.75" customHeight="1">
      <c r="A1149" s="16">
        <v>44798.0</v>
      </c>
      <c r="B1149" s="13" t="s">
        <v>2312</v>
      </c>
      <c r="C1149" s="13" t="s">
        <v>2313</v>
      </c>
      <c r="D1149" s="13" t="s">
        <v>8</v>
      </c>
      <c r="E1149" s="13" t="s">
        <v>62</v>
      </c>
      <c r="F1149" s="13">
        <v>2014.0</v>
      </c>
      <c r="G1149" s="13">
        <v>34514.0</v>
      </c>
      <c r="H1149" s="13">
        <v>1963.62</v>
      </c>
      <c r="I1149" s="13">
        <f>' car_sales_data 1'!$G1149*0.2</f>
        <v>6902.8</v>
      </c>
      <c r="J1149" s="13" t="str">
        <f>TEXT(' car_sales_data 1'!$A1149,"mmmm")</f>
        <v>August</v>
      </c>
      <c r="K1149" s="13" t="str">
        <f>IF(' car_sales_data 1'!$G1149&gt;40000,"Premium",
 IF(' car_sales_data 1'!$G1149&gt;=20000,"Mid Range","Budget"))</f>
        <v>Mid Range</v>
      </c>
      <c r="L1149" s="13">
        <f>YEAR(TODAY())-' car_sales_data 1'!$F1149</f>
        <v>11</v>
      </c>
    </row>
    <row r="1150" ht="15.75" customHeight="1">
      <c r="A1150" s="16">
        <v>44753.0</v>
      </c>
      <c r="B1150" s="13" t="s">
        <v>509</v>
      </c>
      <c r="C1150" s="13" t="s">
        <v>2314</v>
      </c>
      <c r="D1150" s="13" t="s">
        <v>12</v>
      </c>
      <c r="E1150" s="13" t="s">
        <v>70</v>
      </c>
      <c r="F1150" s="13">
        <v>2020.0</v>
      </c>
      <c r="G1150" s="13">
        <v>22474.0</v>
      </c>
      <c r="H1150" s="13">
        <v>1665.09</v>
      </c>
      <c r="I1150" s="13">
        <f>' car_sales_data 1'!$G1150*0.2</f>
        <v>4494.8</v>
      </c>
      <c r="J1150" s="13" t="str">
        <f>TEXT(' car_sales_data 1'!$A1150,"mmmm")</f>
        <v>July</v>
      </c>
      <c r="K1150" s="13" t="str">
        <f>IF(' car_sales_data 1'!$G1150&gt;40000,"Premium",
 IF(' car_sales_data 1'!$G1150&gt;=20000,"Mid Range","Budget"))</f>
        <v>Mid Range</v>
      </c>
      <c r="L1150" s="13">
        <f>YEAR(TODAY())-' car_sales_data 1'!$F1150</f>
        <v>5</v>
      </c>
    </row>
    <row r="1151" ht="15.75" customHeight="1">
      <c r="A1151" s="16">
        <v>44985.0</v>
      </c>
      <c r="B1151" s="13" t="s">
        <v>2315</v>
      </c>
      <c r="C1151" s="13" t="s">
        <v>2316</v>
      </c>
      <c r="D1151" s="13" t="s">
        <v>14</v>
      </c>
      <c r="E1151" s="13" t="s">
        <v>54</v>
      </c>
      <c r="F1151" s="13">
        <v>2021.0</v>
      </c>
      <c r="G1151" s="13">
        <v>12144.0</v>
      </c>
      <c r="H1151" s="13">
        <v>1185.0</v>
      </c>
      <c r="I1151" s="13">
        <f>' car_sales_data 1'!$G1151*0.2</f>
        <v>2428.8</v>
      </c>
      <c r="J1151" s="13" t="str">
        <f>TEXT(' car_sales_data 1'!$A1151,"mmmm")</f>
        <v>February</v>
      </c>
      <c r="K1151" s="13" t="str">
        <f>IF(' car_sales_data 1'!$G1151&gt;40000,"Premium",
 IF(' car_sales_data 1'!$G1151&gt;=20000,"Mid Range","Budget"))</f>
        <v>Budget</v>
      </c>
      <c r="L1151" s="13">
        <f>YEAR(TODAY())-' car_sales_data 1'!$F1151</f>
        <v>4</v>
      </c>
    </row>
    <row r="1152" ht="15.75" customHeight="1">
      <c r="A1152" s="16">
        <v>44945.0</v>
      </c>
      <c r="B1152" s="13" t="s">
        <v>2317</v>
      </c>
      <c r="C1152" s="13" t="s">
        <v>2318</v>
      </c>
      <c r="D1152" s="13" t="s">
        <v>12</v>
      </c>
      <c r="E1152" s="13" t="s">
        <v>51</v>
      </c>
      <c r="F1152" s="13">
        <v>2020.0</v>
      </c>
      <c r="G1152" s="13">
        <v>16418.0</v>
      </c>
      <c r="H1152" s="13">
        <v>1603.42</v>
      </c>
      <c r="I1152" s="13">
        <f>' car_sales_data 1'!$G1152*0.2</f>
        <v>3283.6</v>
      </c>
      <c r="J1152" s="13" t="str">
        <f>TEXT(' car_sales_data 1'!$A1152,"mmmm")</f>
        <v>January</v>
      </c>
      <c r="K1152" s="13" t="str">
        <f>IF(' car_sales_data 1'!$G1152&gt;40000,"Premium",
 IF(' car_sales_data 1'!$G1152&gt;=20000,"Mid Range","Budget"))</f>
        <v>Budget</v>
      </c>
      <c r="L1152" s="13">
        <f>YEAR(TODAY())-' car_sales_data 1'!$F1152</f>
        <v>5</v>
      </c>
    </row>
    <row r="1153" ht="15.75" customHeight="1">
      <c r="A1153" s="16">
        <v>44952.0</v>
      </c>
      <c r="B1153" s="13" t="s">
        <v>2319</v>
      </c>
      <c r="C1153" s="13" t="s">
        <v>2320</v>
      </c>
      <c r="D1153" s="13" t="s">
        <v>14</v>
      </c>
      <c r="E1153" s="13" t="s">
        <v>57</v>
      </c>
      <c r="F1153" s="13">
        <v>2020.0</v>
      </c>
      <c r="G1153" s="13">
        <v>13323.0</v>
      </c>
      <c r="H1153" s="13">
        <v>1439.44</v>
      </c>
      <c r="I1153" s="13">
        <f>' car_sales_data 1'!$G1153*0.2</f>
        <v>2664.6</v>
      </c>
      <c r="J1153" s="13" t="str">
        <f>TEXT(' car_sales_data 1'!$A1153,"mmmm")</f>
        <v>January</v>
      </c>
      <c r="K1153" s="13" t="str">
        <f>IF(' car_sales_data 1'!$G1153&gt;40000,"Premium",
 IF(' car_sales_data 1'!$G1153&gt;=20000,"Mid Range","Budget"))</f>
        <v>Budget</v>
      </c>
      <c r="L1153" s="13">
        <f>YEAR(TODAY())-' car_sales_data 1'!$F1153</f>
        <v>5</v>
      </c>
    </row>
    <row r="1154" ht="15.75" customHeight="1">
      <c r="A1154" s="16">
        <v>44742.0</v>
      </c>
      <c r="B1154" s="13" t="s">
        <v>2321</v>
      </c>
      <c r="C1154" s="13" t="s">
        <v>2322</v>
      </c>
      <c r="D1154" s="13" t="s">
        <v>10</v>
      </c>
      <c r="E1154" s="13" t="s">
        <v>57</v>
      </c>
      <c r="F1154" s="13">
        <v>2013.0</v>
      </c>
      <c r="G1154" s="13">
        <v>31386.0</v>
      </c>
      <c r="H1154" s="13">
        <v>4298.7</v>
      </c>
      <c r="I1154" s="13">
        <f>' car_sales_data 1'!$G1154*0.2</f>
        <v>6277.2</v>
      </c>
      <c r="J1154" s="13" t="str">
        <f>TEXT(' car_sales_data 1'!$A1154,"mmmm")</f>
        <v>June</v>
      </c>
      <c r="K1154" s="13" t="str">
        <f>IF(' car_sales_data 1'!$G1154&gt;40000,"Premium",
 IF(' car_sales_data 1'!$G1154&gt;=20000,"Mid Range","Budget"))</f>
        <v>Mid Range</v>
      </c>
      <c r="L1154" s="13">
        <f>YEAR(TODAY())-' car_sales_data 1'!$F1154</f>
        <v>12</v>
      </c>
    </row>
    <row r="1155" ht="15.75" customHeight="1">
      <c r="A1155" s="16">
        <v>44699.0</v>
      </c>
      <c r="B1155" s="13" t="s">
        <v>2323</v>
      </c>
      <c r="C1155" s="13" t="s">
        <v>2324</v>
      </c>
      <c r="D1155" s="13" t="s">
        <v>12</v>
      </c>
      <c r="E1155" s="13" t="s">
        <v>51</v>
      </c>
      <c r="F1155" s="13">
        <v>2011.0</v>
      </c>
      <c r="G1155" s="13">
        <v>10267.0</v>
      </c>
      <c r="H1155" s="13">
        <v>1318.45</v>
      </c>
      <c r="I1155" s="13">
        <f>' car_sales_data 1'!$G1155*0.2</f>
        <v>2053.4</v>
      </c>
      <c r="J1155" s="13" t="str">
        <f>TEXT(' car_sales_data 1'!$A1155,"mmmm")</f>
        <v>May</v>
      </c>
      <c r="K1155" s="13" t="str">
        <f>IF(' car_sales_data 1'!$G1155&gt;40000,"Premium",
 IF(' car_sales_data 1'!$G1155&gt;=20000,"Mid Range","Budget"))</f>
        <v>Budget</v>
      </c>
      <c r="L1155" s="13">
        <f>YEAR(TODAY())-' car_sales_data 1'!$F1155</f>
        <v>14</v>
      </c>
    </row>
    <row r="1156" ht="15.75" customHeight="1">
      <c r="A1156" s="16">
        <v>44739.0</v>
      </c>
      <c r="B1156" s="13" t="s">
        <v>2325</v>
      </c>
      <c r="C1156" s="13" t="s">
        <v>2326</v>
      </c>
      <c r="D1156" s="13" t="s">
        <v>12</v>
      </c>
      <c r="E1156" s="13" t="s">
        <v>57</v>
      </c>
      <c r="F1156" s="13">
        <v>2013.0</v>
      </c>
      <c r="G1156" s="13">
        <v>35492.0</v>
      </c>
      <c r="H1156" s="13">
        <v>4832.21</v>
      </c>
      <c r="I1156" s="13">
        <f>' car_sales_data 1'!$G1156*0.2</f>
        <v>7098.4</v>
      </c>
      <c r="J1156" s="13" t="str">
        <f>TEXT(' car_sales_data 1'!$A1156,"mmmm")</f>
        <v>June</v>
      </c>
      <c r="K1156" s="13" t="str">
        <f>IF(' car_sales_data 1'!$G1156&gt;40000,"Premium",
 IF(' car_sales_data 1'!$G1156&gt;=20000,"Mid Range","Budget"))</f>
        <v>Mid Range</v>
      </c>
      <c r="L1156" s="13">
        <f>YEAR(TODAY())-' car_sales_data 1'!$F1156</f>
        <v>12</v>
      </c>
    </row>
    <row r="1157" ht="15.75" customHeight="1">
      <c r="A1157" s="16">
        <v>44884.0</v>
      </c>
      <c r="B1157" s="13" t="s">
        <v>2327</v>
      </c>
      <c r="C1157" s="13" t="s">
        <v>2328</v>
      </c>
      <c r="D1157" s="13" t="s">
        <v>14</v>
      </c>
      <c r="E1157" s="13" t="s">
        <v>57</v>
      </c>
      <c r="F1157" s="13">
        <v>2011.0</v>
      </c>
      <c r="G1157" s="13">
        <v>14535.0</v>
      </c>
      <c r="H1157" s="13">
        <v>1316.16</v>
      </c>
      <c r="I1157" s="13">
        <f>' car_sales_data 1'!$G1157*0.2</f>
        <v>2907</v>
      </c>
      <c r="J1157" s="13" t="str">
        <f>TEXT(' car_sales_data 1'!$A1157,"mmmm")</f>
        <v>November</v>
      </c>
      <c r="K1157" s="13" t="str">
        <f>IF(' car_sales_data 1'!$G1157&gt;40000,"Premium",
 IF(' car_sales_data 1'!$G1157&gt;=20000,"Mid Range","Budget"))</f>
        <v>Budget</v>
      </c>
      <c r="L1157" s="13">
        <f>YEAR(TODAY())-' car_sales_data 1'!$F1157</f>
        <v>14</v>
      </c>
    </row>
    <row r="1158" ht="15.75" customHeight="1">
      <c r="A1158" s="16">
        <v>44891.0</v>
      </c>
      <c r="B1158" s="13" t="s">
        <v>2329</v>
      </c>
      <c r="C1158" s="13" t="s">
        <v>2330</v>
      </c>
      <c r="D1158" s="13" t="s">
        <v>14</v>
      </c>
      <c r="E1158" s="13" t="s">
        <v>62</v>
      </c>
      <c r="F1158" s="13">
        <v>2019.0</v>
      </c>
      <c r="G1158" s="13">
        <v>25426.0</v>
      </c>
      <c r="H1158" s="13">
        <v>3318.51</v>
      </c>
      <c r="I1158" s="13">
        <f>' car_sales_data 1'!$G1158*0.2</f>
        <v>5085.2</v>
      </c>
      <c r="J1158" s="13" t="str">
        <f>TEXT(' car_sales_data 1'!$A1158,"mmmm")</f>
        <v>November</v>
      </c>
      <c r="K1158" s="13" t="str">
        <f>IF(' car_sales_data 1'!$G1158&gt;40000,"Premium",
 IF(' car_sales_data 1'!$G1158&gt;=20000,"Mid Range","Budget"))</f>
        <v>Mid Range</v>
      </c>
      <c r="L1158" s="13">
        <f>YEAR(TODAY())-' car_sales_data 1'!$F1158</f>
        <v>6</v>
      </c>
    </row>
    <row r="1159" ht="15.75" customHeight="1">
      <c r="A1159" s="16">
        <v>45044.0</v>
      </c>
      <c r="B1159" s="13" t="s">
        <v>2331</v>
      </c>
      <c r="C1159" s="13" t="s">
        <v>2332</v>
      </c>
      <c r="D1159" s="13" t="s">
        <v>12</v>
      </c>
      <c r="E1159" s="13" t="s">
        <v>70</v>
      </c>
      <c r="F1159" s="13">
        <v>2017.0</v>
      </c>
      <c r="G1159" s="13">
        <v>13586.0</v>
      </c>
      <c r="H1159" s="13">
        <v>1019.92</v>
      </c>
      <c r="I1159" s="13">
        <f>' car_sales_data 1'!$G1159*0.2</f>
        <v>2717.2</v>
      </c>
      <c r="J1159" s="13" t="str">
        <f>TEXT(' car_sales_data 1'!$A1159,"mmmm")</f>
        <v>April</v>
      </c>
      <c r="K1159" s="13" t="str">
        <f>IF(' car_sales_data 1'!$G1159&gt;40000,"Premium",
 IF(' car_sales_data 1'!$G1159&gt;=20000,"Mid Range","Budget"))</f>
        <v>Budget</v>
      </c>
      <c r="L1159" s="13">
        <f>YEAR(TODAY())-' car_sales_data 1'!$F1159</f>
        <v>8</v>
      </c>
    </row>
    <row r="1160" ht="15.75" customHeight="1">
      <c r="A1160" s="16">
        <v>44733.0</v>
      </c>
      <c r="B1160" s="13" t="s">
        <v>2333</v>
      </c>
      <c r="C1160" s="13" t="s">
        <v>2334</v>
      </c>
      <c r="D1160" s="13" t="s">
        <v>8</v>
      </c>
      <c r="E1160" s="13" t="s">
        <v>54</v>
      </c>
      <c r="F1160" s="13">
        <v>2018.0</v>
      </c>
      <c r="G1160" s="13">
        <v>42214.0</v>
      </c>
      <c r="H1160" s="13">
        <v>4608.88</v>
      </c>
      <c r="I1160" s="13">
        <f>' car_sales_data 1'!$G1160*0.2</f>
        <v>8442.8</v>
      </c>
      <c r="J1160" s="13" t="str">
        <f>TEXT(' car_sales_data 1'!$A1160,"mmmm")</f>
        <v>June</v>
      </c>
      <c r="K1160" s="13" t="str">
        <f>IF(' car_sales_data 1'!$G1160&gt;40000,"Premium",
 IF(' car_sales_data 1'!$G1160&gt;=20000,"Mid Range","Budget"))</f>
        <v>Premium</v>
      </c>
      <c r="L1160" s="13">
        <f>YEAR(TODAY())-' car_sales_data 1'!$F1160</f>
        <v>7</v>
      </c>
    </row>
    <row r="1161" ht="15.75" customHeight="1">
      <c r="A1161" s="16">
        <v>44768.0</v>
      </c>
      <c r="B1161" s="13" t="s">
        <v>2335</v>
      </c>
      <c r="C1161" s="13" t="s">
        <v>2336</v>
      </c>
      <c r="D1161" s="13" t="s">
        <v>6</v>
      </c>
      <c r="E1161" s="13" t="s">
        <v>70</v>
      </c>
      <c r="F1161" s="13">
        <v>2017.0</v>
      </c>
      <c r="G1161" s="13">
        <v>45119.0</v>
      </c>
      <c r="H1161" s="13">
        <v>4933.53</v>
      </c>
      <c r="I1161" s="13">
        <f>' car_sales_data 1'!$G1161*0.2</f>
        <v>9023.8</v>
      </c>
      <c r="J1161" s="13" t="str">
        <f>TEXT(' car_sales_data 1'!$A1161,"mmmm")</f>
        <v>July</v>
      </c>
      <c r="K1161" s="13" t="str">
        <f>IF(' car_sales_data 1'!$G1161&gt;40000,"Premium",
 IF(' car_sales_data 1'!$G1161&gt;=20000,"Mid Range","Budget"))</f>
        <v>Premium</v>
      </c>
      <c r="L1161" s="13">
        <f>YEAR(TODAY())-' car_sales_data 1'!$F1161</f>
        <v>8</v>
      </c>
    </row>
    <row r="1162" ht="15.75" customHeight="1">
      <c r="A1162" s="16">
        <v>44726.0</v>
      </c>
      <c r="B1162" s="13" t="s">
        <v>2337</v>
      </c>
      <c r="C1162" s="13" t="s">
        <v>2338</v>
      </c>
      <c r="D1162" s="13" t="s">
        <v>6</v>
      </c>
      <c r="E1162" s="13" t="s">
        <v>54</v>
      </c>
      <c r="F1162" s="13">
        <v>2011.0</v>
      </c>
      <c r="G1162" s="13">
        <v>37053.0</v>
      </c>
      <c r="H1162" s="13">
        <v>4964.2</v>
      </c>
      <c r="I1162" s="13">
        <f>' car_sales_data 1'!$G1162*0.2</f>
        <v>7410.6</v>
      </c>
      <c r="J1162" s="13" t="str">
        <f>TEXT(' car_sales_data 1'!$A1162,"mmmm")</f>
        <v>June</v>
      </c>
      <c r="K1162" s="13" t="str">
        <f>IF(' car_sales_data 1'!$G1162&gt;40000,"Premium",
 IF(' car_sales_data 1'!$G1162&gt;=20000,"Mid Range","Budget"))</f>
        <v>Mid Range</v>
      </c>
      <c r="L1162" s="13">
        <f>YEAR(TODAY())-' car_sales_data 1'!$F1162</f>
        <v>14</v>
      </c>
    </row>
    <row r="1163" ht="15.75" customHeight="1">
      <c r="A1163" s="16">
        <v>44803.0</v>
      </c>
      <c r="B1163" s="13" t="s">
        <v>2339</v>
      </c>
      <c r="C1163" s="13" t="s">
        <v>2340</v>
      </c>
      <c r="D1163" s="13" t="s">
        <v>8</v>
      </c>
      <c r="E1163" s="13" t="s">
        <v>57</v>
      </c>
      <c r="F1163" s="13">
        <v>2011.0</v>
      </c>
      <c r="G1163" s="13">
        <v>15996.0</v>
      </c>
      <c r="H1163" s="13">
        <v>1395.35</v>
      </c>
      <c r="I1163" s="13">
        <f>' car_sales_data 1'!$G1163*0.2</f>
        <v>3199.2</v>
      </c>
      <c r="J1163" s="13" t="str">
        <f>TEXT(' car_sales_data 1'!$A1163,"mmmm")</f>
        <v>August</v>
      </c>
      <c r="K1163" s="13" t="str">
        <f>IF(' car_sales_data 1'!$G1163&gt;40000,"Premium",
 IF(' car_sales_data 1'!$G1163&gt;=20000,"Mid Range","Budget"))</f>
        <v>Budget</v>
      </c>
      <c r="L1163" s="13">
        <f>YEAR(TODAY())-' car_sales_data 1'!$F1163</f>
        <v>14</v>
      </c>
    </row>
    <row r="1164" ht="15.75" customHeight="1">
      <c r="A1164" s="16">
        <v>44979.0</v>
      </c>
      <c r="B1164" s="13" t="s">
        <v>2341</v>
      </c>
      <c r="C1164" s="13" t="s">
        <v>2342</v>
      </c>
      <c r="D1164" s="13" t="s">
        <v>12</v>
      </c>
      <c r="E1164" s="13" t="s">
        <v>51</v>
      </c>
      <c r="F1164" s="13">
        <v>2018.0</v>
      </c>
      <c r="G1164" s="13">
        <v>33511.0</v>
      </c>
      <c r="H1164" s="13">
        <v>3351.33</v>
      </c>
      <c r="I1164" s="13">
        <f>' car_sales_data 1'!$G1164*0.2</f>
        <v>6702.2</v>
      </c>
      <c r="J1164" s="13" t="str">
        <f>TEXT(' car_sales_data 1'!$A1164,"mmmm")</f>
        <v>February</v>
      </c>
      <c r="K1164" s="13" t="str">
        <f>IF(' car_sales_data 1'!$G1164&gt;40000,"Premium",
 IF(' car_sales_data 1'!$G1164&gt;=20000,"Mid Range","Budget"))</f>
        <v>Mid Range</v>
      </c>
      <c r="L1164" s="13">
        <f>YEAR(TODAY())-' car_sales_data 1'!$F1164</f>
        <v>7</v>
      </c>
    </row>
    <row r="1165" ht="15.75" customHeight="1">
      <c r="A1165" s="16">
        <v>45024.0</v>
      </c>
      <c r="B1165" s="13" t="s">
        <v>2343</v>
      </c>
      <c r="C1165" s="13" t="s">
        <v>2344</v>
      </c>
      <c r="D1165" s="13" t="s">
        <v>10</v>
      </c>
      <c r="E1165" s="13" t="s">
        <v>57</v>
      </c>
      <c r="F1165" s="13">
        <v>2014.0</v>
      </c>
      <c r="G1165" s="13">
        <v>30175.0</v>
      </c>
      <c r="H1165" s="13">
        <v>4421.89</v>
      </c>
      <c r="I1165" s="13">
        <f>' car_sales_data 1'!$G1165*0.2</f>
        <v>6035</v>
      </c>
      <c r="J1165" s="13" t="str">
        <f>TEXT(' car_sales_data 1'!$A1165,"mmmm")</f>
        <v>April</v>
      </c>
      <c r="K1165" s="13" t="str">
        <f>IF(' car_sales_data 1'!$G1165&gt;40000,"Premium",
 IF(' car_sales_data 1'!$G1165&gt;=20000,"Mid Range","Budget"))</f>
        <v>Mid Range</v>
      </c>
      <c r="L1165" s="13">
        <f>YEAR(TODAY())-' car_sales_data 1'!$F1165</f>
        <v>11</v>
      </c>
    </row>
    <row r="1166" ht="15.75" customHeight="1">
      <c r="A1166" s="16">
        <v>44793.0</v>
      </c>
      <c r="B1166" s="13" t="s">
        <v>2345</v>
      </c>
      <c r="C1166" s="13" t="s">
        <v>2346</v>
      </c>
      <c r="D1166" s="13" t="s">
        <v>14</v>
      </c>
      <c r="E1166" s="13" t="s">
        <v>62</v>
      </c>
      <c r="F1166" s="13">
        <v>2016.0</v>
      </c>
      <c r="G1166" s="13">
        <v>28693.0</v>
      </c>
      <c r="H1166" s="13">
        <v>4074.28</v>
      </c>
      <c r="I1166" s="13">
        <f>' car_sales_data 1'!$G1166*0.2</f>
        <v>5738.6</v>
      </c>
      <c r="J1166" s="13" t="str">
        <f>TEXT(' car_sales_data 1'!$A1166,"mmmm")</f>
        <v>August</v>
      </c>
      <c r="K1166" s="13" t="str">
        <f>IF(' car_sales_data 1'!$G1166&gt;40000,"Premium",
 IF(' car_sales_data 1'!$G1166&gt;=20000,"Mid Range","Budget"))</f>
        <v>Mid Range</v>
      </c>
      <c r="L1166" s="13">
        <f>YEAR(TODAY())-' car_sales_data 1'!$F1166</f>
        <v>9</v>
      </c>
    </row>
    <row r="1167" ht="15.75" customHeight="1">
      <c r="A1167" s="16">
        <v>44976.0</v>
      </c>
      <c r="B1167" s="13" t="s">
        <v>2347</v>
      </c>
      <c r="C1167" s="13" t="s">
        <v>2348</v>
      </c>
      <c r="D1167" s="13" t="s">
        <v>14</v>
      </c>
      <c r="E1167" s="13" t="s">
        <v>70</v>
      </c>
      <c r="F1167" s="13">
        <v>2011.0</v>
      </c>
      <c r="G1167" s="13">
        <v>48048.0</v>
      </c>
      <c r="H1167" s="13">
        <v>2859.89</v>
      </c>
      <c r="I1167" s="13">
        <f>' car_sales_data 1'!$G1167*0.2</f>
        <v>9609.6</v>
      </c>
      <c r="J1167" s="13" t="str">
        <f>TEXT(' car_sales_data 1'!$A1167,"mmmm")</f>
        <v>February</v>
      </c>
      <c r="K1167" s="13" t="str">
        <f>IF(' car_sales_data 1'!$G1167&gt;40000,"Premium",
 IF(' car_sales_data 1'!$G1167&gt;=20000,"Mid Range","Budget"))</f>
        <v>Premium</v>
      </c>
      <c r="L1167" s="13">
        <f>YEAR(TODAY())-' car_sales_data 1'!$F1167</f>
        <v>14</v>
      </c>
    </row>
    <row r="1168" ht="15.75" customHeight="1">
      <c r="A1168" s="16">
        <v>44751.0</v>
      </c>
      <c r="B1168" s="13" t="s">
        <v>2349</v>
      </c>
      <c r="C1168" s="13" t="s">
        <v>2350</v>
      </c>
      <c r="D1168" s="13" t="s">
        <v>14</v>
      </c>
      <c r="E1168" s="13" t="s">
        <v>62</v>
      </c>
      <c r="F1168" s="13">
        <v>2017.0</v>
      </c>
      <c r="G1168" s="13">
        <v>41061.0</v>
      </c>
      <c r="H1168" s="13">
        <v>4934.91</v>
      </c>
      <c r="I1168" s="13">
        <f>' car_sales_data 1'!$G1168*0.2</f>
        <v>8212.2</v>
      </c>
      <c r="J1168" s="13" t="str">
        <f>TEXT(' car_sales_data 1'!$A1168,"mmmm")</f>
        <v>July</v>
      </c>
      <c r="K1168" s="13" t="str">
        <f>IF(' car_sales_data 1'!$G1168&gt;40000,"Premium",
 IF(' car_sales_data 1'!$G1168&gt;=20000,"Mid Range","Budget"))</f>
        <v>Premium</v>
      </c>
      <c r="L1168" s="13">
        <f>YEAR(TODAY())-' car_sales_data 1'!$F1168</f>
        <v>8</v>
      </c>
    </row>
    <row r="1169" ht="15.75" customHeight="1">
      <c r="A1169" s="16">
        <v>44740.0</v>
      </c>
      <c r="B1169" s="13" t="s">
        <v>2351</v>
      </c>
      <c r="C1169" s="13" t="s">
        <v>2352</v>
      </c>
      <c r="D1169" s="13" t="s">
        <v>14</v>
      </c>
      <c r="E1169" s="13" t="s">
        <v>54</v>
      </c>
      <c r="F1169" s="13">
        <v>2014.0</v>
      </c>
      <c r="G1169" s="13">
        <v>32773.0</v>
      </c>
      <c r="H1169" s="13">
        <v>1775.35</v>
      </c>
      <c r="I1169" s="13">
        <f>' car_sales_data 1'!$G1169*0.2</f>
        <v>6554.6</v>
      </c>
      <c r="J1169" s="13" t="str">
        <f>TEXT(' car_sales_data 1'!$A1169,"mmmm")</f>
        <v>June</v>
      </c>
      <c r="K1169" s="13" t="str">
        <f>IF(' car_sales_data 1'!$G1169&gt;40000,"Premium",
 IF(' car_sales_data 1'!$G1169&gt;=20000,"Mid Range","Budget"))</f>
        <v>Mid Range</v>
      </c>
      <c r="L1169" s="13">
        <f>YEAR(TODAY())-' car_sales_data 1'!$F1169</f>
        <v>11</v>
      </c>
    </row>
    <row r="1170" ht="15.75" customHeight="1">
      <c r="A1170" s="16">
        <v>45019.0</v>
      </c>
      <c r="B1170" s="13" t="s">
        <v>2353</v>
      </c>
      <c r="C1170" s="13" t="s">
        <v>2354</v>
      </c>
      <c r="D1170" s="13" t="s">
        <v>12</v>
      </c>
      <c r="E1170" s="13" t="s">
        <v>62</v>
      </c>
      <c r="F1170" s="13">
        <v>2013.0</v>
      </c>
      <c r="G1170" s="13">
        <v>33794.0</v>
      </c>
      <c r="H1170" s="13">
        <v>4510.92</v>
      </c>
      <c r="I1170" s="13">
        <f>' car_sales_data 1'!$G1170*0.2</f>
        <v>6758.8</v>
      </c>
      <c r="J1170" s="13" t="str">
        <f>TEXT(' car_sales_data 1'!$A1170,"mmmm")</f>
        <v>April</v>
      </c>
      <c r="K1170" s="13" t="str">
        <f>IF(' car_sales_data 1'!$G1170&gt;40000,"Premium",
 IF(' car_sales_data 1'!$G1170&gt;=20000,"Mid Range","Budget"))</f>
        <v>Mid Range</v>
      </c>
      <c r="L1170" s="13">
        <f>YEAR(TODAY())-' car_sales_data 1'!$F1170</f>
        <v>12</v>
      </c>
    </row>
    <row r="1171" ht="15.75" customHeight="1">
      <c r="A1171" s="16">
        <v>44871.0</v>
      </c>
      <c r="B1171" s="13" t="s">
        <v>2355</v>
      </c>
      <c r="C1171" s="13" t="s">
        <v>2356</v>
      </c>
      <c r="D1171" s="13" t="s">
        <v>10</v>
      </c>
      <c r="E1171" s="13" t="s">
        <v>70</v>
      </c>
      <c r="F1171" s="13">
        <v>2021.0</v>
      </c>
      <c r="G1171" s="13">
        <v>22116.0</v>
      </c>
      <c r="H1171" s="13">
        <v>2611.5</v>
      </c>
      <c r="I1171" s="13">
        <f>' car_sales_data 1'!$G1171*0.2</f>
        <v>4423.2</v>
      </c>
      <c r="J1171" s="13" t="str">
        <f>TEXT(' car_sales_data 1'!$A1171,"mmmm")</f>
        <v>November</v>
      </c>
      <c r="K1171" s="13" t="str">
        <f>IF(' car_sales_data 1'!$G1171&gt;40000,"Premium",
 IF(' car_sales_data 1'!$G1171&gt;=20000,"Mid Range","Budget"))</f>
        <v>Mid Range</v>
      </c>
      <c r="L1171" s="13">
        <f>YEAR(TODAY())-' car_sales_data 1'!$F1171</f>
        <v>4</v>
      </c>
    </row>
    <row r="1172" ht="15.75" customHeight="1">
      <c r="A1172" s="16">
        <v>44973.0</v>
      </c>
      <c r="B1172" s="13" t="s">
        <v>2357</v>
      </c>
      <c r="C1172" s="13" t="s">
        <v>2358</v>
      </c>
      <c r="D1172" s="13" t="s">
        <v>12</v>
      </c>
      <c r="E1172" s="13" t="s">
        <v>51</v>
      </c>
      <c r="F1172" s="13">
        <v>2012.0</v>
      </c>
      <c r="G1172" s="13">
        <v>38952.0</v>
      </c>
      <c r="H1172" s="13">
        <v>5339.62</v>
      </c>
      <c r="I1172" s="13">
        <f>' car_sales_data 1'!$G1172*0.2</f>
        <v>7790.4</v>
      </c>
      <c r="J1172" s="13" t="str">
        <f>TEXT(' car_sales_data 1'!$A1172,"mmmm")</f>
        <v>February</v>
      </c>
      <c r="K1172" s="13" t="str">
        <f>IF(' car_sales_data 1'!$G1172&gt;40000,"Premium",
 IF(' car_sales_data 1'!$G1172&gt;=20000,"Mid Range","Budget"))</f>
        <v>Mid Range</v>
      </c>
      <c r="L1172" s="13">
        <f>YEAR(TODAY())-' car_sales_data 1'!$F1172</f>
        <v>13</v>
      </c>
    </row>
    <row r="1173" ht="15.75" customHeight="1">
      <c r="A1173" s="16">
        <v>44702.0</v>
      </c>
      <c r="B1173" s="13" t="s">
        <v>2359</v>
      </c>
      <c r="C1173" s="13" t="s">
        <v>2360</v>
      </c>
      <c r="D1173" s="13" t="s">
        <v>12</v>
      </c>
      <c r="E1173" s="13" t="s">
        <v>70</v>
      </c>
      <c r="F1173" s="13">
        <v>2010.0</v>
      </c>
      <c r="G1173" s="13">
        <v>15401.0</v>
      </c>
      <c r="H1173" s="13">
        <v>1160.03</v>
      </c>
      <c r="I1173" s="13">
        <f>' car_sales_data 1'!$G1173*0.2</f>
        <v>3080.2</v>
      </c>
      <c r="J1173" s="13" t="str">
        <f>TEXT(' car_sales_data 1'!$A1173,"mmmm")</f>
        <v>May</v>
      </c>
      <c r="K1173" s="13" t="str">
        <f>IF(' car_sales_data 1'!$G1173&gt;40000,"Premium",
 IF(' car_sales_data 1'!$G1173&gt;=20000,"Mid Range","Budget"))</f>
        <v>Budget</v>
      </c>
      <c r="L1173" s="13">
        <f>YEAR(TODAY())-' car_sales_data 1'!$F1173</f>
        <v>15</v>
      </c>
    </row>
    <row r="1174" ht="15.75" customHeight="1">
      <c r="A1174" s="16">
        <v>44824.0</v>
      </c>
      <c r="B1174" s="13" t="s">
        <v>2361</v>
      </c>
      <c r="C1174" s="13" t="s">
        <v>2362</v>
      </c>
      <c r="D1174" s="13" t="s">
        <v>12</v>
      </c>
      <c r="E1174" s="13" t="s">
        <v>70</v>
      </c>
      <c r="F1174" s="13">
        <v>2022.0</v>
      </c>
      <c r="G1174" s="13">
        <v>41816.0</v>
      </c>
      <c r="H1174" s="13">
        <v>4051.32</v>
      </c>
      <c r="I1174" s="13">
        <f>' car_sales_data 1'!$G1174*0.2</f>
        <v>8363.2</v>
      </c>
      <c r="J1174" s="13" t="str">
        <f>TEXT(' car_sales_data 1'!$A1174,"mmmm")</f>
        <v>September</v>
      </c>
      <c r="K1174" s="13" t="str">
        <f>IF(' car_sales_data 1'!$G1174&gt;40000,"Premium",
 IF(' car_sales_data 1'!$G1174&gt;=20000,"Mid Range","Budget"))</f>
        <v>Premium</v>
      </c>
      <c r="L1174" s="13">
        <f>YEAR(TODAY())-' car_sales_data 1'!$F1174</f>
        <v>3</v>
      </c>
    </row>
    <row r="1175" ht="15.75" customHeight="1">
      <c r="A1175" s="16">
        <v>44904.0</v>
      </c>
      <c r="B1175" s="13" t="s">
        <v>2363</v>
      </c>
      <c r="C1175" s="13" t="s">
        <v>2364</v>
      </c>
      <c r="D1175" s="13" t="s">
        <v>8</v>
      </c>
      <c r="E1175" s="13" t="s">
        <v>54</v>
      </c>
      <c r="F1175" s="13">
        <v>2019.0</v>
      </c>
      <c r="G1175" s="13">
        <v>33592.0</v>
      </c>
      <c r="H1175" s="13">
        <v>1911.88</v>
      </c>
      <c r="I1175" s="13">
        <f>' car_sales_data 1'!$G1175*0.2</f>
        <v>6718.4</v>
      </c>
      <c r="J1175" s="13" t="str">
        <f>TEXT(' car_sales_data 1'!$A1175,"mmmm")</f>
        <v>December</v>
      </c>
      <c r="K1175" s="13" t="str">
        <f>IF(' car_sales_data 1'!$G1175&gt;40000,"Premium",
 IF(' car_sales_data 1'!$G1175&gt;=20000,"Mid Range","Budget"))</f>
        <v>Mid Range</v>
      </c>
      <c r="L1175" s="13">
        <f>YEAR(TODAY())-' car_sales_data 1'!$F1175</f>
        <v>6</v>
      </c>
    </row>
    <row r="1176" ht="15.75" customHeight="1">
      <c r="A1176" s="16">
        <v>44738.0</v>
      </c>
      <c r="B1176" s="13" t="s">
        <v>2365</v>
      </c>
      <c r="C1176" s="13" t="s">
        <v>2366</v>
      </c>
      <c r="D1176" s="13" t="s">
        <v>10</v>
      </c>
      <c r="E1176" s="13" t="s">
        <v>62</v>
      </c>
      <c r="F1176" s="13">
        <v>2015.0</v>
      </c>
      <c r="G1176" s="13">
        <v>12960.0</v>
      </c>
      <c r="H1176" s="13">
        <v>1164.46</v>
      </c>
      <c r="I1176" s="13">
        <f>' car_sales_data 1'!$G1176*0.2</f>
        <v>2592</v>
      </c>
      <c r="J1176" s="13" t="str">
        <f>TEXT(' car_sales_data 1'!$A1176,"mmmm")</f>
        <v>June</v>
      </c>
      <c r="K1176" s="13" t="str">
        <f>IF(' car_sales_data 1'!$G1176&gt;40000,"Premium",
 IF(' car_sales_data 1'!$G1176&gt;=20000,"Mid Range","Budget"))</f>
        <v>Budget</v>
      </c>
      <c r="L1176" s="13">
        <f>YEAR(TODAY())-' car_sales_data 1'!$F1176</f>
        <v>10</v>
      </c>
    </row>
    <row r="1177" ht="15.75" customHeight="1">
      <c r="A1177" s="16">
        <v>44735.0</v>
      </c>
      <c r="B1177" s="13" t="s">
        <v>2367</v>
      </c>
      <c r="C1177" s="13" t="s">
        <v>2368</v>
      </c>
      <c r="D1177" s="13" t="s">
        <v>10</v>
      </c>
      <c r="E1177" s="13" t="s">
        <v>51</v>
      </c>
      <c r="F1177" s="13">
        <v>2012.0</v>
      </c>
      <c r="G1177" s="13">
        <v>49501.0</v>
      </c>
      <c r="H1177" s="13">
        <v>4270.66</v>
      </c>
      <c r="I1177" s="13">
        <f>' car_sales_data 1'!$G1177*0.2</f>
        <v>9900.2</v>
      </c>
      <c r="J1177" s="13" t="str">
        <f>TEXT(' car_sales_data 1'!$A1177,"mmmm")</f>
        <v>June</v>
      </c>
      <c r="K1177" s="13" t="str">
        <f>IF(' car_sales_data 1'!$G1177&gt;40000,"Premium",
 IF(' car_sales_data 1'!$G1177&gt;=20000,"Mid Range","Budget"))</f>
        <v>Premium</v>
      </c>
      <c r="L1177" s="13">
        <f>YEAR(TODAY())-' car_sales_data 1'!$F1177</f>
        <v>13</v>
      </c>
    </row>
    <row r="1178" ht="15.75" customHeight="1">
      <c r="A1178" s="16">
        <v>44817.0</v>
      </c>
      <c r="B1178" s="13" t="s">
        <v>2369</v>
      </c>
      <c r="C1178" s="13" t="s">
        <v>2370</v>
      </c>
      <c r="D1178" s="13" t="s">
        <v>14</v>
      </c>
      <c r="E1178" s="13" t="s">
        <v>62</v>
      </c>
      <c r="F1178" s="13">
        <v>2019.0</v>
      </c>
      <c r="G1178" s="13">
        <v>28943.0</v>
      </c>
      <c r="H1178" s="13">
        <v>2231.65</v>
      </c>
      <c r="I1178" s="13">
        <f>' car_sales_data 1'!$G1178*0.2</f>
        <v>5788.6</v>
      </c>
      <c r="J1178" s="13" t="str">
        <f>TEXT(' car_sales_data 1'!$A1178,"mmmm")</f>
        <v>September</v>
      </c>
      <c r="K1178" s="13" t="str">
        <f>IF(' car_sales_data 1'!$G1178&gt;40000,"Premium",
 IF(' car_sales_data 1'!$G1178&gt;=20000,"Mid Range","Budget"))</f>
        <v>Mid Range</v>
      </c>
      <c r="L1178" s="13">
        <f>YEAR(TODAY())-' car_sales_data 1'!$F1178</f>
        <v>6</v>
      </c>
    </row>
    <row r="1179" ht="15.75" customHeight="1">
      <c r="A1179" s="16">
        <v>44995.0</v>
      </c>
      <c r="B1179" s="13" t="s">
        <v>2371</v>
      </c>
      <c r="C1179" s="13" t="s">
        <v>2372</v>
      </c>
      <c r="D1179" s="13" t="s">
        <v>6</v>
      </c>
      <c r="E1179" s="13" t="s">
        <v>70</v>
      </c>
      <c r="F1179" s="13">
        <v>2016.0</v>
      </c>
      <c r="G1179" s="13">
        <v>47255.0</v>
      </c>
      <c r="H1179" s="13">
        <v>3404.6</v>
      </c>
      <c r="I1179" s="13">
        <f>' car_sales_data 1'!$G1179*0.2</f>
        <v>9451</v>
      </c>
      <c r="J1179" s="13" t="str">
        <f>TEXT(' car_sales_data 1'!$A1179,"mmmm")</f>
        <v>March</v>
      </c>
      <c r="K1179" s="13" t="str">
        <f>IF(' car_sales_data 1'!$G1179&gt;40000,"Premium",
 IF(' car_sales_data 1'!$G1179&gt;=20000,"Mid Range","Budget"))</f>
        <v>Premium</v>
      </c>
      <c r="L1179" s="13">
        <f>YEAR(TODAY())-' car_sales_data 1'!$F1179</f>
        <v>9</v>
      </c>
    </row>
    <row r="1180" ht="15.75" customHeight="1">
      <c r="A1180" s="16">
        <v>44780.0</v>
      </c>
      <c r="B1180" s="13" t="s">
        <v>2373</v>
      </c>
      <c r="C1180" s="13" t="s">
        <v>2374</v>
      </c>
      <c r="D1180" s="13" t="s">
        <v>6</v>
      </c>
      <c r="E1180" s="13" t="s">
        <v>54</v>
      </c>
      <c r="F1180" s="13">
        <v>2014.0</v>
      </c>
      <c r="G1180" s="13">
        <v>38150.0</v>
      </c>
      <c r="H1180" s="13">
        <v>5229.72</v>
      </c>
      <c r="I1180" s="13">
        <f>' car_sales_data 1'!$G1180*0.2</f>
        <v>7630</v>
      </c>
      <c r="J1180" s="13" t="str">
        <f>TEXT(' car_sales_data 1'!$A1180,"mmmm")</f>
        <v>August</v>
      </c>
      <c r="K1180" s="13" t="str">
        <f>IF(' car_sales_data 1'!$G1180&gt;40000,"Premium",
 IF(' car_sales_data 1'!$G1180&gt;=20000,"Mid Range","Budget"))</f>
        <v>Mid Range</v>
      </c>
      <c r="L1180" s="13">
        <f>YEAR(TODAY())-' car_sales_data 1'!$F1180</f>
        <v>11</v>
      </c>
    </row>
    <row r="1181" ht="15.75" customHeight="1">
      <c r="A1181" s="16">
        <v>44881.0</v>
      </c>
      <c r="B1181" s="13" t="s">
        <v>2375</v>
      </c>
      <c r="C1181" s="13" t="s">
        <v>2376</v>
      </c>
      <c r="D1181" s="13" t="s">
        <v>6</v>
      </c>
      <c r="E1181" s="13" t="s">
        <v>51</v>
      </c>
      <c r="F1181" s="13">
        <v>2011.0</v>
      </c>
      <c r="G1181" s="13">
        <v>16976.0</v>
      </c>
      <c r="H1181" s="13">
        <v>1606.44</v>
      </c>
      <c r="I1181" s="13">
        <f>' car_sales_data 1'!$G1181*0.2</f>
        <v>3395.2</v>
      </c>
      <c r="J1181" s="13" t="str">
        <f>TEXT(' car_sales_data 1'!$A1181,"mmmm")</f>
        <v>November</v>
      </c>
      <c r="K1181" s="13" t="str">
        <f>IF(' car_sales_data 1'!$G1181&gt;40000,"Premium",
 IF(' car_sales_data 1'!$G1181&gt;=20000,"Mid Range","Budget"))</f>
        <v>Budget</v>
      </c>
      <c r="L1181" s="13">
        <f>YEAR(TODAY())-' car_sales_data 1'!$F1181</f>
        <v>14</v>
      </c>
    </row>
    <row r="1182" ht="15.75" customHeight="1">
      <c r="A1182" s="16">
        <v>44993.0</v>
      </c>
      <c r="B1182" s="13" t="s">
        <v>2377</v>
      </c>
      <c r="C1182" s="13" t="s">
        <v>2378</v>
      </c>
      <c r="D1182" s="13" t="s">
        <v>10</v>
      </c>
      <c r="E1182" s="13" t="s">
        <v>70</v>
      </c>
      <c r="F1182" s="13">
        <v>2015.0</v>
      </c>
      <c r="G1182" s="13">
        <v>31481.0</v>
      </c>
      <c r="H1182" s="13">
        <v>4207.48</v>
      </c>
      <c r="I1182" s="13">
        <f>' car_sales_data 1'!$G1182*0.2</f>
        <v>6296.2</v>
      </c>
      <c r="J1182" s="13" t="str">
        <f>TEXT(' car_sales_data 1'!$A1182,"mmmm")</f>
        <v>March</v>
      </c>
      <c r="K1182" s="13" t="str">
        <f>IF(' car_sales_data 1'!$G1182&gt;40000,"Premium",
 IF(' car_sales_data 1'!$G1182&gt;=20000,"Mid Range","Budget"))</f>
        <v>Mid Range</v>
      </c>
      <c r="L1182" s="13">
        <f>YEAR(TODAY())-' car_sales_data 1'!$F1182</f>
        <v>10</v>
      </c>
    </row>
    <row r="1183" ht="15.75" customHeight="1">
      <c r="A1183" s="16">
        <v>44953.0</v>
      </c>
      <c r="B1183" s="13" t="s">
        <v>2379</v>
      </c>
      <c r="C1183" s="13" t="s">
        <v>2380</v>
      </c>
      <c r="D1183" s="13" t="s">
        <v>6</v>
      </c>
      <c r="E1183" s="13" t="s">
        <v>54</v>
      </c>
      <c r="F1183" s="13">
        <v>2015.0</v>
      </c>
      <c r="G1183" s="13">
        <v>36917.0</v>
      </c>
      <c r="H1183" s="13">
        <v>2613.62</v>
      </c>
      <c r="I1183" s="13">
        <f>' car_sales_data 1'!$G1183*0.2</f>
        <v>7383.4</v>
      </c>
      <c r="J1183" s="13" t="str">
        <f>TEXT(' car_sales_data 1'!$A1183,"mmmm")</f>
        <v>January</v>
      </c>
      <c r="K1183" s="13" t="str">
        <f>IF(' car_sales_data 1'!$G1183&gt;40000,"Premium",
 IF(' car_sales_data 1'!$G1183&gt;=20000,"Mid Range","Budget"))</f>
        <v>Mid Range</v>
      </c>
      <c r="L1183" s="13">
        <f>YEAR(TODAY())-' car_sales_data 1'!$F1183</f>
        <v>10</v>
      </c>
    </row>
    <row r="1184" ht="15.75" customHeight="1">
      <c r="A1184" s="16">
        <v>44833.0</v>
      </c>
      <c r="B1184" s="13" t="s">
        <v>2381</v>
      </c>
      <c r="C1184" s="13" t="s">
        <v>2002</v>
      </c>
      <c r="D1184" s="13" t="s">
        <v>14</v>
      </c>
      <c r="E1184" s="13" t="s">
        <v>62</v>
      </c>
      <c r="F1184" s="13">
        <v>2014.0</v>
      </c>
      <c r="G1184" s="13">
        <v>32660.0</v>
      </c>
      <c r="H1184" s="13">
        <v>4400.47</v>
      </c>
      <c r="I1184" s="13">
        <f>' car_sales_data 1'!$G1184*0.2</f>
        <v>6532</v>
      </c>
      <c r="J1184" s="13" t="str">
        <f>TEXT(' car_sales_data 1'!$A1184,"mmmm")</f>
        <v>September</v>
      </c>
      <c r="K1184" s="13" t="str">
        <f>IF(' car_sales_data 1'!$G1184&gt;40000,"Premium",
 IF(' car_sales_data 1'!$G1184&gt;=20000,"Mid Range","Budget"))</f>
        <v>Mid Range</v>
      </c>
      <c r="L1184" s="13">
        <f>YEAR(TODAY())-' car_sales_data 1'!$F1184</f>
        <v>11</v>
      </c>
    </row>
    <row r="1185" ht="15.75" customHeight="1">
      <c r="A1185" s="16">
        <v>44875.0</v>
      </c>
      <c r="B1185" s="13" t="s">
        <v>2382</v>
      </c>
      <c r="C1185" s="13" t="s">
        <v>2383</v>
      </c>
      <c r="D1185" s="13" t="s">
        <v>14</v>
      </c>
      <c r="E1185" s="13" t="s">
        <v>54</v>
      </c>
      <c r="F1185" s="13">
        <v>2015.0</v>
      </c>
      <c r="G1185" s="13">
        <v>28252.0</v>
      </c>
      <c r="H1185" s="13">
        <v>1472.93</v>
      </c>
      <c r="I1185" s="13">
        <f>' car_sales_data 1'!$G1185*0.2</f>
        <v>5650.4</v>
      </c>
      <c r="J1185" s="13" t="str">
        <f>TEXT(' car_sales_data 1'!$A1185,"mmmm")</f>
        <v>November</v>
      </c>
      <c r="K1185" s="13" t="str">
        <f>IF(' car_sales_data 1'!$G1185&gt;40000,"Premium",
 IF(' car_sales_data 1'!$G1185&gt;=20000,"Mid Range","Budget"))</f>
        <v>Mid Range</v>
      </c>
      <c r="L1185" s="13">
        <f>YEAR(TODAY())-' car_sales_data 1'!$F1185</f>
        <v>10</v>
      </c>
    </row>
    <row r="1186" ht="15.75" customHeight="1">
      <c r="A1186" s="16">
        <v>44755.0</v>
      </c>
      <c r="B1186" s="13" t="s">
        <v>2384</v>
      </c>
      <c r="C1186" s="13" t="s">
        <v>2385</v>
      </c>
      <c r="D1186" s="13" t="s">
        <v>8</v>
      </c>
      <c r="E1186" s="13" t="s">
        <v>51</v>
      </c>
      <c r="F1186" s="13">
        <v>2019.0</v>
      </c>
      <c r="G1186" s="13">
        <v>24575.0</v>
      </c>
      <c r="H1186" s="13">
        <v>2630.95</v>
      </c>
      <c r="I1186" s="13">
        <f>' car_sales_data 1'!$G1186*0.2</f>
        <v>4915</v>
      </c>
      <c r="J1186" s="13" t="str">
        <f>TEXT(' car_sales_data 1'!$A1186,"mmmm")</f>
        <v>July</v>
      </c>
      <c r="K1186" s="13" t="str">
        <f>IF(' car_sales_data 1'!$G1186&gt;40000,"Premium",
 IF(' car_sales_data 1'!$G1186&gt;=20000,"Mid Range","Budget"))</f>
        <v>Mid Range</v>
      </c>
      <c r="L1186" s="13">
        <f>YEAR(TODAY())-' car_sales_data 1'!$F1186</f>
        <v>6</v>
      </c>
    </row>
    <row r="1187" ht="15.75" customHeight="1">
      <c r="A1187" s="16">
        <v>44960.0</v>
      </c>
      <c r="B1187" s="13" t="s">
        <v>2386</v>
      </c>
      <c r="C1187" s="13" t="s">
        <v>2387</v>
      </c>
      <c r="D1187" s="13" t="s">
        <v>10</v>
      </c>
      <c r="E1187" s="13" t="s">
        <v>54</v>
      </c>
      <c r="F1187" s="13">
        <v>2015.0</v>
      </c>
      <c r="G1187" s="13">
        <v>23452.0</v>
      </c>
      <c r="H1187" s="13">
        <v>2219.09</v>
      </c>
      <c r="I1187" s="13">
        <f>' car_sales_data 1'!$G1187*0.2</f>
        <v>4690.4</v>
      </c>
      <c r="J1187" s="13" t="str">
        <f>TEXT(' car_sales_data 1'!$A1187,"mmmm")</f>
        <v>February</v>
      </c>
      <c r="K1187" s="13" t="str">
        <f>IF(' car_sales_data 1'!$G1187&gt;40000,"Premium",
 IF(' car_sales_data 1'!$G1187&gt;=20000,"Mid Range","Budget"))</f>
        <v>Mid Range</v>
      </c>
      <c r="L1187" s="13">
        <f>YEAR(TODAY())-' car_sales_data 1'!$F1187</f>
        <v>10</v>
      </c>
    </row>
    <row r="1188" ht="15.75" customHeight="1">
      <c r="A1188" s="16">
        <v>44799.0</v>
      </c>
      <c r="B1188" s="13" t="s">
        <v>2388</v>
      </c>
      <c r="C1188" s="13" t="s">
        <v>2389</v>
      </c>
      <c r="D1188" s="13" t="s">
        <v>14</v>
      </c>
      <c r="E1188" s="13" t="s">
        <v>62</v>
      </c>
      <c r="F1188" s="13">
        <v>2019.0</v>
      </c>
      <c r="G1188" s="13">
        <v>29700.0</v>
      </c>
      <c r="H1188" s="13">
        <v>2501.43</v>
      </c>
      <c r="I1188" s="13">
        <f>' car_sales_data 1'!$G1188*0.2</f>
        <v>5940</v>
      </c>
      <c r="J1188" s="13" t="str">
        <f>TEXT(' car_sales_data 1'!$A1188,"mmmm")</f>
        <v>August</v>
      </c>
      <c r="K1188" s="13" t="str">
        <f>IF(' car_sales_data 1'!$G1188&gt;40000,"Premium",
 IF(' car_sales_data 1'!$G1188&gt;=20000,"Mid Range","Budget"))</f>
        <v>Mid Range</v>
      </c>
      <c r="L1188" s="13">
        <f>YEAR(TODAY())-' car_sales_data 1'!$F1188</f>
        <v>6</v>
      </c>
    </row>
    <row r="1189" ht="15.75" customHeight="1">
      <c r="A1189" s="16">
        <v>44769.0</v>
      </c>
      <c r="B1189" s="13" t="s">
        <v>2390</v>
      </c>
      <c r="C1189" s="13" t="s">
        <v>2391</v>
      </c>
      <c r="D1189" s="13" t="s">
        <v>12</v>
      </c>
      <c r="E1189" s="13" t="s">
        <v>57</v>
      </c>
      <c r="F1189" s="13">
        <v>2016.0</v>
      </c>
      <c r="G1189" s="13">
        <v>31128.0</v>
      </c>
      <c r="H1189" s="13">
        <v>1612.8</v>
      </c>
      <c r="I1189" s="13">
        <f>' car_sales_data 1'!$G1189*0.2</f>
        <v>6225.6</v>
      </c>
      <c r="J1189" s="13" t="str">
        <f>TEXT(' car_sales_data 1'!$A1189,"mmmm")</f>
        <v>July</v>
      </c>
      <c r="K1189" s="13" t="str">
        <f>IF(' car_sales_data 1'!$G1189&gt;40000,"Premium",
 IF(' car_sales_data 1'!$G1189&gt;=20000,"Mid Range","Budget"))</f>
        <v>Mid Range</v>
      </c>
      <c r="L1189" s="13">
        <f>YEAR(TODAY())-' car_sales_data 1'!$F1189</f>
        <v>9</v>
      </c>
    </row>
    <row r="1190" ht="15.75" customHeight="1">
      <c r="A1190" s="16">
        <v>45010.0</v>
      </c>
      <c r="B1190" s="13" t="s">
        <v>2392</v>
      </c>
      <c r="C1190" s="13" t="s">
        <v>2393</v>
      </c>
      <c r="D1190" s="13" t="s">
        <v>14</v>
      </c>
      <c r="E1190" s="13" t="s">
        <v>70</v>
      </c>
      <c r="F1190" s="13">
        <v>2017.0</v>
      </c>
      <c r="G1190" s="13">
        <v>30473.0</v>
      </c>
      <c r="H1190" s="13">
        <v>4023.21</v>
      </c>
      <c r="I1190" s="13">
        <f>' car_sales_data 1'!$G1190*0.2</f>
        <v>6094.6</v>
      </c>
      <c r="J1190" s="13" t="str">
        <f>TEXT(' car_sales_data 1'!$A1190,"mmmm")</f>
        <v>March</v>
      </c>
      <c r="K1190" s="13" t="str">
        <f>IF(' car_sales_data 1'!$G1190&gt;40000,"Premium",
 IF(' car_sales_data 1'!$G1190&gt;=20000,"Mid Range","Budget"))</f>
        <v>Mid Range</v>
      </c>
      <c r="L1190" s="13">
        <f>YEAR(TODAY())-' car_sales_data 1'!$F1190</f>
        <v>8</v>
      </c>
    </row>
    <row r="1191" ht="15.75" customHeight="1">
      <c r="A1191" s="16">
        <v>44917.0</v>
      </c>
      <c r="B1191" s="13" t="s">
        <v>2394</v>
      </c>
      <c r="C1191" s="13" t="s">
        <v>2395</v>
      </c>
      <c r="D1191" s="13" t="s">
        <v>10</v>
      </c>
      <c r="E1191" s="13" t="s">
        <v>62</v>
      </c>
      <c r="F1191" s="13">
        <v>2020.0</v>
      </c>
      <c r="G1191" s="13">
        <v>37570.0</v>
      </c>
      <c r="H1191" s="13">
        <v>4989.61</v>
      </c>
      <c r="I1191" s="13">
        <f>' car_sales_data 1'!$G1191*0.2</f>
        <v>7514</v>
      </c>
      <c r="J1191" s="13" t="str">
        <f>TEXT(' car_sales_data 1'!$A1191,"mmmm")</f>
        <v>December</v>
      </c>
      <c r="K1191" s="13" t="str">
        <f>IF(' car_sales_data 1'!$G1191&gt;40000,"Premium",
 IF(' car_sales_data 1'!$G1191&gt;=20000,"Mid Range","Budget"))</f>
        <v>Mid Range</v>
      </c>
      <c r="L1191" s="13">
        <f>YEAR(TODAY())-' car_sales_data 1'!$F1191</f>
        <v>5</v>
      </c>
    </row>
    <row r="1192" ht="15.75" customHeight="1">
      <c r="A1192" s="16">
        <v>45030.0</v>
      </c>
      <c r="B1192" s="13" t="s">
        <v>2363</v>
      </c>
      <c r="C1192" s="13" t="s">
        <v>2396</v>
      </c>
      <c r="D1192" s="13" t="s">
        <v>10</v>
      </c>
      <c r="E1192" s="13" t="s">
        <v>51</v>
      </c>
      <c r="F1192" s="13">
        <v>2014.0</v>
      </c>
      <c r="G1192" s="13">
        <v>40988.0</v>
      </c>
      <c r="H1192" s="13">
        <v>3902.98</v>
      </c>
      <c r="I1192" s="13">
        <f>' car_sales_data 1'!$G1192*0.2</f>
        <v>8197.6</v>
      </c>
      <c r="J1192" s="13" t="str">
        <f>TEXT(' car_sales_data 1'!$A1192,"mmmm")</f>
        <v>April</v>
      </c>
      <c r="K1192" s="13" t="str">
        <f>IF(' car_sales_data 1'!$G1192&gt;40000,"Premium",
 IF(' car_sales_data 1'!$G1192&gt;=20000,"Mid Range","Budget"))</f>
        <v>Premium</v>
      </c>
      <c r="L1192" s="13">
        <f>YEAR(TODAY())-' car_sales_data 1'!$F1192</f>
        <v>11</v>
      </c>
    </row>
    <row r="1193" ht="15.75" customHeight="1">
      <c r="A1193" s="16">
        <v>44698.0</v>
      </c>
      <c r="B1193" s="13" t="s">
        <v>1109</v>
      </c>
      <c r="C1193" s="13" t="s">
        <v>2397</v>
      </c>
      <c r="D1193" s="13" t="s">
        <v>6</v>
      </c>
      <c r="E1193" s="13" t="s">
        <v>62</v>
      </c>
      <c r="F1193" s="13">
        <v>2014.0</v>
      </c>
      <c r="G1193" s="13">
        <v>29359.0</v>
      </c>
      <c r="H1193" s="13">
        <v>2313.16</v>
      </c>
      <c r="I1193" s="13">
        <f>' car_sales_data 1'!$G1193*0.2</f>
        <v>5871.8</v>
      </c>
      <c r="J1193" s="13" t="str">
        <f>TEXT(' car_sales_data 1'!$A1193,"mmmm")</f>
        <v>May</v>
      </c>
      <c r="K1193" s="13" t="str">
        <f>IF(' car_sales_data 1'!$G1193&gt;40000,"Premium",
 IF(' car_sales_data 1'!$G1193&gt;=20000,"Mid Range","Budget"))</f>
        <v>Mid Range</v>
      </c>
      <c r="L1193" s="13">
        <f>YEAR(TODAY())-' car_sales_data 1'!$F1193</f>
        <v>11</v>
      </c>
    </row>
    <row r="1194" ht="15.75" customHeight="1">
      <c r="A1194" s="16">
        <v>45028.0</v>
      </c>
      <c r="B1194" s="13" t="s">
        <v>2398</v>
      </c>
      <c r="C1194" s="13" t="s">
        <v>2399</v>
      </c>
      <c r="D1194" s="13" t="s">
        <v>10</v>
      </c>
      <c r="E1194" s="13" t="s">
        <v>62</v>
      </c>
      <c r="F1194" s="13">
        <v>2014.0</v>
      </c>
      <c r="G1194" s="13">
        <v>33074.0</v>
      </c>
      <c r="H1194" s="13">
        <v>4753.31</v>
      </c>
      <c r="I1194" s="13">
        <f>' car_sales_data 1'!$G1194*0.2</f>
        <v>6614.8</v>
      </c>
      <c r="J1194" s="13" t="str">
        <f>TEXT(' car_sales_data 1'!$A1194,"mmmm")</f>
        <v>April</v>
      </c>
      <c r="K1194" s="13" t="str">
        <f>IF(' car_sales_data 1'!$G1194&gt;40000,"Premium",
 IF(' car_sales_data 1'!$G1194&gt;=20000,"Mid Range","Budget"))</f>
        <v>Mid Range</v>
      </c>
      <c r="L1194" s="13">
        <f>YEAR(TODAY())-' car_sales_data 1'!$F1194</f>
        <v>11</v>
      </c>
    </row>
    <row r="1195" ht="15.75" customHeight="1">
      <c r="A1195" s="16">
        <v>45044.0</v>
      </c>
      <c r="B1195" s="13" t="s">
        <v>2400</v>
      </c>
      <c r="C1195" s="13" t="s">
        <v>2401</v>
      </c>
      <c r="D1195" s="13" t="s">
        <v>6</v>
      </c>
      <c r="E1195" s="13" t="s">
        <v>57</v>
      </c>
      <c r="F1195" s="13">
        <v>2022.0</v>
      </c>
      <c r="G1195" s="13">
        <v>40107.0</v>
      </c>
      <c r="H1195" s="13">
        <v>2275.46</v>
      </c>
      <c r="I1195" s="13">
        <f>' car_sales_data 1'!$G1195*0.2</f>
        <v>8021.4</v>
      </c>
      <c r="J1195" s="13" t="str">
        <f>TEXT(' car_sales_data 1'!$A1195,"mmmm")</f>
        <v>April</v>
      </c>
      <c r="K1195" s="13" t="str">
        <f>IF(' car_sales_data 1'!$G1195&gt;40000,"Premium",
 IF(' car_sales_data 1'!$G1195&gt;=20000,"Mid Range","Budget"))</f>
        <v>Premium</v>
      </c>
      <c r="L1195" s="13">
        <f>YEAR(TODAY())-' car_sales_data 1'!$F1195</f>
        <v>3</v>
      </c>
    </row>
    <row r="1196" ht="15.75" customHeight="1">
      <c r="A1196" s="16">
        <v>44793.0</v>
      </c>
      <c r="B1196" s="13" t="s">
        <v>2402</v>
      </c>
      <c r="C1196" s="13" t="s">
        <v>2403</v>
      </c>
      <c r="D1196" s="13" t="s">
        <v>14</v>
      </c>
      <c r="E1196" s="13" t="s">
        <v>57</v>
      </c>
      <c r="F1196" s="13">
        <v>2014.0</v>
      </c>
      <c r="G1196" s="13">
        <v>19008.0</v>
      </c>
      <c r="H1196" s="13">
        <v>2513.12</v>
      </c>
      <c r="I1196" s="13">
        <f>' car_sales_data 1'!$G1196*0.2</f>
        <v>3801.6</v>
      </c>
      <c r="J1196" s="13" t="str">
        <f>TEXT(' car_sales_data 1'!$A1196,"mmmm")</f>
        <v>August</v>
      </c>
      <c r="K1196" s="13" t="str">
        <f>IF(' car_sales_data 1'!$G1196&gt;40000,"Premium",
 IF(' car_sales_data 1'!$G1196&gt;=20000,"Mid Range","Budget"))</f>
        <v>Budget</v>
      </c>
      <c r="L1196" s="13">
        <f>YEAR(TODAY())-' car_sales_data 1'!$F1196</f>
        <v>11</v>
      </c>
    </row>
    <row r="1197" ht="15.75" customHeight="1">
      <c r="A1197" s="16">
        <v>44704.0</v>
      </c>
      <c r="B1197" s="13" t="s">
        <v>2404</v>
      </c>
      <c r="C1197" s="13" t="s">
        <v>2405</v>
      </c>
      <c r="D1197" s="13" t="s">
        <v>12</v>
      </c>
      <c r="E1197" s="13" t="s">
        <v>57</v>
      </c>
      <c r="F1197" s="13">
        <v>2010.0</v>
      </c>
      <c r="G1197" s="13">
        <v>49136.0</v>
      </c>
      <c r="H1197" s="13">
        <v>5635.03</v>
      </c>
      <c r="I1197" s="13">
        <f>' car_sales_data 1'!$G1197*0.2</f>
        <v>9827.2</v>
      </c>
      <c r="J1197" s="13" t="str">
        <f>TEXT(' car_sales_data 1'!$A1197,"mmmm")</f>
        <v>May</v>
      </c>
      <c r="K1197" s="13" t="str">
        <f>IF(' car_sales_data 1'!$G1197&gt;40000,"Premium",
 IF(' car_sales_data 1'!$G1197&gt;=20000,"Mid Range","Budget"))</f>
        <v>Premium</v>
      </c>
      <c r="L1197" s="13">
        <f>YEAR(TODAY())-' car_sales_data 1'!$F1197</f>
        <v>15</v>
      </c>
    </row>
    <row r="1198" ht="15.75" customHeight="1">
      <c r="A1198" s="16">
        <v>44876.0</v>
      </c>
      <c r="B1198" s="13" t="s">
        <v>2406</v>
      </c>
      <c r="C1198" s="13" t="s">
        <v>2407</v>
      </c>
      <c r="D1198" s="13" t="s">
        <v>12</v>
      </c>
      <c r="E1198" s="13" t="s">
        <v>51</v>
      </c>
      <c r="F1198" s="13">
        <v>2010.0</v>
      </c>
      <c r="G1198" s="13">
        <v>20774.0</v>
      </c>
      <c r="H1198" s="13">
        <v>2001.43</v>
      </c>
      <c r="I1198" s="13">
        <f>' car_sales_data 1'!$G1198*0.2</f>
        <v>4154.8</v>
      </c>
      <c r="J1198" s="13" t="str">
        <f>TEXT(' car_sales_data 1'!$A1198,"mmmm")</f>
        <v>November</v>
      </c>
      <c r="K1198" s="13" t="str">
        <f>IF(' car_sales_data 1'!$G1198&gt;40000,"Premium",
 IF(' car_sales_data 1'!$G1198&gt;=20000,"Mid Range","Budget"))</f>
        <v>Mid Range</v>
      </c>
      <c r="L1198" s="13">
        <f>YEAR(TODAY())-' car_sales_data 1'!$F1198</f>
        <v>15</v>
      </c>
    </row>
    <row r="1199" ht="15.75" customHeight="1">
      <c r="A1199" s="16">
        <v>44820.0</v>
      </c>
      <c r="B1199" s="13" t="s">
        <v>2408</v>
      </c>
      <c r="C1199" s="13" t="s">
        <v>2409</v>
      </c>
      <c r="D1199" s="13" t="s">
        <v>10</v>
      </c>
      <c r="E1199" s="13" t="s">
        <v>54</v>
      </c>
      <c r="F1199" s="13">
        <v>2022.0</v>
      </c>
      <c r="G1199" s="13">
        <v>39950.0</v>
      </c>
      <c r="H1199" s="13">
        <v>4749.97</v>
      </c>
      <c r="I1199" s="13">
        <f>' car_sales_data 1'!$G1199*0.2</f>
        <v>7990</v>
      </c>
      <c r="J1199" s="13" t="str">
        <f>TEXT(' car_sales_data 1'!$A1199,"mmmm")</f>
        <v>September</v>
      </c>
      <c r="K1199" s="13" t="str">
        <f>IF(' car_sales_data 1'!$G1199&gt;40000,"Premium",
 IF(' car_sales_data 1'!$G1199&gt;=20000,"Mid Range","Budget"))</f>
        <v>Mid Range</v>
      </c>
      <c r="L1199" s="13">
        <f>YEAR(TODAY())-' car_sales_data 1'!$F1199</f>
        <v>3</v>
      </c>
    </row>
    <row r="1200" ht="15.75" customHeight="1">
      <c r="A1200" s="16">
        <v>44915.0</v>
      </c>
      <c r="B1200" s="13" t="s">
        <v>2410</v>
      </c>
      <c r="C1200" s="13" t="s">
        <v>2411</v>
      </c>
      <c r="D1200" s="13" t="s">
        <v>10</v>
      </c>
      <c r="E1200" s="13" t="s">
        <v>62</v>
      </c>
      <c r="F1200" s="13">
        <v>2021.0</v>
      </c>
      <c r="G1200" s="13">
        <v>25676.0</v>
      </c>
      <c r="H1200" s="13">
        <v>3376.98</v>
      </c>
      <c r="I1200" s="13">
        <f>' car_sales_data 1'!$G1200*0.2</f>
        <v>5135.2</v>
      </c>
      <c r="J1200" s="13" t="str">
        <f>TEXT(' car_sales_data 1'!$A1200,"mmmm")</f>
        <v>December</v>
      </c>
      <c r="K1200" s="13" t="str">
        <f>IF(' car_sales_data 1'!$G1200&gt;40000,"Premium",
 IF(' car_sales_data 1'!$G1200&gt;=20000,"Mid Range","Budget"))</f>
        <v>Mid Range</v>
      </c>
      <c r="L1200" s="13">
        <f>YEAR(TODAY())-' car_sales_data 1'!$F1200</f>
        <v>4</v>
      </c>
    </row>
    <row r="1201" ht="15.75" customHeight="1">
      <c r="A1201" s="16">
        <v>44900.0</v>
      </c>
      <c r="B1201" s="13" t="s">
        <v>2412</v>
      </c>
      <c r="C1201" s="13" t="s">
        <v>2413</v>
      </c>
      <c r="D1201" s="13" t="s">
        <v>12</v>
      </c>
      <c r="E1201" s="13" t="s">
        <v>51</v>
      </c>
      <c r="F1201" s="13">
        <v>2012.0</v>
      </c>
      <c r="G1201" s="13">
        <v>28471.0</v>
      </c>
      <c r="H1201" s="13">
        <v>2903.02</v>
      </c>
      <c r="I1201" s="13">
        <f>' car_sales_data 1'!$G1201*0.2</f>
        <v>5694.2</v>
      </c>
      <c r="J1201" s="13" t="str">
        <f>TEXT(' car_sales_data 1'!$A1201,"mmmm")</f>
        <v>December</v>
      </c>
      <c r="K1201" s="13" t="str">
        <f>IF(' car_sales_data 1'!$G1201&gt;40000,"Premium",
 IF(' car_sales_data 1'!$G1201&gt;=20000,"Mid Range","Budget"))</f>
        <v>Mid Range</v>
      </c>
      <c r="L1201" s="13">
        <f>YEAR(TODAY())-' car_sales_data 1'!$F1201</f>
        <v>13</v>
      </c>
    </row>
    <row r="1202" ht="15.75" customHeight="1">
      <c r="A1202" s="16">
        <v>44942.0</v>
      </c>
      <c r="B1202" s="13" t="s">
        <v>2414</v>
      </c>
      <c r="C1202" s="13" t="s">
        <v>2415</v>
      </c>
      <c r="D1202" s="13" t="s">
        <v>10</v>
      </c>
      <c r="E1202" s="13" t="s">
        <v>54</v>
      </c>
      <c r="F1202" s="13">
        <v>2011.0</v>
      </c>
      <c r="G1202" s="13">
        <v>14950.0</v>
      </c>
      <c r="H1202" s="13">
        <v>1382.71</v>
      </c>
      <c r="I1202" s="13">
        <f>' car_sales_data 1'!$G1202*0.2</f>
        <v>2990</v>
      </c>
      <c r="J1202" s="13" t="str">
        <f>TEXT(' car_sales_data 1'!$A1202,"mmmm")</f>
        <v>January</v>
      </c>
      <c r="K1202" s="13" t="str">
        <f>IF(' car_sales_data 1'!$G1202&gt;40000,"Premium",
 IF(' car_sales_data 1'!$G1202&gt;=20000,"Mid Range","Budget"))</f>
        <v>Budget</v>
      </c>
      <c r="L1202" s="13">
        <f>YEAR(TODAY())-' car_sales_data 1'!$F1202</f>
        <v>14</v>
      </c>
    </row>
    <row r="1203" ht="15.75" customHeight="1">
      <c r="A1203" s="16">
        <v>44994.0</v>
      </c>
      <c r="B1203" s="13" t="s">
        <v>2416</v>
      </c>
      <c r="C1203" s="13" t="s">
        <v>2417</v>
      </c>
      <c r="D1203" s="13" t="s">
        <v>8</v>
      </c>
      <c r="E1203" s="13" t="s">
        <v>62</v>
      </c>
      <c r="F1203" s="13">
        <v>2022.0</v>
      </c>
      <c r="G1203" s="13">
        <v>17705.0</v>
      </c>
      <c r="H1203" s="13">
        <v>900.32</v>
      </c>
      <c r="I1203" s="13">
        <f>' car_sales_data 1'!$G1203*0.2</f>
        <v>3541</v>
      </c>
      <c r="J1203" s="13" t="str">
        <f>TEXT(' car_sales_data 1'!$A1203,"mmmm")</f>
        <v>March</v>
      </c>
      <c r="K1203" s="13" t="str">
        <f>IF(' car_sales_data 1'!$G1203&gt;40000,"Premium",
 IF(' car_sales_data 1'!$G1203&gt;=20000,"Mid Range","Budget"))</f>
        <v>Budget</v>
      </c>
      <c r="L1203" s="13">
        <f>YEAR(TODAY())-' car_sales_data 1'!$F1203</f>
        <v>3</v>
      </c>
    </row>
    <row r="1204" ht="15.75" customHeight="1">
      <c r="A1204" s="16">
        <v>44694.0</v>
      </c>
      <c r="B1204" s="13" t="s">
        <v>2418</v>
      </c>
      <c r="C1204" s="13" t="s">
        <v>2419</v>
      </c>
      <c r="D1204" s="13" t="s">
        <v>10</v>
      </c>
      <c r="E1204" s="13" t="s">
        <v>51</v>
      </c>
      <c r="F1204" s="13">
        <v>2014.0</v>
      </c>
      <c r="G1204" s="13">
        <v>43179.0</v>
      </c>
      <c r="H1204" s="13">
        <v>5338.37</v>
      </c>
      <c r="I1204" s="13">
        <f>' car_sales_data 1'!$G1204*0.2</f>
        <v>8635.8</v>
      </c>
      <c r="J1204" s="13" t="str">
        <f>TEXT(' car_sales_data 1'!$A1204,"mmmm")</f>
        <v>May</v>
      </c>
      <c r="K1204" s="13" t="str">
        <f>IF(' car_sales_data 1'!$G1204&gt;40000,"Premium",
 IF(' car_sales_data 1'!$G1204&gt;=20000,"Mid Range","Budget"))</f>
        <v>Premium</v>
      </c>
      <c r="L1204" s="13">
        <f>YEAR(TODAY())-' car_sales_data 1'!$F1204</f>
        <v>11</v>
      </c>
    </row>
    <row r="1205" ht="15.75" customHeight="1">
      <c r="A1205" s="16">
        <v>45031.0</v>
      </c>
      <c r="B1205" s="13" t="s">
        <v>2420</v>
      </c>
      <c r="C1205" s="13" t="s">
        <v>2421</v>
      </c>
      <c r="D1205" s="13" t="s">
        <v>14</v>
      </c>
      <c r="E1205" s="13" t="s">
        <v>54</v>
      </c>
      <c r="F1205" s="13">
        <v>2014.0</v>
      </c>
      <c r="G1205" s="13">
        <v>48184.0</v>
      </c>
      <c r="H1205" s="13">
        <v>2682.57</v>
      </c>
      <c r="I1205" s="13">
        <f>' car_sales_data 1'!$G1205*0.2</f>
        <v>9636.8</v>
      </c>
      <c r="J1205" s="13" t="str">
        <f>TEXT(' car_sales_data 1'!$A1205,"mmmm")</f>
        <v>April</v>
      </c>
      <c r="K1205" s="13" t="str">
        <f>IF(' car_sales_data 1'!$G1205&gt;40000,"Premium",
 IF(' car_sales_data 1'!$G1205&gt;=20000,"Mid Range","Budget"))</f>
        <v>Premium</v>
      </c>
      <c r="L1205" s="13">
        <f>YEAR(TODAY())-' car_sales_data 1'!$F1205</f>
        <v>11</v>
      </c>
    </row>
    <row r="1206" ht="15.75" customHeight="1">
      <c r="A1206" s="16">
        <v>44812.0</v>
      </c>
      <c r="B1206" s="13" t="s">
        <v>2422</v>
      </c>
      <c r="C1206" s="13" t="s">
        <v>2423</v>
      </c>
      <c r="D1206" s="13" t="s">
        <v>14</v>
      </c>
      <c r="E1206" s="13" t="s">
        <v>57</v>
      </c>
      <c r="F1206" s="13">
        <v>2020.0</v>
      </c>
      <c r="G1206" s="13">
        <v>40138.0</v>
      </c>
      <c r="H1206" s="13">
        <v>3114.92</v>
      </c>
      <c r="I1206" s="13">
        <f>' car_sales_data 1'!$G1206*0.2</f>
        <v>8027.6</v>
      </c>
      <c r="J1206" s="13" t="str">
        <f>TEXT(' car_sales_data 1'!$A1206,"mmmm")</f>
        <v>September</v>
      </c>
      <c r="K1206" s="13" t="str">
        <f>IF(' car_sales_data 1'!$G1206&gt;40000,"Premium",
 IF(' car_sales_data 1'!$G1206&gt;=20000,"Mid Range","Budget"))</f>
        <v>Premium</v>
      </c>
      <c r="L1206" s="13">
        <f>YEAR(TODAY())-' car_sales_data 1'!$F1206</f>
        <v>5</v>
      </c>
    </row>
    <row r="1207" ht="15.75" customHeight="1">
      <c r="A1207" s="16">
        <v>44821.0</v>
      </c>
      <c r="B1207" s="13" t="s">
        <v>2424</v>
      </c>
      <c r="C1207" s="13" t="s">
        <v>2425</v>
      </c>
      <c r="D1207" s="13" t="s">
        <v>6</v>
      </c>
      <c r="E1207" s="13" t="s">
        <v>54</v>
      </c>
      <c r="F1207" s="13">
        <v>2014.0</v>
      </c>
      <c r="G1207" s="13">
        <v>14284.0</v>
      </c>
      <c r="H1207" s="13">
        <v>1628.39</v>
      </c>
      <c r="I1207" s="13">
        <f>' car_sales_data 1'!$G1207*0.2</f>
        <v>2856.8</v>
      </c>
      <c r="J1207" s="13" t="str">
        <f>TEXT(' car_sales_data 1'!$A1207,"mmmm")</f>
        <v>September</v>
      </c>
      <c r="K1207" s="13" t="str">
        <f>IF(' car_sales_data 1'!$G1207&gt;40000,"Premium",
 IF(' car_sales_data 1'!$G1207&gt;=20000,"Mid Range","Budget"))</f>
        <v>Budget</v>
      </c>
      <c r="L1207" s="13">
        <f>YEAR(TODAY())-' car_sales_data 1'!$F1207</f>
        <v>11</v>
      </c>
    </row>
    <row r="1208" ht="15.75" customHeight="1">
      <c r="A1208" s="16">
        <v>44831.0</v>
      </c>
      <c r="B1208" s="13" t="s">
        <v>2426</v>
      </c>
      <c r="C1208" s="13" t="s">
        <v>2427</v>
      </c>
      <c r="D1208" s="13" t="s">
        <v>6</v>
      </c>
      <c r="E1208" s="13" t="s">
        <v>62</v>
      </c>
      <c r="F1208" s="13">
        <v>2014.0</v>
      </c>
      <c r="G1208" s="13">
        <v>10064.0</v>
      </c>
      <c r="H1208" s="13">
        <v>737.25</v>
      </c>
      <c r="I1208" s="13">
        <f>' car_sales_data 1'!$G1208*0.2</f>
        <v>2012.8</v>
      </c>
      <c r="J1208" s="13" t="str">
        <f>TEXT(' car_sales_data 1'!$A1208,"mmmm")</f>
        <v>September</v>
      </c>
      <c r="K1208" s="13" t="str">
        <f>IF(' car_sales_data 1'!$G1208&gt;40000,"Premium",
 IF(' car_sales_data 1'!$G1208&gt;=20000,"Mid Range","Budget"))</f>
        <v>Budget</v>
      </c>
      <c r="L1208" s="13">
        <f>YEAR(TODAY())-' car_sales_data 1'!$F1208</f>
        <v>11</v>
      </c>
    </row>
    <row r="1209" ht="15.75" customHeight="1">
      <c r="A1209" s="16">
        <v>44881.0</v>
      </c>
      <c r="B1209" s="13" t="s">
        <v>2428</v>
      </c>
      <c r="C1209" s="13" t="s">
        <v>2429</v>
      </c>
      <c r="D1209" s="13" t="s">
        <v>6</v>
      </c>
      <c r="E1209" s="13" t="s">
        <v>62</v>
      </c>
      <c r="F1209" s="13">
        <v>2012.0</v>
      </c>
      <c r="G1209" s="13">
        <v>23485.0</v>
      </c>
      <c r="H1209" s="13">
        <v>3069.12</v>
      </c>
      <c r="I1209" s="13">
        <f>' car_sales_data 1'!$G1209*0.2</f>
        <v>4697</v>
      </c>
      <c r="J1209" s="13" t="str">
        <f>TEXT(' car_sales_data 1'!$A1209,"mmmm")</f>
        <v>November</v>
      </c>
      <c r="K1209" s="13" t="str">
        <f>IF(' car_sales_data 1'!$G1209&gt;40000,"Premium",
 IF(' car_sales_data 1'!$G1209&gt;=20000,"Mid Range","Budget"))</f>
        <v>Mid Range</v>
      </c>
      <c r="L1209" s="13">
        <f>YEAR(TODAY())-' car_sales_data 1'!$F1209</f>
        <v>13</v>
      </c>
    </row>
    <row r="1210" ht="15.75" customHeight="1">
      <c r="A1210" s="16">
        <v>44687.0</v>
      </c>
      <c r="B1210" s="13" t="s">
        <v>2430</v>
      </c>
      <c r="C1210" s="13" t="s">
        <v>2431</v>
      </c>
      <c r="D1210" s="13" t="s">
        <v>14</v>
      </c>
      <c r="E1210" s="13" t="s">
        <v>62</v>
      </c>
      <c r="F1210" s="13">
        <v>2016.0</v>
      </c>
      <c r="G1210" s="13">
        <v>43907.0</v>
      </c>
      <c r="H1210" s="13">
        <v>3020.3</v>
      </c>
      <c r="I1210" s="13">
        <f>' car_sales_data 1'!$G1210*0.2</f>
        <v>8781.4</v>
      </c>
      <c r="J1210" s="13" t="str">
        <f>TEXT(' car_sales_data 1'!$A1210,"mmmm")</f>
        <v>May</v>
      </c>
      <c r="K1210" s="13" t="str">
        <f>IF(' car_sales_data 1'!$G1210&gt;40000,"Premium",
 IF(' car_sales_data 1'!$G1210&gt;=20000,"Mid Range","Budget"))</f>
        <v>Premium</v>
      </c>
      <c r="L1210" s="13">
        <f>YEAR(TODAY())-' car_sales_data 1'!$F1210</f>
        <v>9</v>
      </c>
    </row>
    <row r="1211" ht="15.75" customHeight="1">
      <c r="A1211" s="16">
        <v>45015.0</v>
      </c>
      <c r="B1211" s="13" t="s">
        <v>2432</v>
      </c>
      <c r="C1211" s="13" t="s">
        <v>2433</v>
      </c>
      <c r="D1211" s="13" t="s">
        <v>6</v>
      </c>
      <c r="E1211" s="13" t="s">
        <v>70</v>
      </c>
      <c r="F1211" s="13">
        <v>2019.0</v>
      </c>
      <c r="G1211" s="13">
        <v>39142.0</v>
      </c>
      <c r="H1211" s="13">
        <v>2117.19</v>
      </c>
      <c r="I1211" s="13">
        <f>' car_sales_data 1'!$G1211*0.2</f>
        <v>7828.4</v>
      </c>
      <c r="J1211" s="13" t="str">
        <f>TEXT(' car_sales_data 1'!$A1211,"mmmm")</f>
        <v>March</v>
      </c>
      <c r="K1211" s="13" t="str">
        <f>IF(' car_sales_data 1'!$G1211&gt;40000,"Premium",
 IF(' car_sales_data 1'!$G1211&gt;=20000,"Mid Range","Budget"))</f>
        <v>Mid Range</v>
      </c>
      <c r="L1211" s="13">
        <f>YEAR(TODAY())-' car_sales_data 1'!$F1211</f>
        <v>6</v>
      </c>
    </row>
    <row r="1212" ht="15.75" customHeight="1">
      <c r="A1212" s="16">
        <v>44703.0</v>
      </c>
      <c r="B1212" s="13" t="s">
        <v>2434</v>
      </c>
      <c r="C1212" s="13" t="s">
        <v>2435</v>
      </c>
      <c r="D1212" s="13" t="s">
        <v>8</v>
      </c>
      <c r="E1212" s="13" t="s">
        <v>54</v>
      </c>
      <c r="F1212" s="13">
        <v>2022.0</v>
      </c>
      <c r="G1212" s="13">
        <v>19264.0</v>
      </c>
      <c r="H1212" s="13">
        <v>1232.19</v>
      </c>
      <c r="I1212" s="13">
        <f>' car_sales_data 1'!$G1212*0.2</f>
        <v>3852.8</v>
      </c>
      <c r="J1212" s="13" t="str">
        <f>TEXT(' car_sales_data 1'!$A1212,"mmmm")</f>
        <v>May</v>
      </c>
      <c r="K1212" s="13" t="str">
        <f>IF(' car_sales_data 1'!$G1212&gt;40000,"Premium",
 IF(' car_sales_data 1'!$G1212&gt;=20000,"Mid Range","Budget"))</f>
        <v>Budget</v>
      </c>
      <c r="L1212" s="13">
        <f>YEAR(TODAY())-' car_sales_data 1'!$F1212</f>
        <v>3</v>
      </c>
    </row>
    <row r="1213" ht="15.75" customHeight="1">
      <c r="A1213" s="16">
        <v>44761.0</v>
      </c>
      <c r="B1213" s="13" t="s">
        <v>2436</v>
      </c>
      <c r="C1213" s="13" t="s">
        <v>2437</v>
      </c>
      <c r="D1213" s="13" t="s">
        <v>8</v>
      </c>
      <c r="E1213" s="13" t="s">
        <v>62</v>
      </c>
      <c r="F1213" s="13">
        <v>2014.0</v>
      </c>
      <c r="G1213" s="13">
        <v>10904.0</v>
      </c>
      <c r="H1213" s="13">
        <v>1046.74</v>
      </c>
      <c r="I1213" s="13">
        <f>' car_sales_data 1'!$G1213*0.2</f>
        <v>2180.8</v>
      </c>
      <c r="J1213" s="13" t="str">
        <f>TEXT(' car_sales_data 1'!$A1213,"mmmm")</f>
        <v>July</v>
      </c>
      <c r="K1213" s="13" t="str">
        <f>IF(' car_sales_data 1'!$G1213&gt;40000,"Premium",
 IF(' car_sales_data 1'!$G1213&gt;=20000,"Mid Range","Budget"))</f>
        <v>Budget</v>
      </c>
      <c r="L1213" s="13">
        <f>YEAR(TODAY())-' car_sales_data 1'!$F1213</f>
        <v>11</v>
      </c>
    </row>
    <row r="1214" ht="15.75" customHeight="1">
      <c r="A1214" s="16">
        <v>44802.0</v>
      </c>
      <c r="B1214" s="13" t="s">
        <v>2438</v>
      </c>
      <c r="C1214" s="13" t="s">
        <v>2439</v>
      </c>
      <c r="D1214" s="13" t="s">
        <v>14</v>
      </c>
      <c r="E1214" s="13" t="s">
        <v>70</v>
      </c>
      <c r="F1214" s="13">
        <v>2010.0</v>
      </c>
      <c r="G1214" s="13">
        <v>31835.0</v>
      </c>
      <c r="H1214" s="13">
        <v>2344.73</v>
      </c>
      <c r="I1214" s="13">
        <f>' car_sales_data 1'!$G1214*0.2</f>
        <v>6367</v>
      </c>
      <c r="J1214" s="13" t="str">
        <f>TEXT(' car_sales_data 1'!$A1214,"mmmm")</f>
        <v>August</v>
      </c>
      <c r="K1214" s="13" t="str">
        <f>IF(' car_sales_data 1'!$G1214&gt;40000,"Premium",
 IF(' car_sales_data 1'!$G1214&gt;=20000,"Mid Range","Budget"))</f>
        <v>Mid Range</v>
      </c>
      <c r="L1214" s="13">
        <f>YEAR(TODAY())-' car_sales_data 1'!$F1214</f>
        <v>15</v>
      </c>
    </row>
    <row r="1215" ht="15.75" customHeight="1">
      <c r="A1215" s="16">
        <v>44957.0</v>
      </c>
      <c r="B1215" s="13" t="s">
        <v>2440</v>
      </c>
      <c r="C1215" s="13" t="s">
        <v>2441</v>
      </c>
      <c r="D1215" s="13" t="s">
        <v>6</v>
      </c>
      <c r="E1215" s="13" t="s">
        <v>62</v>
      </c>
      <c r="F1215" s="13">
        <v>2010.0</v>
      </c>
      <c r="G1215" s="13">
        <v>10954.0</v>
      </c>
      <c r="H1215" s="13">
        <v>1338.69</v>
      </c>
      <c r="I1215" s="13">
        <f>' car_sales_data 1'!$G1215*0.2</f>
        <v>2190.8</v>
      </c>
      <c r="J1215" s="13" t="str">
        <f>TEXT(' car_sales_data 1'!$A1215,"mmmm")</f>
        <v>January</v>
      </c>
      <c r="K1215" s="13" t="str">
        <f>IF(' car_sales_data 1'!$G1215&gt;40000,"Premium",
 IF(' car_sales_data 1'!$G1215&gt;=20000,"Mid Range","Budget"))</f>
        <v>Budget</v>
      </c>
      <c r="L1215" s="13">
        <f>YEAR(TODAY())-' car_sales_data 1'!$F1215</f>
        <v>15</v>
      </c>
    </row>
    <row r="1216" ht="15.75" customHeight="1">
      <c r="A1216" s="16">
        <v>44724.0</v>
      </c>
      <c r="B1216" s="13" t="s">
        <v>2442</v>
      </c>
      <c r="C1216" s="13" t="s">
        <v>2443</v>
      </c>
      <c r="D1216" s="13" t="s">
        <v>6</v>
      </c>
      <c r="E1216" s="13" t="s">
        <v>57</v>
      </c>
      <c r="F1216" s="13">
        <v>2013.0</v>
      </c>
      <c r="G1216" s="13">
        <v>17367.0</v>
      </c>
      <c r="H1216" s="13">
        <v>972.09</v>
      </c>
      <c r="I1216" s="13">
        <f>' car_sales_data 1'!$G1216*0.2</f>
        <v>3473.4</v>
      </c>
      <c r="J1216" s="13" t="str">
        <f>TEXT(' car_sales_data 1'!$A1216,"mmmm")</f>
        <v>June</v>
      </c>
      <c r="K1216" s="13" t="str">
        <f>IF(' car_sales_data 1'!$G1216&gt;40000,"Premium",
 IF(' car_sales_data 1'!$G1216&gt;=20000,"Mid Range","Budget"))</f>
        <v>Budget</v>
      </c>
      <c r="L1216" s="13">
        <f>YEAR(TODAY())-' car_sales_data 1'!$F1216</f>
        <v>12</v>
      </c>
    </row>
    <row r="1217" ht="15.75" customHeight="1">
      <c r="A1217" s="16">
        <v>45002.0</v>
      </c>
      <c r="B1217" s="13" t="s">
        <v>2444</v>
      </c>
      <c r="C1217" s="13" t="s">
        <v>2445</v>
      </c>
      <c r="D1217" s="13" t="s">
        <v>10</v>
      </c>
      <c r="E1217" s="13" t="s">
        <v>70</v>
      </c>
      <c r="F1217" s="13">
        <v>2010.0</v>
      </c>
      <c r="G1217" s="13">
        <v>43019.0</v>
      </c>
      <c r="H1217" s="13">
        <v>4282.3</v>
      </c>
      <c r="I1217" s="13">
        <f>' car_sales_data 1'!$G1217*0.2</f>
        <v>8603.8</v>
      </c>
      <c r="J1217" s="13" t="str">
        <f>TEXT(' car_sales_data 1'!$A1217,"mmmm")</f>
        <v>March</v>
      </c>
      <c r="K1217" s="13" t="str">
        <f>IF(' car_sales_data 1'!$G1217&gt;40000,"Premium",
 IF(' car_sales_data 1'!$G1217&gt;=20000,"Mid Range","Budget"))</f>
        <v>Premium</v>
      </c>
      <c r="L1217" s="13">
        <f>YEAR(TODAY())-' car_sales_data 1'!$F1217</f>
        <v>15</v>
      </c>
    </row>
    <row r="1218" ht="15.75" customHeight="1">
      <c r="A1218" s="16">
        <v>44769.0</v>
      </c>
      <c r="B1218" s="13" t="s">
        <v>2446</v>
      </c>
      <c r="C1218" s="13" t="s">
        <v>2447</v>
      </c>
      <c r="D1218" s="13" t="s">
        <v>14</v>
      </c>
      <c r="E1218" s="13" t="s">
        <v>54</v>
      </c>
      <c r="F1218" s="13">
        <v>2021.0</v>
      </c>
      <c r="G1218" s="13">
        <v>31006.0</v>
      </c>
      <c r="H1218" s="13">
        <v>2276.07</v>
      </c>
      <c r="I1218" s="13">
        <f>' car_sales_data 1'!$G1218*0.2</f>
        <v>6201.2</v>
      </c>
      <c r="J1218" s="13" t="str">
        <f>TEXT(' car_sales_data 1'!$A1218,"mmmm")</f>
        <v>July</v>
      </c>
      <c r="K1218" s="13" t="str">
        <f>IF(' car_sales_data 1'!$G1218&gt;40000,"Premium",
 IF(' car_sales_data 1'!$G1218&gt;=20000,"Mid Range","Budget"))</f>
        <v>Mid Range</v>
      </c>
      <c r="L1218" s="13">
        <f>YEAR(TODAY())-' car_sales_data 1'!$F1218</f>
        <v>4</v>
      </c>
    </row>
    <row r="1219" ht="15.75" customHeight="1">
      <c r="A1219" s="16">
        <v>44737.0</v>
      </c>
      <c r="B1219" s="13" t="s">
        <v>2448</v>
      </c>
      <c r="C1219" s="13" t="s">
        <v>2449</v>
      </c>
      <c r="D1219" s="13" t="s">
        <v>8</v>
      </c>
      <c r="E1219" s="13" t="s">
        <v>51</v>
      </c>
      <c r="F1219" s="13">
        <v>2011.0</v>
      </c>
      <c r="G1219" s="13">
        <v>37502.0</v>
      </c>
      <c r="H1219" s="13">
        <v>2569.18</v>
      </c>
      <c r="I1219" s="13">
        <f>' car_sales_data 1'!$G1219*0.2</f>
        <v>7500.4</v>
      </c>
      <c r="J1219" s="13" t="str">
        <f>TEXT(' car_sales_data 1'!$A1219,"mmmm")</f>
        <v>June</v>
      </c>
      <c r="K1219" s="13" t="str">
        <f>IF(' car_sales_data 1'!$G1219&gt;40000,"Premium",
 IF(' car_sales_data 1'!$G1219&gt;=20000,"Mid Range","Budget"))</f>
        <v>Mid Range</v>
      </c>
      <c r="L1219" s="13">
        <f>YEAR(TODAY())-' car_sales_data 1'!$F1219</f>
        <v>14</v>
      </c>
    </row>
    <row r="1220" ht="15.75" customHeight="1">
      <c r="A1220" s="16">
        <v>45047.0</v>
      </c>
      <c r="B1220" s="13" t="s">
        <v>2450</v>
      </c>
      <c r="C1220" s="13" t="s">
        <v>2451</v>
      </c>
      <c r="D1220" s="13" t="s">
        <v>10</v>
      </c>
      <c r="E1220" s="13" t="s">
        <v>54</v>
      </c>
      <c r="F1220" s="13">
        <v>2018.0</v>
      </c>
      <c r="G1220" s="13">
        <v>45915.0</v>
      </c>
      <c r="H1220" s="13">
        <v>5554.97</v>
      </c>
      <c r="I1220" s="13">
        <f>' car_sales_data 1'!$G1220*0.2</f>
        <v>9183</v>
      </c>
      <c r="J1220" s="13" t="str">
        <f>TEXT(' car_sales_data 1'!$A1220,"mmmm")</f>
        <v>May</v>
      </c>
      <c r="K1220" s="13" t="str">
        <f>IF(' car_sales_data 1'!$G1220&gt;40000,"Premium",
 IF(' car_sales_data 1'!$G1220&gt;=20000,"Mid Range","Budget"))</f>
        <v>Premium</v>
      </c>
      <c r="L1220" s="13">
        <f>YEAR(TODAY())-' car_sales_data 1'!$F1220</f>
        <v>7</v>
      </c>
    </row>
    <row r="1221" ht="15.75" customHeight="1">
      <c r="A1221" s="16">
        <v>44864.0</v>
      </c>
      <c r="B1221" s="13" t="s">
        <v>2452</v>
      </c>
      <c r="C1221" s="13" t="s">
        <v>2453</v>
      </c>
      <c r="D1221" s="13" t="s">
        <v>10</v>
      </c>
      <c r="E1221" s="13" t="s">
        <v>70</v>
      </c>
      <c r="F1221" s="13">
        <v>2014.0</v>
      </c>
      <c r="G1221" s="13">
        <v>32685.0</v>
      </c>
      <c r="H1221" s="13">
        <v>3531.61</v>
      </c>
      <c r="I1221" s="13">
        <f>' car_sales_data 1'!$G1221*0.2</f>
        <v>6537</v>
      </c>
      <c r="J1221" s="13" t="str">
        <f>TEXT(' car_sales_data 1'!$A1221,"mmmm")</f>
        <v>October</v>
      </c>
      <c r="K1221" s="13" t="str">
        <f>IF(' car_sales_data 1'!$G1221&gt;40000,"Premium",
 IF(' car_sales_data 1'!$G1221&gt;=20000,"Mid Range","Budget"))</f>
        <v>Mid Range</v>
      </c>
      <c r="L1221" s="13">
        <f>YEAR(TODAY())-' car_sales_data 1'!$F1221</f>
        <v>11</v>
      </c>
    </row>
    <row r="1222" ht="15.75" customHeight="1">
      <c r="A1222" s="16">
        <v>44799.0</v>
      </c>
      <c r="B1222" s="13" t="s">
        <v>2454</v>
      </c>
      <c r="C1222" s="13" t="s">
        <v>2455</v>
      </c>
      <c r="D1222" s="13" t="s">
        <v>14</v>
      </c>
      <c r="E1222" s="13" t="s">
        <v>62</v>
      </c>
      <c r="F1222" s="13">
        <v>2011.0</v>
      </c>
      <c r="G1222" s="13">
        <v>47698.0</v>
      </c>
      <c r="H1222" s="13">
        <v>6153.49</v>
      </c>
      <c r="I1222" s="13">
        <f>' car_sales_data 1'!$G1222*0.2</f>
        <v>9539.6</v>
      </c>
      <c r="J1222" s="13" t="str">
        <f>TEXT(' car_sales_data 1'!$A1222,"mmmm")</f>
        <v>August</v>
      </c>
      <c r="K1222" s="13" t="str">
        <f>IF(' car_sales_data 1'!$G1222&gt;40000,"Premium",
 IF(' car_sales_data 1'!$G1222&gt;=20000,"Mid Range","Budget"))</f>
        <v>Premium</v>
      </c>
      <c r="L1222" s="13">
        <f>YEAR(TODAY())-' car_sales_data 1'!$F1222</f>
        <v>14</v>
      </c>
    </row>
    <row r="1223" ht="15.75" customHeight="1">
      <c r="A1223" s="16">
        <v>44800.0</v>
      </c>
      <c r="B1223" s="13" t="s">
        <v>2456</v>
      </c>
      <c r="C1223" s="13" t="s">
        <v>2457</v>
      </c>
      <c r="D1223" s="13" t="s">
        <v>12</v>
      </c>
      <c r="E1223" s="13" t="s">
        <v>54</v>
      </c>
      <c r="F1223" s="13">
        <v>2018.0</v>
      </c>
      <c r="G1223" s="13">
        <v>25996.0</v>
      </c>
      <c r="H1223" s="13">
        <v>3327.32</v>
      </c>
      <c r="I1223" s="13">
        <f>' car_sales_data 1'!$G1223*0.2</f>
        <v>5199.2</v>
      </c>
      <c r="J1223" s="13" t="str">
        <f>TEXT(' car_sales_data 1'!$A1223,"mmmm")</f>
        <v>August</v>
      </c>
      <c r="K1223" s="13" t="str">
        <f>IF(' car_sales_data 1'!$G1223&gt;40000,"Premium",
 IF(' car_sales_data 1'!$G1223&gt;=20000,"Mid Range","Budget"))</f>
        <v>Mid Range</v>
      </c>
      <c r="L1223" s="13">
        <f>YEAR(TODAY())-' car_sales_data 1'!$F1223</f>
        <v>7</v>
      </c>
    </row>
    <row r="1224" ht="15.75" customHeight="1">
      <c r="A1224" s="16">
        <v>44687.0</v>
      </c>
      <c r="B1224" s="13" t="s">
        <v>2458</v>
      </c>
      <c r="C1224" s="13" t="s">
        <v>2459</v>
      </c>
      <c r="D1224" s="13" t="s">
        <v>12</v>
      </c>
      <c r="E1224" s="13" t="s">
        <v>70</v>
      </c>
      <c r="F1224" s="13">
        <v>2022.0</v>
      </c>
      <c r="G1224" s="13">
        <v>22518.0</v>
      </c>
      <c r="H1224" s="13">
        <v>2009.16</v>
      </c>
      <c r="I1224" s="13">
        <f>' car_sales_data 1'!$G1224*0.2</f>
        <v>4503.6</v>
      </c>
      <c r="J1224" s="13" t="str">
        <f>TEXT(' car_sales_data 1'!$A1224,"mmmm")</f>
        <v>May</v>
      </c>
      <c r="K1224" s="13" t="str">
        <f>IF(' car_sales_data 1'!$G1224&gt;40000,"Premium",
 IF(' car_sales_data 1'!$G1224&gt;=20000,"Mid Range","Budget"))</f>
        <v>Mid Range</v>
      </c>
      <c r="L1224" s="13">
        <f>YEAR(TODAY())-' car_sales_data 1'!$F1224</f>
        <v>3</v>
      </c>
    </row>
    <row r="1225" ht="15.75" customHeight="1">
      <c r="A1225" s="16">
        <v>44838.0</v>
      </c>
      <c r="B1225" s="13" t="s">
        <v>2460</v>
      </c>
      <c r="C1225" s="13" t="s">
        <v>2461</v>
      </c>
      <c r="D1225" s="13" t="s">
        <v>8</v>
      </c>
      <c r="E1225" s="13" t="s">
        <v>51</v>
      </c>
      <c r="F1225" s="13">
        <v>2014.0</v>
      </c>
      <c r="G1225" s="13">
        <v>28746.0</v>
      </c>
      <c r="H1225" s="13">
        <v>4111.0</v>
      </c>
      <c r="I1225" s="13">
        <f>' car_sales_data 1'!$G1225*0.2</f>
        <v>5749.2</v>
      </c>
      <c r="J1225" s="13" t="str">
        <f>TEXT(' car_sales_data 1'!$A1225,"mmmm")</f>
        <v>October</v>
      </c>
      <c r="K1225" s="13" t="str">
        <f>IF(' car_sales_data 1'!$G1225&gt;40000,"Premium",
 IF(' car_sales_data 1'!$G1225&gt;=20000,"Mid Range","Budget"))</f>
        <v>Mid Range</v>
      </c>
      <c r="L1225" s="13">
        <f>YEAR(TODAY())-' car_sales_data 1'!$F1225</f>
        <v>11</v>
      </c>
    </row>
    <row r="1226" ht="15.75" customHeight="1">
      <c r="A1226" s="16">
        <v>44761.0</v>
      </c>
      <c r="B1226" s="13" t="s">
        <v>2462</v>
      </c>
      <c r="C1226" s="13" t="s">
        <v>2463</v>
      </c>
      <c r="D1226" s="13" t="s">
        <v>12</v>
      </c>
      <c r="E1226" s="13" t="s">
        <v>62</v>
      </c>
      <c r="F1226" s="13">
        <v>2019.0</v>
      </c>
      <c r="G1226" s="13">
        <v>19317.0</v>
      </c>
      <c r="H1226" s="13">
        <v>2405.59</v>
      </c>
      <c r="I1226" s="13">
        <f>' car_sales_data 1'!$G1226*0.2</f>
        <v>3863.4</v>
      </c>
      <c r="J1226" s="13" t="str">
        <f>TEXT(' car_sales_data 1'!$A1226,"mmmm")</f>
        <v>July</v>
      </c>
      <c r="K1226" s="13" t="str">
        <f>IF(' car_sales_data 1'!$G1226&gt;40000,"Premium",
 IF(' car_sales_data 1'!$G1226&gt;=20000,"Mid Range","Budget"))</f>
        <v>Budget</v>
      </c>
      <c r="L1226" s="13">
        <f>YEAR(TODAY())-' car_sales_data 1'!$F1226</f>
        <v>6</v>
      </c>
    </row>
    <row r="1227" ht="15.75" customHeight="1">
      <c r="A1227" s="16">
        <v>44938.0</v>
      </c>
      <c r="B1227" s="13" t="s">
        <v>2464</v>
      </c>
      <c r="C1227" s="13" t="s">
        <v>2465</v>
      </c>
      <c r="D1227" s="13" t="s">
        <v>10</v>
      </c>
      <c r="E1227" s="13" t="s">
        <v>54</v>
      </c>
      <c r="F1227" s="13">
        <v>2018.0</v>
      </c>
      <c r="G1227" s="13">
        <v>17322.0</v>
      </c>
      <c r="H1227" s="13">
        <v>1966.14</v>
      </c>
      <c r="I1227" s="13">
        <f>' car_sales_data 1'!$G1227*0.2</f>
        <v>3464.4</v>
      </c>
      <c r="J1227" s="13" t="str">
        <f>TEXT(' car_sales_data 1'!$A1227,"mmmm")</f>
        <v>January</v>
      </c>
      <c r="K1227" s="13" t="str">
        <f>IF(' car_sales_data 1'!$G1227&gt;40000,"Premium",
 IF(' car_sales_data 1'!$G1227&gt;=20000,"Mid Range","Budget"))</f>
        <v>Budget</v>
      </c>
      <c r="L1227" s="13">
        <f>YEAR(TODAY())-' car_sales_data 1'!$F1227</f>
        <v>7</v>
      </c>
    </row>
    <row r="1228" ht="15.75" customHeight="1">
      <c r="A1228" s="16">
        <v>44999.0</v>
      </c>
      <c r="B1228" s="13" t="s">
        <v>2466</v>
      </c>
      <c r="C1228" s="13" t="s">
        <v>2467</v>
      </c>
      <c r="D1228" s="13" t="s">
        <v>8</v>
      </c>
      <c r="E1228" s="13" t="s">
        <v>62</v>
      </c>
      <c r="F1228" s="13">
        <v>2012.0</v>
      </c>
      <c r="G1228" s="13">
        <v>16028.0</v>
      </c>
      <c r="H1228" s="13">
        <v>2150.23</v>
      </c>
      <c r="I1228" s="13">
        <f>' car_sales_data 1'!$G1228*0.2</f>
        <v>3205.6</v>
      </c>
      <c r="J1228" s="13" t="str">
        <f>TEXT(' car_sales_data 1'!$A1228,"mmmm")</f>
        <v>March</v>
      </c>
      <c r="K1228" s="13" t="str">
        <f>IF(' car_sales_data 1'!$G1228&gt;40000,"Premium",
 IF(' car_sales_data 1'!$G1228&gt;=20000,"Mid Range","Budget"))</f>
        <v>Budget</v>
      </c>
      <c r="L1228" s="13">
        <f>YEAR(TODAY())-' car_sales_data 1'!$F1228</f>
        <v>13</v>
      </c>
    </row>
    <row r="1229" ht="15.75" customHeight="1">
      <c r="A1229" s="16">
        <v>44958.0</v>
      </c>
      <c r="B1229" s="13" t="s">
        <v>2468</v>
      </c>
      <c r="C1229" s="13" t="s">
        <v>2469</v>
      </c>
      <c r="D1229" s="13" t="s">
        <v>10</v>
      </c>
      <c r="E1229" s="13" t="s">
        <v>62</v>
      </c>
      <c r="F1229" s="13">
        <v>2014.0</v>
      </c>
      <c r="G1229" s="13">
        <v>36566.0</v>
      </c>
      <c r="H1229" s="13">
        <v>2727.02</v>
      </c>
      <c r="I1229" s="13">
        <f>' car_sales_data 1'!$G1229*0.2</f>
        <v>7313.2</v>
      </c>
      <c r="J1229" s="13" t="str">
        <f>TEXT(' car_sales_data 1'!$A1229,"mmmm")</f>
        <v>February</v>
      </c>
      <c r="K1229" s="13" t="str">
        <f>IF(' car_sales_data 1'!$G1229&gt;40000,"Premium",
 IF(' car_sales_data 1'!$G1229&gt;=20000,"Mid Range","Budget"))</f>
        <v>Mid Range</v>
      </c>
      <c r="L1229" s="13">
        <f>YEAR(TODAY())-' car_sales_data 1'!$F1229</f>
        <v>11</v>
      </c>
    </row>
    <row r="1230" ht="15.75" customHeight="1">
      <c r="A1230" s="16">
        <v>44753.0</v>
      </c>
      <c r="B1230" s="13" t="s">
        <v>2470</v>
      </c>
      <c r="C1230" s="13" t="s">
        <v>2471</v>
      </c>
      <c r="D1230" s="13" t="s">
        <v>8</v>
      </c>
      <c r="E1230" s="13" t="s">
        <v>70</v>
      </c>
      <c r="F1230" s="13">
        <v>2017.0</v>
      </c>
      <c r="G1230" s="13">
        <v>15015.0</v>
      </c>
      <c r="H1230" s="13">
        <v>1666.55</v>
      </c>
      <c r="I1230" s="13">
        <f>' car_sales_data 1'!$G1230*0.2</f>
        <v>3003</v>
      </c>
      <c r="J1230" s="13" t="str">
        <f>TEXT(' car_sales_data 1'!$A1230,"mmmm")</f>
        <v>July</v>
      </c>
      <c r="K1230" s="13" t="str">
        <f>IF(' car_sales_data 1'!$G1230&gt;40000,"Premium",
 IF(' car_sales_data 1'!$G1230&gt;=20000,"Mid Range","Budget"))</f>
        <v>Budget</v>
      </c>
      <c r="L1230" s="13">
        <f>YEAR(TODAY())-' car_sales_data 1'!$F1230</f>
        <v>8</v>
      </c>
    </row>
    <row r="1231" ht="15.75" customHeight="1">
      <c r="A1231" s="16">
        <v>44885.0</v>
      </c>
      <c r="B1231" s="13" t="s">
        <v>2472</v>
      </c>
      <c r="C1231" s="13" t="s">
        <v>2473</v>
      </c>
      <c r="D1231" s="13" t="s">
        <v>10</v>
      </c>
      <c r="E1231" s="13" t="s">
        <v>54</v>
      </c>
      <c r="F1231" s="13">
        <v>2019.0</v>
      </c>
      <c r="G1231" s="13">
        <v>27913.0</v>
      </c>
      <c r="H1231" s="13">
        <v>1775.74</v>
      </c>
      <c r="I1231" s="13">
        <f>' car_sales_data 1'!$G1231*0.2</f>
        <v>5582.6</v>
      </c>
      <c r="J1231" s="13" t="str">
        <f>TEXT(' car_sales_data 1'!$A1231,"mmmm")</f>
        <v>November</v>
      </c>
      <c r="K1231" s="13" t="str">
        <f>IF(' car_sales_data 1'!$G1231&gt;40000,"Premium",
 IF(' car_sales_data 1'!$G1231&gt;=20000,"Mid Range","Budget"))</f>
        <v>Mid Range</v>
      </c>
      <c r="L1231" s="13">
        <f>YEAR(TODAY())-' car_sales_data 1'!$F1231</f>
        <v>6</v>
      </c>
    </row>
    <row r="1232" ht="15.75" customHeight="1">
      <c r="A1232" s="16">
        <v>44865.0</v>
      </c>
      <c r="B1232" s="13" t="s">
        <v>2474</v>
      </c>
      <c r="C1232" s="13" t="s">
        <v>2475</v>
      </c>
      <c r="D1232" s="13" t="s">
        <v>10</v>
      </c>
      <c r="E1232" s="13" t="s">
        <v>51</v>
      </c>
      <c r="F1232" s="13">
        <v>2017.0</v>
      </c>
      <c r="G1232" s="13">
        <v>28263.0</v>
      </c>
      <c r="H1232" s="13">
        <v>3208.42</v>
      </c>
      <c r="I1232" s="13">
        <f>' car_sales_data 1'!$G1232*0.2</f>
        <v>5652.6</v>
      </c>
      <c r="J1232" s="13" t="str">
        <f>TEXT(' car_sales_data 1'!$A1232,"mmmm")</f>
        <v>October</v>
      </c>
      <c r="K1232" s="13" t="str">
        <f>IF(' car_sales_data 1'!$G1232&gt;40000,"Premium",
 IF(' car_sales_data 1'!$G1232&gt;=20000,"Mid Range","Budget"))</f>
        <v>Mid Range</v>
      </c>
      <c r="L1232" s="13">
        <f>YEAR(TODAY())-' car_sales_data 1'!$F1232</f>
        <v>8</v>
      </c>
    </row>
    <row r="1233" ht="15.75" customHeight="1">
      <c r="A1233" s="16">
        <v>44857.0</v>
      </c>
      <c r="B1233" s="13" t="s">
        <v>2476</v>
      </c>
      <c r="C1233" s="13" t="s">
        <v>2477</v>
      </c>
      <c r="D1233" s="13" t="s">
        <v>8</v>
      </c>
      <c r="E1233" s="13" t="s">
        <v>62</v>
      </c>
      <c r="F1233" s="13">
        <v>2016.0</v>
      </c>
      <c r="G1233" s="13">
        <v>29991.0</v>
      </c>
      <c r="H1233" s="13">
        <v>3229.92</v>
      </c>
      <c r="I1233" s="13">
        <f>' car_sales_data 1'!$G1233*0.2</f>
        <v>5998.2</v>
      </c>
      <c r="J1233" s="13" t="str">
        <f>TEXT(' car_sales_data 1'!$A1233,"mmmm")</f>
        <v>October</v>
      </c>
      <c r="K1233" s="13" t="str">
        <f>IF(' car_sales_data 1'!$G1233&gt;40000,"Premium",
 IF(' car_sales_data 1'!$G1233&gt;=20000,"Mid Range","Budget"))</f>
        <v>Mid Range</v>
      </c>
      <c r="L1233" s="13">
        <f>YEAR(TODAY())-' car_sales_data 1'!$F1233</f>
        <v>9</v>
      </c>
    </row>
    <row r="1234" ht="15.75" customHeight="1">
      <c r="A1234" s="16">
        <v>44804.0</v>
      </c>
      <c r="B1234" s="13" t="s">
        <v>2478</v>
      </c>
      <c r="C1234" s="13" t="s">
        <v>2479</v>
      </c>
      <c r="D1234" s="13" t="s">
        <v>14</v>
      </c>
      <c r="E1234" s="13" t="s">
        <v>54</v>
      </c>
      <c r="F1234" s="13">
        <v>2011.0</v>
      </c>
      <c r="G1234" s="13">
        <v>32352.0</v>
      </c>
      <c r="H1234" s="13">
        <v>1921.32</v>
      </c>
      <c r="I1234" s="13">
        <f>' car_sales_data 1'!$G1234*0.2</f>
        <v>6470.4</v>
      </c>
      <c r="J1234" s="13" t="str">
        <f>TEXT(' car_sales_data 1'!$A1234,"mmmm")</f>
        <v>August</v>
      </c>
      <c r="K1234" s="13" t="str">
        <f>IF(' car_sales_data 1'!$G1234&gt;40000,"Premium",
 IF(' car_sales_data 1'!$G1234&gt;=20000,"Mid Range","Budget"))</f>
        <v>Mid Range</v>
      </c>
      <c r="L1234" s="13">
        <f>YEAR(TODAY())-' car_sales_data 1'!$F1234</f>
        <v>14</v>
      </c>
    </row>
    <row r="1235" ht="15.75" customHeight="1">
      <c r="A1235" s="16">
        <v>44856.0</v>
      </c>
      <c r="B1235" s="13" t="s">
        <v>2480</v>
      </c>
      <c r="C1235" s="13" t="s">
        <v>2481</v>
      </c>
      <c r="D1235" s="13" t="s">
        <v>8</v>
      </c>
      <c r="E1235" s="13" t="s">
        <v>51</v>
      </c>
      <c r="F1235" s="13">
        <v>2014.0</v>
      </c>
      <c r="G1235" s="13">
        <v>35251.0</v>
      </c>
      <c r="H1235" s="13">
        <v>5091.73</v>
      </c>
      <c r="I1235" s="13">
        <f>' car_sales_data 1'!$G1235*0.2</f>
        <v>7050.2</v>
      </c>
      <c r="J1235" s="13" t="str">
        <f>TEXT(' car_sales_data 1'!$A1235,"mmmm")</f>
        <v>October</v>
      </c>
      <c r="K1235" s="13" t="str">
        <f>IF(' car_sales_data 1'!$G1235&gt;40000,"Premium",
 IF(' car_sales_data 1'!$G1235&gt;=20000,"Mid Range","Budget"))</f>
        <v>Mid Range</v>
      </c>
      <c r="L1235" s="13">
        <f>YEAR(TODAY())-' car_sales_data 1'!$F1235</f>
        <v>11</v>
      </c>
    </row>
    <row r="1236" ht="15.75" customHeight="1">
      <c r="A1236" s="16">
        <v>44732.0</v>
      </c>
      <c r="B1236" s="13" t="s">
        <v>2482</v>
      </c>
      <c r="C1236" s="13" t="s">
        <v>2483</v>
      </c>
      <c r="D1236" s="13" t="s">
        <v>6</v>
      </c>
      <c r="E1236" s="13" t="s">
        <v>57</v>
      </c>
      <c r="F1236" s="13">
        <v>2018.0</v>
      </c>
      <c r="G1236" s="13">
        <v>14352.0</v>
      </c>
      <c r="H1236" s="13">
        <v>1213.01</v>
      </c>
      <c r="I1236" s="13">
        <f>' car_sales_data 1'!$G1236*0.2</f>
        <v>2870.4</v>
      </c>
      <c r="J1236" s="13" t="str">
        <f>TEXT(' car_sales_data 1'!$A1236,"mmmm")</f>
        <v>June</v>
      </c>
      <c r="K1236" s="13" t="str">
        <f>IF(' car_sales_data 1'!$G1236&gt;40000,"Premium",
 IF(' car_sales_data 1'!$G1236&gt;=20000,"Mid Range","Budget"))</f>
        <v>Budget</v>
      </c>
      <c r="L1236" s="13">
        <f>YEAR(TODAY())-' car_sales_data 1'!$F1236</f>
        <v>7</v>
      </c>
    </row>
    <row r="1237" ht="15.75" customHeight="1">
      <c r="A1237" s="16">
        <v>44857.0</v>
      </c>
      <c r="B1237" s="13" t="s">
        <v>2484</v>
      </c>
      <c r="C1237" s="13" t="s">
        <v>2485</v>
      </c>
      <c r="D1237" s="13" t="s">
        <v>10</v>
      </c>
      <c r="E1237" s="13" t="s">
        <v>70</v>
      </c>
      <c r="F1237" s="13">
        <v>2016.0</v>
      </c>
      <c r="G1237" s="13">
        <v>47051.0</v>
      </c>
      <c r="H1237" s="13">
        <v>6685.58</v>
      </c>
      <c r="I1237" s="13">
        <f>' car_sales_data 1'!$G1237*0.2</f>
        <v>9410.2</v>
      </c>
      <c r="J1237" s="13" t="str">
        <f>TEXT(' car_sales_data 1'!$A1237,"mmmm")</f>
        <v>October</v>
      </c>
      <c r="K1237" s="13" t="str">
        <f>IF(' car_sales_data 1'!$G1237&gt;40000,"Premium",
 IF(' car_sales_data 1'!$G1237&gt;=20000,"Mid Range","Budget"))</f>
        <v>Premium</v>
      </c>
      <c r="L1237" s="13">
        <f>YEAR(TODAY())-' car_sales_data 1'!$F1237</f>
        <v>9</v>
      </c>
    </row>
    <row r="1238" ht="15.75" customHeight="1">
      <c r="A1238" s="16">
        <v>44864.0</v>
      </c>
      <c r="B1238" s="13" t="s">
        <v>2486</v>
      </c>
      <c r="C1238" s="13" t="s">
        <v>2487</v>
      </c>
      <c r="D1238" s="13" t="s">
        <v>8</v>
      </c>
      <c r="E1238" s="13" t="s">
        <v>70</v>
      </c>
      <c r="F1238" s="13">
        <v>2013.0</v>
      </c>
      <c r="G1238" s="13">
        <v>37195.0</v>
      </c>
      <c r="H1238" s="13">
        <v>3448.1</v>
      </c>
      <c r="I1238" s="13">
        <f>' car_sales_data 1'!$G1238*0.2</f>
        <v>7439</v>
      </c>
      <c r="J1238" s="13" t="str">
        <f>TEXT(' car_sales_data 1'!$A1238,"mmmm")</f>
        <v>October</v>
      </c>
      <c r="K1238" s="13" t="str">
        <f>IF(' car_sales_data 1'!$G1238&gt;40000,"Premium",
 IF(' car_sales_data 1'!$G1238&gt;=20000,"Mid Range","Budget"))</f>
        <v>Mid Range</v>
      </c>
      <c r="L1238" s="13">
        <f>YEAR(TODAY())-' car_sales_data 1'!$F1238</f>
        <v>12</v>
      </c>
    </row>
    <row r="1239" ht="15.75" customHeight="1">
      <c r="A1239" s="16">
        <v>44795.0</v>
      </c>
      <c r="B1239" s="13" t="s">
        <v>2488</v>
      </c>
      <c r="C1239" s="13" t="s">
        <v>2489</v>
      </c>
      <c r="D1239" s="13" t="s">
        <v>14</v>
      </c>
      <c r="E1239" s="13" t="s">
        <v>70</v>
      </c>
      <c r="F1239" s="13">
        <v>2016.0</v>
      </c>
      <c r="G1239" s="13">
        <v>13226.0</v>
      </c>
      <c r="H1239" s="13">
        <v>733.24</v>
      </c>
      <c r="I1239" s="13">
        <f>' car_sales_data 1'!$G1239*0.2</f>
        <v>2645.2</v>
      </c>
      <c r="J1239" s="13" t="str">
        <f>TEXT(' car_sales_data 1'!$A1239,"mmmm")</f>
        <v>August</v>
      </c>
      <c r="K1239" s="13" t="str">
        <f>IF(' car_sales_data 1'!$G1239&gt;40000,"Premium",
 IF(' car_sales_data 1'!$G1239&gt;=20000,"Mid Range","Budget"))</f>
        <v>Budget</v>
      </c>
      <c r="L1239" s="13">
        <f>YEAR(TODAY())-' car_sales_data 1'!$F1239</f>
        <v>9</v>
      </c>
    </row>
    <row r="1240" ht="15.75" customHeight="1">
      <c r="A1240" s="16">
        <v>44705.0</v>
      </c>
      <c r="B1240" s="13" t="s">
        <v>2490</v>
      </c>
      <c r="C1240" s="13" t="s">
        <v>2491</v>
      </c>
      <c r="D1240" s="13" t="s">
        <v>8</v>
      </c>
      <c r="E1240" s="13" t="s">
        <v>54</v>
      </c>
      <c r="F1240" s="13">
        <v>2015.0</v>
      </c>
      <c r="G1240" s="13">
        <v>39074.0</v>
      </c>
      <c r="H1240" s="13">
        <v>2949.72</v>
      </c>
      <c r="I1240" s="13">
        <f>' car_sales_data 1'!$G1240*0.2</f>
        <v>7814.8</v>
      </c>
      <c r="J1240" s="13" t="str">
        <f>TEXT(' car_sales_data 1'!$A1240,"mmmm")</f>
        <v>May</v>
      </c>
      <c r="K1240" s="13" t="str">
        <f>IF(' car_sales_data 1'!$G1240&gt;40000,"Premium",
 IF(' car_sales_data 1'!$G1240&gt;=20000,"Mid Range","Budget"))</f>
        <v>Mid Range</v>
      </c>
      <c r="L1240" s="13">
        <f>YEAR(TODAY())-' car_sales_data 1'!$F1240</f>
        <v>10</v>
      </c>
    </row>
    <row r="1241" ht="15.75" customHeight="1">
      <c r="A1241" s="16">
        <v>44930.0</v>
      </c>
      <c r="B1241" s="13" t="s">
        <v>2492</v>
      </c>
      <c r="C1241" s="13" t="s">
        <v>2493</v>
      </c>
      <c r="D1241" s="13" t="s">
        <v>6</v>
      </c>
      <c r="E1241" s="13" t="s">
        <v>62</v>
      </c>
      <c r="F1241" s="13">
        <v>2017.0</v>
      </c>
      <c r="G1241" s="13">
        <v>19480.0</v>
      </c>
      <c r="H1241" s="13">
        <v>2394.75</v>
      </c>
      <c r="I1241" s="13">
        <f>' car_sales_data 1'!$G1241*0.2</f>
        <v>3896</v>
      </c>
      <c r="J1241" s="13" t="str">
        <f>TEXT(' car_sales_data 1'!$A1241,"mmmm")</f>
        <v>January</v>
      </c>
      <c r="K1241" s="13" t="str">
        <f>IF(' car_sales_data 1'!$G1241&gt;40000,"Premium",
 IF(' car_sales_data 1'!$G1241&gt;=20000,"Mid Range","Budget"))</f>
        <v>Budget</v>
      </c>
      <c r="L1241" s="13">
        <f>YEAR(TODAY())-' car_sales_data 1'!$F1241</f>
        <v>8</v>
      </c>
    </row>
    <row r="1242" ht="15.75" customHeight="1">
      <c r="A1242" s="16">
        <v>44901.0</v>
      </c>
      <c r="B1242" s="13" t="s">
        <v>2494</v>
      </c>
      <c r="C1242" s="13" t="s">
        <v>2495</v>
      </c>
      <c r="D1242" s="13" t="s">
        <v>8</v>
      </c>
      <c r="E1242" s="13" t="s">
        <v>57</v>
      </c>
      <c r="F1242" s="13">
        <v>2017.0</v>
      </c>
      <c r="G1242" s="13">
        <v>18386.0</v>
      </c>
      <c r="H1242" s="13">
        <v>1067.87</v>
      </c>
      <c r="I1242" s="13">
        <f>' car_sales_data 1'!$G1242*0.2</f>
        <v>3677.2</v>
      </c>
      <c r="J1242" s="13" t="str">
        <f>TEXT(' car_sales_data 1'!$A1242,"mmmm")</f>
        <v>December</v>
      </c>
      <c r="K1242" s="13" t="str">
        <f>IF(' car_sales_data 1'!$G1242&gt;40000,"Premium",
 IF(' car_sales_data 1'!$G1242&gt;=20000,"Mid Range","Budget"))</f>
        <v>Budget</v>
      </c>
      <c r="L1242" s="13">
        <f>YEAR(TODAY())-' car_sales_data 1'!$F1242</f>
        <v>8</v>
      </c>
    </row>
    <row r="1243" ht="15.75" customHeight="1">
      <c r="A1243" s="16">
        <v>44740.0</v>
      </c>
      <c r="B1243" s="13" t="s">
        <v>2496</v>
      </c>
      <c r="C1243" s="13" t="s">
        <v>2497</v>
      </c>
      <c r="D1243" s="13" t="s">
        <v>12</v>
      </c>
      <c r="E1243" s="13" t="s">
        <v>70</v>
      </c>
      <c r="F1243" s="13">
        <v>2019.0</v>
      </c>
      <c r="G1243" s="13">
        <v>37139.0</v>
      </c>
      <c r="H1243" s="13">
        <v>4551.72</v>
      </c>
      <c r="I1243" s="13">
        <f>' car_sales_data 1'!$G1243*0.2</f>
        <v>7427.8</v>
      </c>
      <c r="J1243" s="13" t="str">
        <f>TEXT(' car_sales_data 1'!$A1243,"mmmm")</f>
        <v>June</v>
      </c>
      <c r="K1243" s="13" t="str">
        <f>IF(' car_sales_data 1'!$G1243&gt;40000,"Premium",
 IF(' car_sales_data 1'!$G1243&gt;=20000,"Mid Range","Budget"))</f>
        <v>Mid Range</v>
      </c>
      <c r="L1243" s="13">
        <f>YEAR(TODAY())-' car_sales_data 1'!$F1243</f>
        <v>6</v>
      </c>
    </row>
    <row r="1244" ht="15.75" customHeight="1">
      <c r="A1244" s="16">
        <v>45033.0</v>
      </c>
      <c r="B1244" s="13" t="s">
        <v>2498</v>
      </c>
      <c r="C1244" s="13" t="s">
        <v>2499</v>
      </c>
      <c r="D1244" s="13" t="s">
        <v>8</v>
      </c>
      <c r="E1244" s="13" t="s">
        <v>62</v>
      </c>
      <c r="F1244" s="13">
        <v>2022.0</v>
      </c>
      <c r="G1244" s="13">
        <v>44571.0</v>
      </c>
      <c r="H1244" s="13">
        <v>5337.23</v>
      </c>
      <c r="I1244" s="13">
        <f>' car_sales_data 1'!$G1244*0.2</f>
        <v>8914.2</v>
      </c>
      <c r="J1244" s="13" t="str">
        <f>TEXT(' car_sales_data 1'!$A1244,"mmmm")</f>
        <v>April</v>
      </c>
      <c r="K1244" s="13" t="str">
        <f>IF(' car_sales_data 1'!$G1244&gt;40000,"Premium",
 IF(' car_sales_data 1'!$G1244&gt;=20000,"Mid Range","Budget"))</f>
        <v>Premium</v>
      </c>
      <c r="L1244" s="13">
        <f>YEAR(TODAY())-' car_sales_data 1'!$F1244</f>
        <v>3</v>
      </c>
    </row>
    <row r="1245" ht="15.75" customHeight="1">
      <c r="A1245" s="16">
        <v>45009.0</v>
      </c>
      <c r="B1245" s="13" t="s">
        <v>2500</v>
      </c>
      <c r="C1245" s="13" t="s">
        <v>2501</v>
      </c>
      <c r="D1245" s="13" t="s">
        <v>8</v>
      </c>
      <c r="E1245" s="13" t="s">
        <v>70</v>
      </c>
      <c r="F1245" s="13">
        <v>2021.0</v>
      </c>
      <c r="G1245" s="13">
        <v>32074.0</v>
      </c>
      <c r="H1245" s="13">
        <v>2323.77</v>
      </c>
      <c r="I1245" s="13">
        <f>' car_sales_data 1'!$G1245*0.2</f>
        <v>6414.8</v>
      </c>
      <c r="J1245" s="13" t="str">
        <f>TEXT(' car_sales_data 1'!$A1245,"mmmm")</f>
        <v>March</v>
      </c>
      <c r="K1245" s="13" t="str">
        <f>IF(' car_sales_data 1'!$G1245&gt;40000,"Premium",
 IF(' car_sales_data 1'!$G1245&gt;=20000,"Mid Range","Budget"))</f>
        <v>Mid Range</v>
      </c>
      <c r="L1245" s="13">
        <f>YEAR(TODAY())-' car_sales_data 1'!$F1245</f>
        <v>4</v>
      </c>
    </row>
    <row r="1246" ht="15.75" customHeight="1">
      <c r="A1246" s="16">
        <v>44786.0</v>
      </c>
      <c r="B1246" s="13" t="s">
        <v>18</v>
      </c>
      <c r="C1246" s="13" t="s">
        <v>1665</v>
      </c>
      <c r="D1246" s="13" t="s">
        <v>12</v>
      </c>
      <c r="E1246" s="13" t="s">
        <v>51</v>
      </c>
      <c r="F1246" s="13">
        <v>2022.0</v>
      </c>
      <c r="G1246" s="13">
        <v>44979.0</v>
      </c>
      <c r="H1246" s="13">
        <v>5671.61</v>
      </c>
      <c r="I1246" s="13">
        <f>' car_sales_data 1'!$G1246*0.2</f>
        <v>8995.8</v>
      </c>
      <c r="J1246" s="13" t="str">
        <f>TEXT(' car_sales_data 1'!$A1246,"mmmm")</f>
        <v>August</v>
      </c>
      <c r="K1246" s="13" t="str">
        <f>IF(' car_sales_data 1'!$G1246&gt;40000,"Premium",
 IF(' car_sales_data 1'!$G1246&gt;=20000,"Mid Range","Budget"))</f>
        <v>Premium</v>
      </c>
      <c r="L1246" s="13">
        <f>YEAR(TODAY())-' car_sales_data 1'!$F1246</f>
        <v>3</v>
      </c>
    </row>
    <row r="1247" ht="15.75" customHeight="1">
      <c r="A1247" s="16">
        <v>44846.0</v>
      </c>
      <c r="B1247" s="13" t="s">
        <v>2502</v>
      </c>
      <c r="C1247" s="13" t="s">
        <v>2503</v>
      </c>
      <c r="D1247" s="13" t="s">
        <v>10</v>
      </c>
      <c r="E1247" s="13" t="s">
        <v>70</v>
      </c>
      <c r="F1247" s="13">
        <v>2012.0</v>
      </c>
      <c r="G1247" s="13">
        <v>48927.0</v>
      </c>
      <c r="H1247" s="13">
        <v>7127.74</v>
      </c>
      <c r="I1247" s="13">
        <f>' car_sales_data 1'!$G1247*0.2</f>
        <v>9785.4</v>
      </c>
      <c r="J1247" s="13" t="str">
        <f>TEXT(' car_sales_data 1'!$A1247,"mmmm")</f>
        <v>October</v>
      </c>
      <c r="K1247" s="13" t="str">
        <f>IF(' car_sales_data 1'!$G1247&gt;40000,"Premium",
 IF(' car_sales_data 1'!$G1247&gt;=20000,"Mid Range","Budget"))</f>
        <v>Premium</v>
      </c>
      <c r="L1247" s="13">
        <f>YEAR(TODAY())-' car_sales_data 1'!$F1247</f>
        <v>13</v>
      </c>
    </row>
    <row r="1248" ht="15.75" customHeight="1">
      <c r="A1248" s="16">
        <v>45018.0</v>
      </c>
      <c r="B1248" s="13" t="s">
        <v>2504</v>
      </c>
      <c r="C1248" s="13" t="s">
        <v>2505</v>
      </c>
      <c r="D1248" s="13" t="s">
        <v>8</v>
      </c>
      <c r="E1248" s="13" t="s">
        <v>70</v>
      </c>
      <c r="F1248" s="13">
        <v>2017.0</v>
      </c>
      <c r="G1248" s="13">
        <v>27534.0</v>
      </c>
      <c r="H1248" s="13">
        <v>3856.29</v>
      </c>
      <c r="I1248" s="13">
        <f>' car_sales_data 1'!$G1248*0.2</f>
        <v>5506.8</v>
      </c>
      <c r="J1248" s="13" t="str">
        <f>TEXT(' car_sales_data 1'!$A1248,"mmmm")</f>
        <v>April</v>
      </c>
      <c r="K1248" s="13" t="str">
        <f>IF(' car_sales_data 1'!$G1248&gt;40000,"Premium",
 IF(' car_sales_data 1'!$G1248&gt;=20000,"Mid Range","Budget"))</f>
        <v>Mid Range</v>
      </c>
      <c r="L1248" s="13">
        <f>YEAR(TODAY())-' car_sales_data 1'!$F1248</f>
        <v>8</v>
      </c>
    </row>
    <row r="1249" ht="15.75" customHeight="1">
      <c r="A1249" s="16">
        <v>45009.0</v>
      </c>
      <c r="B1249" s="13" t="s">
        <v>2506</v>
      </c>
      <c r="C1249" s="13" t="s">
        <v>2507</v>
      </c>
      <c r="D1249" s="13" t="s">
        <v>14</v>
      </c>
      <c r="E1249" s="13" t="s">
        <v>70</v>
      </c>
      <c r="F1249" s="13">
        <v>2022.0</v>
      </c>
      <c r="G1249" s="13">
        <v>40377.0</v>
      </c>
      <c r="H1249" s="13">
        <v>4630.39</v>
      </c>
      <c r="I1249" s="13">
        <f>' car_sales_data 1'!$G1249*0.2</f>
        <v>8075.4</v>
      </c>
      <c r="J1249" s="13" t="str">
        <f>TEXT(' car_sales_data 1'!$A1249,"mmmm")</f>
        <v>March</v>
      </c>
      <c r="K1249" s="13" t="str">
        <f>IF(' car_sales_data 1'!$G1249&gt;40000,"Premium",
 IF(' car_sales_data 1'!$G1249&gt;=20000,"Mid Range","Budget"))</f>
        <v>Premium</v>
      </c>
      <c r="L1249" s="13">
        <f>YEAR(TODAY())-' car_sales_data 1'!$F1249</f>
        <v>3</v>
      </c>
    </row>
    <row r="1250" ht="15.75" customHeight="1">
      <c r="A1250" s="16">
        <v>44876.0</v>
      </c>
      <c r="B1250" s="13" t="s">
        <v>2508</v>
      </c>
      <c r="C1250" s="13" t="s">
        <v>2509</v>
      </c>
      <c r="D1250" s="13" t="s">
        <v>8</v>
      </c>
      <c r="E1250" s="13" t="s">
        <v>62</v>
      </c>
      <c r="F1250" s="13">
        <v>2016.0</v>
      </c>
      <c r="G1250" s="13">
        <v>48481.0</v>
      </c>
      <c r="H1250" s="13">
        <v>4549.79</v>
      </c>
      <c r="I1250" s="13">
        <f>' car_sales_data 1'!$G1250*0.2</f>
        <v>9696.2</v>
      </c>
      <c r="J1250" s="13" t="str">
        <f>TEXT(' car_sales_data 1'!$A1250,"mmmm")</f>
        <v>November</v>
      </c>
      <c r="K1250" s="13" t="str">
        <f>IF(' car_sales_data 1'!$G1250&gt;40000,"Premium",
 IF(' car_sales_data 1'!$G1250&gt;=20000,"Mid Range","Budget"))</f>
        <v>Premium</v>
      </c>
      <c r="L1250" s="13">
        <f>YEAR(TODAY())-' car_sales_data 1'!$F1250</f>
        <v>9</v>
      </c>
    </row>
    <row r="1251" ht="15.75" customHeight="1">
      <c r="A1251" s="16">
        <v>44749.0</v>
      </c>
      <c r="B1251" s="13" t="s">
        <v>2510</v>
      </c>
      <c r="C1251" s="13" t="s">
        <v>2511</v>
      </c>
      <c r="D1251" s="13" t="s">
        <v>12</v>
      </c>
      <c r="E1251" s="13" t="s">
        <v>70</v>
      </c>
      <c r="F1251" s="13">
        <v>2010.0</v>
      </c>
      <c r="G1251" s="13">
        <v>13071.0</v>
      </c>
      <c r="H1251" s="13">
        <v>1334.51</v>
      </c>
      <c r="I1251" s="13">
        <f>' car_sales_data 1'!$G1251*0.2</f>
        <v>2614.2</v>
      </c>
      <c r="J1251" s="13" t="str">
        <f>TEXT(' car_sales_data 1'!$A1251,"mmmm")</f>
        <v>July</v>
      </c>
      <c r="K1251" s="13" t="str">
        <f>IF(' car_sales_data 1'!$G1251&gt;40000,"Premium",
 IF(' car_sales_data 1'!$G1251&gt;=20000,"Mid Range","Budget"))</f>
        <v>Budget</v>
      </c>
      <c r="L1251" s="13">
        <f>YEAR(TODAY())-' car_sales_data 1'!$F1251</f>
        <v>15</v>
      </c>
    </row>
    <row r="1252" ht="15.75" customHeight="1">
      <c r="A1252" s="16">
        <v>45041.0</v>
      </c>
      <c r="B1252" s="13" t="s">
        <v>2512</v>
      </c>
      <c r="C1252" s="13" t="s">
        <v>2513</v>
      </c>
      <c r="D1252" s="13" t="s">
        <v>8</v>
      </c>
      <c r="E1252" s="13" t="s">
        <v>57</v>
      </c>
      <c r="F1252" s="13">
        <v>2021.0</v>
      </c>
      <c r="G1252" s="13">
        <v>47828.0</v>
      </c>
      <c r="H1252" s="13">
        <v>5906.77</v>
      </c>
      <c r="I1252" s="13">
        <f>' car_sales_data 1'!$G1252*0.2</f>
        <v>9565.6</v>
      </c>
      <c r="J1252" s="13" t="str">
        <f>TEXT(' car_sales_data 1'!$A1252,"mmmm")</f>
        <v>April</v>
      </c>
      <c r="K1252" s="13" t="str">
        <f>IF(' car_sales_data 1'!$G1252&gt;40000,"Premium",
 IF(' car_sales_data 1'!$G1252&gt;=20000,"Mid Range","Budget"))</f>
        <v>Premium</v>
      </c>
      <c r="L1252" s="13">
        <f>YEAR(TODAY())-' car_sales_data 1'!$F1252</f>
        <v>4</v>
      </c>
    </row>
    <row r="1253" ht="15.75" customHeight="1">
      <c r="A1253" s="16">
        <v>44981.0</v>
      </c>
      <c r="B1253" s="13" t="s">
        <v>2514</v>
      </c>
      <c r="C1253" s="13" t="s">
        <v>2515</v>
      </c>
      <c r="D1253" s="13" t="s">
        <v>8</v>
      </c>
      <c r="E1253" s="13" t="s">
        <v>70</v>
      </c>
      <c r="F1253" s="13">
        <v>2015.0</v>
      </c>
      <c r="G1253" s="13">
        <v>35398.0</v>
      </c>
      <c r="H1253" s="13">
        <v>4005.58</v>
      </c>
      <c r="I1253" s="13">
        <f>' car_sales_data 1'!$G1253*0.2</f>
        <v>7079.6</v>
      </c>
      <c r="J1253" s="13" t="str">
        <f>TEXT(' car_sales_data 1'!$A1253,"mmmm")</f>
        <v>February</v>
      </c>
      <c r="K1253" s="13" t="str">
        <f>IF(' car_sales_data 1'!$G1253&gt;40000,"Premium",
 IF(' car_sales_data 1'!$G1253&gt;=20000,"Mid Range","Budget"))</f>
        <v>Mid Range</v>
      </c>
      <c r="L1253" s="13">
        <f>YEAR(TODAY())-' car_sales_data 1'!$F1253</f>
        <v>10</v>
      </c>
    </row>
    <row r="1254" ht="15.75" customHeight="1">
      <c r="A1254" s="16">
        <v>44755.0</v>
      </c>
      <c r="B1254" s="13" t="s">
        <v>2516</v>
      </c>
      <c r="C1254" s="13" t="s">
        <v>2517</v>
      </c>
      <c r="D1254" s="13" t="s">
        <v>14</v>
      </c>
      <c r="E1254" s="13" t="s">
        <v>62</v>
      </c>
      <c r="F1254" s="13">
        <v>2010.0</v>
      </c>
      <c r="G1254" s="13">
        <v>26783.0</v>
      </c>
      <c r="H1254" s="13">
        <v>2758.4</v>
      </c>
      <c r="I1254" s="13">
        <f>' car_sales_data 1'!$G1254*0.2</f>
        <v>5356.6</v>
      </c>
      <c r="J1254" s="13" t="str">
        <f>TEXT(' car_sales_data 1'!$A1254,"mmmm")</f>
        <v>July</v>
      </c>
      <c r="K1254" s="13" t="str">
        <f>IF(' car_sales_data 1'!$G1254&gt;40000,"Premium",
 IF(' car_sales_data 1'!$G1254&gt;=20000,"Mid Range","Budget"))</f>
        <v>Mid Range</v>
      </c>
      <c r="L1254" s="13">
        <f>YEAR(TODAY())-' car_sales_data 1'!$F1254</f>
        <v>15</v>
      </c>
    </row>
    <row r="1255" ht="15.75" customHeight="1">
      <c r="A1255" s="16">
        <v>44685.0</v>
      </c>
      <c r="B1255" s="13" t="s">
        <v>2518</v>
      </c>
      <c r="C1255" s="13" t="s">
        <v>2519</v>
      </c>
      <c r="D1255" s="13" t="s">
        <v>12</v>
      </c>
      <c r="E1255" s="13" t="s">
        <v>51</v>
      </c>
      <c r="F1255" s="13">
        <v>2012.0</v>
      </c>
      <c r="G1255" s="13">
        <v>38736.0</v>
      </c>
      <c r="H1255" s="13">
        <v>1939.4</v>
      </c>
      <c r="I1255" s="13">
        <f>' car_sales_data 1'!$G1255*0.2</f>
        <v>7747.2</v>
      </c>
      <c r="J1255" s="13" t="str">
        <f>TEXT(' car_sales_data 1'!$A1255,"mmmm")</f>
        <v>May</v>
      </c>
      <c r="K1255" s="13" t="str">
        <f>IF(' car_sales_data 1'!$G1255&gt;40000,"Premium",
 IF(' car_sales_data 1'!$G1255&gt;=20000,"Mid Range","Budget"))</f>
        <v>Mid Range</v>
      </c>
      <c r="L1255" s="13">
        <f>YEAR(TODAY())-' car_sales_data 1'!$F1255</f>
        <v>13</v>
      </c>
    </row>
    <row r="1256" ht="15.75" customHeight="1">
      <c r="A1256" s="16">
        <v>44706.0</v>
      </c>
      <c r="B1256" s="13" t="s">
        <v>2520</v>
      </c>
      <c r="C1256" s="13" t="s">
        <v>2521</v>
      </c>
      <c r="D1256" s="13" t="s">
        <v>14</v>
      </c>
      <c r="E1256" s="13" t="s">
        <v>70</v>
      </c>
      <c r="F1256" s="13">
        <v>2018.0</v>
      </c>
      <c r="G1256" s="13">
        <v>22649.0</v>
      </c>
      <c r="H1256" s="13">
        <v>2521.66</v>
      </c>
      <c r="I1256" s="13">
        <f>' car_sales_data 1'!$G1256*0.2</f>
        <v>4529.8</v>
      </c>
      <c r="J1256" s="13" t="str">
        <f>TEXT(' car_sales_data 1'!$A1256,"mmmm")</f>
        <v>May</v>
      </c>
      <c r="K1256" s="13" t="str">
        <f>IF(' car_sales_data 1'!$G1256&gt;40000,"Premium",
 IF(' car_sales_data 1'!$G1256&gt;=20000,"Mid Range","Budget"))</f>
        <v>Mid Range</v>
      </c>
      <c r="L1256" s="13">
        <f>YEAR(TODAY())-' car_sales_data 1'!$F1256</f>
        <v>7</v>
      </c>
    </row>
    <row r="1257" ht="15.75" customHeight="1">
      <c r="A1257" s="16">
        <v>44786.0</v>
      </c>
      <c r="B1257" s="13" t="s">
        <v>2522</v>
      </c>
      <c r="C1257" s="13" t="s">
        <v>2523</v>
      </c>
      <c r="D1257" s="13" t="s">
        <v>14</v>
      </c>
      <c r="E1257" s="13" t="s">
        <v>70</v>
      </c>
      <c r="F1257" s="13">
        <v>2015.0</v>
      </c>
      <c r="G1257" s="13">
        <v>45230.0</v>
      </c>
      <c r="H1257" s="13">
        <v>5651.59</v>
      </c>
      <c r="I1257" s="13">
        <f>' car_sales_data 1'!$G1257*0.2</f>
        <v>9046</v>
      </c>
      <c r="J1257" s="13" t="str">
        <f>TEXT(' car_sales_data 1'!$A1257,"mmmm")</f>
        <v>August</v>
      </c>
      <c r="K1257" s="13" t="str">
        <f>IF(' car_sales_data 1'!$G1257&gt;40000,"Premium",
 IF(' car_sales_data 1'!$G1257&gt;=20000,"Mid Range","Budget"))</f>
        <v>Premium</v>
      </c>
      <c r="L1257" s="13">
        <f>YEAR(TODAY())-' car_sales_data 1'!$F1257</f>
        <v>10</v>
      </c>
    </row>
    <row r="1258" ht="15.75" customHeight="1">
      <c r="A1258" s="16">
        <v>44915.0</v>
      </c>
      <c r="B1258" s="13" t="s">
        <v>2524</v>
      </c>
      <c r="C1258" s="13" t="s">
        <v>2525</v>
      </c>
      <c r="D1258" s="13" t="s">
        <v>8</v>
      </c>
      <c r="E1258" s="13" t="s">
        <v>62</v>
      </c>
      <c r="F1258" s="13">
        <v>2019.0</v>
      </c>
      <c r="G1258" s="13">
        <v>30567.0</v>
      </c>
      <c r="H1258" s="13">
        <v>2369.58</v>
      </c>
      <c r="I1258" s="13">
        <f>' car_sales_data 1'!$G1258*0.2</f>
        <v>6113.4</v>
      </c>
      <c r="J1258" s="13" t="str">
        <f>TEXT(' car_sales_data 1'!$A1258,"mmmm")</f>
        <v>December</v>
      </c>
      <c r="K1258" s="13" t="str">
        <f>IF(' car_sales_data 1'!$G1258&gt;40000,"Premium",
 IF(' car_sales_data 1'!$G1258&gt;=20000,"Mid Range","Budget"))</f>
        <v>Mid Range</v>
      </c>
      <c r="L1258" s="13">
        <f>YEAR(TODAY())-' car_sales_data 1'!$F1258</f>
        <v>6</v>
      </c>
    </row>
    <row r="1259" ht="15.75" customHeight="1">
      <c r="A1259" s="16">
        <v>44714.0</v>
      </c>
      <c r="B1259" s="13" t="s">
        <v>2526</v>
      </c>
      <c r="C1259" s="13" t="s">
        <v>2527</v>
      </c>
      <c r="D1259" s="13" t="s">
        <v>14</v>
      </c>
      <c r="E1259" s="13" t="s">
        <v>57</v>
      </c>
      <c r="F1259" s="13">
        <v>2014.0</v>
      </c>
      <c r="G1259" s="13">
        <v>22754.0</v>
      </c>
      <c r="H1259" s="13">
        <v>2896.69</v>
      </c>
      <c r="I1259" s="13">
        <f>' car_sales_data 1'!$G1259*0.2</f>
        <v>4550.8</v>
      </c>
      <c r="J1259" s="13" t="str">
        <f>TEXT(' car_sales_data 1'!$A1259,"mmmm")</f>
        <v>June</v>
      </c>
      <c r="K1259" s="13" t="str">
        <f>IF(' car_sales_data 1'!$G1259&gt;40000,"Premium",
 IF(' car_sales_data 1'!$G1259&gt;=20000,"Mid Range","Budget"))</f>
        <v>Mid Range</v>
      </c>
      <c r="L1259" s="13">
        <f>YEAR(TODAY())-' car_sales_data 1'!$F1259</f>
        <v>11</v>
      </c>
    </row>
    <row r="1260" ht="15.75" customHeight="1">
      <c r="A1260" s="16">
        <v>45001.0</v>
      </c>
      <c r="B1260" s="13" t="s">
        <v>2528</v>
      </c>
      <c r="C1260" s="13" t="s">
        <v>2529</v>
      </c>
      <c r="D1260" s="13" t="s">
        <v>6</v>
      </c>
      <c r="E1260" s="13" t="s">
        <v>54</v>
      </c>
      <c r="F1260" s="13">
        <v>2019.0</v>
      </c>
      <c r="G1260" s="13">
        <v>46205.0</v>
      </c>
      <c r="H1260" s="13">
        <v>3171.6</v>
      </c>
      <c r="I1260" s="13">
        <f>' car_sales_data 1'!$G1260*0.2</f>
        <v>9241</v>
      </c>
      <c r="J1260" s="13" t="str">
        <f>TEXT(' car_sales_data 1'!$A1260,"mmmm")</f>
        <v>March</v>
      </c>
      <c r="K1260" s="13" t="str">
        <f>IF(' car_sales_data 1'!$G1260&gt;40000,"Premium",
 IF(' car_sales_data 1'!$G1260&gt;=20000,"Mid Range","Budget"))</f>
        <v>Premium</v>
      </c>
      <c r="L1260" s="13">
        <f>YEAR(TODAY())-' car_sales_data 1'!$F1260</f>
        <v>6</v>
      </c>
    </row>
    <row r="1261" ht="15.75" customHeight="1">
      <c r="A1261" s="16">
        <v>44788.0</v>
      </c>
      <c r="B1261" s="13" t="s">
        <v>276</v>
      </c>
      <c r="C1261" s="13" t="s">
        <v>2530</v>
      </c>
      <c r="D1261" s="13" t="s">
        <v>6</v>
      </c>
      <c r="E1261" s="13" t="s">
        <v>51</v>
      </c>
      <c r="F1261" s="13">
        <v>2016.0</v>
      </c>
      <c r="G1261" s="13">
        <v>13226.0</v>
      </c>
      <c r="H1261" s="13">
        <v>1035.91</v>
      </c>
      <c r="I1261" s="13">
        <f>' car_sales_data 1'!$G1261*0.2</f>
        <v>2645.2</v>
      </c>
      <c r="J1261" s="13" t="str">
        <f>TEXT(' car_sales_data 1'!$A1261,"mmmm")</f>
        <v>August</v>
      </c>
      <c r="K1261" s="13" t="str">
        <f>IF(' car_sales_data 1'!$G1261&gt;40000,"Premium",
 IF(' car_sales_data 1'!$G1261&gt;=20000,"Mid Range","Budget"))</f>
        <v>Budget</v>
      </c>
      <c r="L1261" s="13">
        <f>YEAR(TODAY())-' car_sales_data 1'!$F1261</f>
        <v>9</v>
      </c>
    </row>
    <row r="1262" ht="15.75" customHeight="1">
      <c r="A1262" s="16">
        <v>44740.0</v>
      </c>
      <c r="B1262" s="13" t="s">
        <v>2531</v>
      </c>
      <c r="C1262" s="13" t="s">
        <v>2532</v>
      </c>
      <c r="D1262" s="13" t="s">
        <v>10</v>
      </c>
      <c r="E1262" s="13" t="s">
        <v>57</v>
      </c>
      <c r="F1262" s="13">
        <v>2019.0</v>
      </c>
      <c r="G1262" s="13">
        <v>28210.0</v>
      </c>
      <c r="H1262" s="13">
        <v>3865.36</v>
      </c>
      <c r="I1262" s="13">
        <f>' car_sales_data 1'!$G1262*0.2</f>
        <v>5642</v>
      </c>
      <c r="J1262" s="13" t="str">
        <f>TEXT(' car_sales_data 1'!$A1262,"mmmm")</f>
        <v>June</v>
      </c>
      <c r="K1262" s="13" t="str">
        <f>IF(' car_sales_data 1'!$G1262&gt;40000,"Premium",
 IF(' car_sales_data 1'!$G1262&gt;=20000,"Mid Range","Budget"))</f>
        <v>Mid Range</v>
      </c>
      <c r="L1262" s="13">
        <f>YEAR(TODAY())-' car_sales_data 1'!$F1262</f>
        <v>6</v>
      </c>
    </row>
    <row r="1263" ht="15.75" customHeight="1">
      <c r="A1263" s="16">
        <v>44999.0</v>
      </c>
      <c r="B1263" s="13" t="s">
        <v>2533</v>
      </c>
      <c r="C1263" s="13" t="s">
        <v>2534</v>
      </c>
      <c r="D1263" s="13" t="s">
        <v>6</v>
      </c>
      <c r="E1263" s="13" t="s">
        <v>54</v>
      </c>
      <c r="F1263" s="13">
        <v>2015.0</v>
      </c>
      <c r="G1263" s="13">
        <v>28427.0</v>
      </c>
      <c r="H1263" s="13">
        <v>4035.94</v>
      </c>
      <c r="I1263" s="13">
        <f>' car_sales_data 1'!$G1263*0.2</f>
        <v>5685.4</v>
      </c>
      <c r="J1263" s="13" t="str">
        <f>TEXT(' car_sales_data 1'!$A1263,"mmmm")</f>
        <v>March</v>
      </c>
      <c r="K1263" s="13" t="str">
        <f>IF(' car_sales_data 1'!$G1263&gt;40000,"Premium",
 IF(' car_sales_data 1'!$G1263&gt;=20000,"Mid Range","Budget"))</f>
        <v>Mid Range</v>
      </c>
      <c r="L1263" s="13">
        <f>YEAR(TODAY())-' car_sales_data 1'!$F1263</f>
        <v>10</v>
      </c>
    </row>
    <row r="1264" ht="15.75" customHeight="1">
      <c r="A1264" s="16">
        <v>44929.0</v>
      </c>
      <c r="B1264" s="13" t="s">
        <v>2535</v>
      </c>
      <c r="C1264" s="13" t="s">
        <v>2536</v>
      </c>
      <c r="D1264" s="13" t="s">
        <v>14</v>
      </c>
      <c r="E1264" s="13" t="s">
        <v>57</v>
      </c>
      <c r="F1264" s="13">
        <v>2022.0</v>
      </c>
      <c r="G1264" s="13">
        <v>26539.0</v>
      </c>
      <c r="H1264" s="13">
        <v>1559.73</v>
      </c>
      <c r="I1264" s="13">
        <f>' car_sales_data 1'!$G1264*0.2</f>
        <v>5307.8</v>
      </c>
      <c r="J1264" s="13" t="str">
        <f>TEXT(' car_sales_data 1'!$A1264,"mmmm")</f>
        <v>January</v>
      </c>
      <c r="K1264" s="13" t="str">
        <f>IF(' car_sales_data 1'!$G1264&gt;40000,"Premium",
 IF(' car_sales_data 1'!$G1264&gt;=20000,"Mid Range","Budget"))</f>
        <v>Mid Range</v>
      </c>
      <c r="L1264" s="13">
        <f>YEAR(TODAY())-' car_sales_data 1'!$F1264</f>
        <v>3</v>
      </c>
    </row>
    <row r="1265" ht="15.75" customHeight="1">
      <c r="A1265" s="16">
        <v>44829.0</v>
      </c>
      <c r="B1265" s="13" t="s">
        <v>19</v>
      </c>
      <c r="C1265" s="13" t="s">
        <v>2537</v>
      </c>
      <c r="D1265" s="13" t="s">
        <v>8</v>
      </c>
      <c r="E1265" s="13" t="s">
        <v>54</v>
      </c>
      <c r="F1265" s="13">
        <v>2011.0</v>
      </c>
      <c r="G1265" s="13">
        <v>40492.0</v>
      </c>
      <c r="H1265" s="13">
        <v>5037.26</v>
      </c>
      <c r="I1265" s="13">
        <f>' car_sales_data 1'!$G1265*0.2</f>
        <v>8098.4</v>
      </c>
      <c r="J1265" s="13" t="str">
        <f>TEXT(' car_sales_data 1'!$A1265,"mmmm")</f>
        <v>September</v>
      </c>
      <c r="K1265" s="13" t="str">
        <f>IF(' car_sales_data 1'!$G1265&gt;40000,"Premium",
 IF(' car_sales_data 1'!$G1265&gt;=20000,"Mid Range","Budget"))</f>
        <v>Premium</v>
      </c>
      <c r="L1265" s="13">
        <f>YEAR(TODAY())-' car_sales_data 1'!$F1265</f>
        <v>14</v>
      </c>
    </row>
    <row r="1266" ht="15.75" customHeight="1">
      <c r="A1266" s="16">
        <v>44909.0</v>
      </c>
      <c r="B1266" s="13" t="s">
        <v>2538</v>
      </c>
      <c r="C1266" s="13" t="s">
        <v>2539</v>
      </c>
      <c r="D1266" s="13" t="s">
        <v>14</v>
      </c>
      <c r="E1266" s="13" t="s">
        <v>57</v>
      </c>
      <c r="F1266" s="13">
        <v>2014.0</v>
      </c>
      <c r="G1266" s="13">
        <v>27374.0</v>
      </c>
      <c r="H1266" s="13">
        <v>4073.95</v>
      </c>
      <c r="I1266" s="13">
        <f>' car_sales_data 1'!$G1266*0.2</f>
        <v>5474.8</v>
      </c>
      <c r="J1266" s="13" t="str">
        <f>TEXT(' car_sales_data 1'!$A1266,"mmmm")</f>
        <v>December</v>
      </c>
      <c r="K1266" s="13" t="str">
        <f>IF(' car_sales_data 1'!$G1266&gt;40000,"Premium",
 IF(' car_sales_data 1'!$G1266&gt;=20000,"Mid Range","Budget"))</f>
        <v>Mid Range</v>
      </c>
      <c r="L1266" s="13">
        <f>YEAR(TODAY())-' car_sales_data 1'!$F1266</f>
        <v>11</v>
      </c>
    </row>
    <row r="1267" ht="15.75" customHeight="1">
      <c r="A1267" s="16">
        <v>44743.0</v>
      </c>
      <c r="B1267" s="13" t="s">
        <v>2540</v>
      </c>
      <c r="C1267" s="13" t="s">
        <v>2541</v>
      </c>
      <c r="D1267" s="13" t="s">
        <v>10</v>
      </c>
      <c r="E1267" s="13" t="s">
        <v>57</v>
      </c>
      <c r="F1267" s="13">
        <v>2018.0</v>
      </c>
      <c r="G1267" s="13">
        <v>12629.0</v>
      </c>
      <c r="H1267" s="13">
        <v>1465.98</v>
      </c>
      <c r="I1267" s="13">
        <f>' car_sales_data 1'!$G1267*0.2</f>
        <v>2525.8</v>
      </c>
      <c r="J1267" s="13" t="str">
        <f>TEXT(' car_sales_data 1'!$A1267,"mmmm")</f>
        <v>July</v>
      </c>
      <c r="K1267" s="13" t="str">
        <f>IF(' car_sales_data 1'!$G1267&gt;40000,"Premium",
 IF(' car_sales_data 1'!$G1267&gt;=20000,"Mid Range","Budget"))</f>
        <v>Budget</v>
      </c>
      <c r="L1267" s="13">
        <f>YEAR(TODAY())-' car_sales_data 1'!$F1267</f>
        <v>7</v>
      </c>
    </row>
    <row r="1268" ht="15.75" customHeight="1">
      <c r="A1268" s="16">
        <v>44929.0</v>
      </c>
      <c r="B1268" s="13" t="s">
        <v>2542</v>
      </c>
      <c r="C1268" s="13" t="s">
        <v>2543</v>
      </c>
      <c r="D1268" s="13" t="s">
        <v>6</v>
      </c>
      <c r="E1268" s="13" t="s">
        <v>62</v>
      </c>
      <c r="F1268" s="13">
        <v>2019.0</v>
      </c>
      <c r="G1268" s="13">
        <v>44090.0</v>
      </c>
      <c r="H1268" s="13">
        <v>3000.6</v>
      </c>
      <c r="I1268" s="13">
        <f>' car_sales_data 1'!$G1268*0.2</f>
        <v>8818</v>
      </c>
      <c r="J1268" s="13" t="str">
        <f>TEXT(' car_sales_data 1'!$A1268,"mmmm")</f>
        <v>January</v>
      </c>
      <c r="K1268" s="13" t="str">
        <f>IF(' car_sales_data 1'!$G1268&gt;40000,"Premium",
 IF(' car_sales_data 1'!$G1268&gt;=20000,"Mid Range","Budget"))</f>
        <v>Premium</v>
      </c>
      <c r="L1268" s="13">
        <f>YEAR(TODAY())-' car_sales_data 1'!$F1268</f>
        <v>6</v>
      </c>
    </row>
    <row r="1269" ht="15.75" customHeight="1">
      <c r="A1269" s="16">
        <v>44833.0</v>
      </c>
      <c r="B1269" s="13" t="s">
        <v>2544</v>
      </c>
      <c r="C1269" s="13" t="s">
        <v>2545</v>
      </c>
      <c r="D1269" s="13" t="s">
        <v>8</v>
      </c>
      <c r="E1269" s="13" t="s">
        <v>57</v>
      </c>
      <c r="F1269" s="13">
        <v>2021.0</v>
      </c>
      <c r="G1269" s="13">
        <v>13755.0</v>
      </c>
      <c r="H1269" s="13">
        <v>1575.58</v>
      </c>
      <c r="I1269" s="13">
        <f>' car_sales_data 1'!$G1269*0.2</f>
        <v>2751</v>
      </c>
      <c r="J1269" s="13" t="str">
        <f>TEXT(' car_sales_data 1'!$A1269,"mmmm")</f>
        <v>September</v>
      </c>
      <c r="K1269" s="13" t="str">
        <f>IF(' car_sales_data 1'!$G1269&gt;40000,"Premium",
 IF(' car_sales_data 1'!$G1269&gt;=20000,"Mid Range","Budget"))</f>
        <v>Budget</v>
      </c>
      <c r="L1269" s="13">
        <f>YEAR(TODAY())-' car_sales_data 1'!$F1269</f>
        <v>4</v>
      </c>
    </row>
    <row r="1270" ht="15.75" customHeight="1">
      <c r="A1270" s="16">
        <v>44856.0</v>
      </c>
      <c r="B1270" s="13" t="s">
        <v>2546</v>
      </c>
      <c r="C1270" s="13" t="s">
        <v>19</v>
      </c>
      <c r="D1270" s="13" t="s">
        <v>12</v>
      </c>
      <c r="E1270" s="13" t="s">
        <v>62</v>
      </c>
      <c r="F1270" s="13">
        <v>2012.0</v>
      </c>
      <c r="G1270" s="13">
        <v>27847.0</v>
      </c>
      <c r="H1270" s="13">
        <v>3820.93</v>
      </c>
      <c r="I1270" s="13">
        <f>' car_sales_data 1'!$G1270*0.2</f>
        <v>5569.4</v>
      </c>
      <c r="J1270" s="13" t="str">
        <f>TEXT(' car_sales_data 1'!$A1270,"mmmm")</f>
        <v>October</v>
      </c>
      <c r="K1270" s="13" t="str">
        <f>IF(' car_sales_data 1'!$G1270&gt;40000,"Premium",
 IF(' car_sales_data 1'!$G1270&gt;=20000,"Mid Range","Budget"))</f>
        <v>Mid Range</v>
      </c>
      <c r="L1270" s="13">
        <f>YEAR(TODAY())-' car_sales_data 1'!$F1270</f>
        <v>13</v>
      </c>
    </row>
    <row r="1271" ht="15.75" customHeight="1">
      <c r="A1271" s="16">
        <v>45017.0</v>
      </c>
      <c r="B1271" s="13" t="s">
        <v>2547</v>
      </c>
      <c r="C1271" s="13" t="s">
        <v>2548</v>
      </c>
      <c r="D1271" s="13" t="s">
        <v>10</v>
      </c>
      <c r="E1271" s="13" t="s">
        <v>57</v>
      </c>
      <c r="F1271" s="13">
        <v>2011.0</v>
      </c>
      <c r="G1271" s="13">
        <v>42824.0</v>
      </c>
      <c r="H1271" s="13">
        <v>3758.61</v>
      </c>
      <c r="I1271" s="13">
        <f>' car_sales_data 1'!$G1271*0.2</f>
        <v>8564.8</v>
      </c>
      <c r="J1271" s="13" t="str">
        <f>TEXT(' car_sales_data 1'!$A1271,"mmmm")</f>
        <v>April</v>
      </c>
      <c r="K1271" s="13" t="str">
        <f>IF(' car_sales_data 1'!$G1271&gt;40000,"Premium",
 IF(' car_sales_data 1'!$G1271&gt;=20000,"Mid Range","Budget"))</f>
        <v>Premium</v>
      </c>
      <c r="L1271" s="13">
        <f>YEAR(TODAY())-' car_sales_data 1'!$F1271</f>
        <v>14</v>
      </c>
    </row>
    <row r="1272" ht="15.75" customHeight="1">
      <c r="A1272" s="16">
        <v>44777.0</v>
      </c>
      <c r="B1272" s="13" t="s">
        <v>2549</v>
      </c>
      <c r="C1272" s="13" t="s">
        <v>2550</v>
      </c>
      <c r="D1272" s="13" t="s">
        <v>10</v>
      </c>
      <c r="E1272" s="13" t="s">
        <v>57</v>
      </c>
      <c r="F1272" s="13">
        <v>2016.0</v>
      </c>
      <c r="G1272" s="13">
        <v>13649.0</v>
      </c>
      <c r="H1272" s="13">
        <v>727.83</v>
      </c>
      <c r="I1272" s="13">
        <f>' car_sales_data 1'!$G1272*0.2</f>
        <v>2729.8</v>
      </c>
      <c r="J1272" s="13" t="str">
        <f>TEXT(' car_sales_data 1'!$A1272,"mmmm")</f>
        <v>August</v>
      </c>
      <c r="K1272" s="13" t="str">
        <f>IF(' car_sales_data 1'!$G1272&gt;40000,"Premium",
 IF(' car_sales_data 1'!$G1272&gt;=20000,"Mid Range","Budget"))</f>
        <v>Budget</v>
      </c>
      <c r="L1272" s="13">
        <f>YEAR(TODAY())-' car_sales_data 1'!$F1272</f>
        <v>9</v>
      </c>
    </row>
    <row r="1273" ht="15.75" customHeight="1">
      <c r="A1273" s="16">
        <v>44909.0</v>
      </c>
      <c r="B1273" s="13" t="s">
        <v>2551</v>
      </c>
      <c r="C1273" s="13" t="s">
        <v>2552</v>
      </c>
      <c r="D1273" s="13" t="s">
        <v>8</v>
      </c>
      <c r="E1273" s="13" t="s">
        <v>62</v>
      </c>
      <c r="F1273" s="13">
        <v>2015.0</v>
      </c>
      <c r="G1273" s="13">
        <v>38185.0</v>
      </c>
      <c r="H1273" s="13">
        <v>2337.16</v>
      </c>
      <c r="I1273" s="13">
        <f>' car_sales_data 1'!$G1273*0.2</f>
        <v>7637</v>
      </c>
      <c r="J1273" s="13" t="str">
        <f>TEXT(' car_sales_data 1'!$A1273,"mmmm")</f>
        <v>December</v>
      </c>
      <c r="K1273" s="13" t="str">
        <f>IF(' car_sales_data 1'!$G1273&gt;40000,"Premium",
 IF(' car_sales_data 1'!$G1273&gt;=20000,"Mid Range","Budget"))</f>
        <v>Mid Range</v>
      </c>
      <c r="L1273" s="13">
        <f>YEAR(TODAY())-' car_sales_data 1'!$F1273</f>
        <v>10</v>
      </c>
    </row>
    <row r="1274" ht="15.75" customHeight="1">
      <c r="A1274" s="16">
        <v>45031.0</v>
      </c>
      <c r="B1274" s="13" t="s">
        <v>2553</v>
      </c>
      <c r="C1274" s="13" t="s">
        <v>2554</v>
      </c>
      <c r="D1274" s="13" t="s">
        <v>14</v>
      </c>
      <c r="E1274" s="13" t="s">
        <v>62</v>
      </c>
      <c r="F1274" s="13">
        <v>2017.0</v>
      </c>
      <c r="G1274" s="13">
        <v>43559.0</v>
      </c>
      <c r="H1274" s="13">
        <v>5000.65</v>
      </c>
      <c r="I1274" s="13">
        <f>' car_sales_data 1'!$G1274*0.2</f>
        <v>8711.8</v>
      </c>
      <c r="J1274" s="13" t="str">
        <f>TEXT(' car_sales_data 1'!$A1274,"mmmm")</f>
        <v>April</v>
      </c>
      <c r="K1274" s="13" t="str">
        <f>IF(' car_sales_data 1'!$G1274&gt;40000,"Premium",
 IF(' car_sales_data 1'!$G1274&gt;=20000,"Mid Range","Budget"))</f>
        <v>Premium</v>
      </c>
      <c r="L1274" s="13">
        <f>YEAR(TODAY())-' car_sales_data 1'!$F1274</f>
        <v>8</v>
      </c>
    </row>
    <row r="1275" ht="15.75" customHeight="1">
      <c r="A1275" s="16">
        <v>44734.0</v>
      </c>
      <c r="B1275" s="13" t="s">
        <v>2555</v>
      </c>
      <c r="C1275" s="13" t="s">
        <v>2556</v>
      </c>
      <c r="D1275" s="13" t="s">
        <v>6</v>
      </c>
      <c r="E1275" s="13" t="s">
        <v>54</v>
      </c>
      <c r="F1275" s="13">
        <v>2022.0</v>
      </c>
      <c r="G1275" s="13">
        <v>12905.0</v>
      </c>
      <c r="H1275" s="13">
        <v>1489.47</v>
      </c>
      <c r="I1275" s="13">
        <f>' car_sales_data 1'!$G1275*0.2</f>
        <v>2581</v>
      </c>
      <c r="J1275" s="13" t="str">
        <f>TEXT(' car_sales_data 1'!$A1275,"mmmm")</f>
        <v>June</v>
      </c>
      <c r="K1275" s="13" t="str">
        <f>IF(' car_sales_data 1'!$G1275&gt;40000,"Premium",
 IF(' car_sales_data 1'!$G1275&gt;=20000,"Mid Range","Budget"))</f>
        <v>Budget</v>
      </c>
      <c r="L1275" s="13">
        <f>YEAR(TODAY())-' car_sales_data 1'!$F1275</f>
        <v>3</v>
      </c>
    </row>
    <row r="1276" ht="15.75" customHeight="1">
      <c r="A1276" s="16">
        <v>44781.0</v>
      </c>
      <c r="B1276" s="13" t="s">
        <v>2557</v>
      </c>
      <c r="C1276" s="13" t="s">
        <v>2558</v>
      </c>
      <c r="D1276" s="13" t="s">
        <v>6</v>
      </c>
      <c r="E1276" s="13" t="s">
        <v>51</v>
      </c>
      <c r="F1276" s="13">
        <v>2010.0</v>
      </c>
      <c r="G1276" s="13">
        <v>28800.0</v>
      </c>
      <c r="H1276" s="13">
        <v>3986.0</v>
      </c>
      <c r="I1276" s="13">
        <f>' car_sales_data 1'!$G1276*0.2</f>
        <v>5760</v>
      </c>
      <c r="J1276" s="13" t="str">
        <f>TEXT(' car_sales_data 1'!$A1276,"mmmm")</f>
        <v>August</v>
      </c>
      <c r="K1276" s="13" t="str">
        <f>IF(' car_sales_data 1'!$G1276&gt;40000,"Premium",
 IF(' car_sales_data 1'!$G1276&gt;=20000,"Mid Range","Budget"))</f>
        <v>Mid Range</v>
      </c>
      <c r="L1276" s="13">
        <f>YEAR(TODAY())-' car_sales_data 1'!$F1276</f>
        <v>15</v>
      </c>
    </row>
    <row r="1277" ht="15.75" customHeight="1">
      <c r="A1277" s="16">
        <v>44682.0</v>
      </c>
      <c r="B1277" s="13" t="s">
        <v>2559</v>
      </c>
      <c r="C1277" s="13" t="s">
        <v>2560</v>
      </c>
      <c r="D1277" s="13" t="s">
        <v>6</v>
      </c>
      <c r="E1277" s="13" t="s">
        <v>62</v>
      </c>
      <c r="F1277" s="13">
        <v>2020.0</v>
      </c>
      <c r="G1277" s="13">
        <v>32393.0</v>
      </c>
      <c r="H1277" s="13">
        <v>2877.34</v>
      </c>
      <c r="I1277" s="13">
        <f>' car_sales_data 1'!$G1277*0.2</f>
        <v>6478.6</v>
      </c>
      <c r="J1277" s="13" t="str">
        <f>TEXT(' car_sales_data 1'!$A1277,"mmmm")</f>
        <v>May</v>
      </c>
      <c r="K1277" s="13" t="str">
        <f>IF(' car_sales_data 1'!$G1277&gt;40000,"Premium",
 IF(' car_sales_data 1'!$G1277&gt;=20000,"Mid Range","Budget"))</f>
        <v>Mid Range</v>
      </c>
      <c r="L1277" s="13">
        <f>YEAR(TODAY())-' car_sales_data 1'!$F1277</f>
        <v>5</v>
      </c>
    </row>
    <row r="1278" ht="15.75" customHeight="1">
      <c r="A1278" s="16">
        <v>44812.0</v>
      </c>
      <c r="B1278" s="13" t="s">
        <v>2561</v>
      </c>
      <c r="C1278" s="13" t="s">
        <v>2562</v>
      </c>
      <c r="D1278" s="13" t="s">
        <v>12</v>
      </c>
      <c r="E1278" s="13" t="s">
        <v>57</v>
      </c>
      <c r="F1278" s="13">
        <v>2018.0</v>
      </c>
      <c r="G1278" s="13">
        <v>34961.0</v>
      </c>
      <c r="H1278" s="13">
        <v>2630.68</v>
      </c>
      <c r="I1278" s="13">
        <f>' car_sales_data 1'!$G1278*0.2</f>
        <v>6992.2</v>
      </c>
      <c r="J1278" s="13" t="str">
        <f>TEXT(' car_sales_data 1'!$A1278,"mmmm")</f>
        <v>September</v>
      </c>
      <c r="K1278" s="13" t="str">
        <f>IF(' car_sales_data 1'!$G1278&gt;40000,"Premium",
 IF(' car_sales_data 1'!$G1278&gt;=20000,"Mid Range","Budget"))</f>
        <v>Mid Range</v>
      </c>
      <c r="L1278" s="13">
        <f>YEAR(TODAY())-' car_sales_data 1'!$F1278</f>
        <v>7</v>
      </c>
    </row>
    <row r="1279" ht="15.75" customHeight="1">
      <c r="A1279" s="16">
        <v>44861.0</v>
      </c>
      <c r="B1279" s="13" t="s">
        <v>2563</v>
      </c>
      <c r="C1279" s="13" t="s">
        <v>2564</v>
      </c>
      <c r="D1279" s="13" t="s">
        <v>6</v>
      </c>
      <c r="E1279" s="13" t="s">
        <v>51</v>
      </c>
      <c r="F1279" s="13">
        <v>2015.0</v>
      </c>
      <c r="G1279" s="13">
        <v>46740.0</v>
      </c>
      <c r="H1279" s="13">
        <v>5643.13</v>
      </c>
      <c r="I1279" s="13">
        <f>' car_sales_data 1'!$G1279*0.2</f>
        <v>9348</v>
      </c>
      <c r="J1279" s="13" t="str">
        <f>TEXT(' car_sales_data 1'!$A1279,"mmmm")</f>
        <v>October</v>
      </c>
      <c r="K1279" s="13" t="str">
        <f>IF(' car_sales_data 1'!$G1279&gt;40000,"Premium",
 IF(' car_sales_data 1'!$G1279&gt;=20000,"Mid Range","Budget"))</f>
        <v>Premium</v>
      </c>
      <c r="L1279" s="13">
        <f>YEAR(TODAY())-' car_sales_data 1'!$F1279</f>
        <v>10</v>
      </c>
    </row>
    <row r="1280" ht="15.75" customHeight="1">
      <c r="A1280" s="16">
        <v>44807.0</v>
      </c>
      <c r="B1280" s="13" t="s">
        <v>2565</v>
      </c>
      <c r="C1280" s="13" t="s">
        <v>2566</v>
      </c>
      <c r="D1280" s="13" t="s">
        <v>10</v>
      </c>
      <c r="E1280" s="13" t="s">
        <v>54</v>
      </c>
      <c r="F1280" s="13">
        <v>2021.0</v>
      </c>
      <c r="G1280" s="13">
        <v>28241.0</v>
      </c>
      <c r="H1280" s="13">
        <v>2552.13</v>
      </c>
      <c r="I1280" s="13">
        <f>' car_sales_data 1'!$G1280*0.2</f>
        <v>5648.2</v>
      </c>
      <c r="J1280" s="13" t="str">
        <f>TEXT(' car_sales_data 1'!$A1280,"mmmm")</f>
        <v>September</v>
      </c>
      <c r="K1280" s="13" t="str">
        <f>IF(' car_sales_data 1'!$G1280&gt;40000,"Premium",
 IF(' car_sales_data 1'!$G1280&gt;=20000,"Mid Range","Budget"))</f>
        <v>Mid Range</v>
      </c>
      <c r="L1280" s="13">
        <f>YEAR(TODAY())-' car_sales_data 1'!$F1280</f>
        <v>4</v>
      </c>
    </row>
    <row r="1281" ht="15.75" customHeight="1">
      <c r="A1281" s="16">
        <v>44990.0</v>
      </c>
      <c r="B1281" s="13" t="s">
        <v>2567</v>
      </c>
      <c r="C1281" s="13" t="s">
        <v>2568</v>
      </c>
      <c r="D1281" s="13" t="s">
        <v>6</v>
      </c>
      <c r="E1281" s="13" t="s">
        <v>54</v>
      </c>
      <c r="F1281" s="13">
        <v>2015.0</v>
      </c>
      <c r="G1281" s="13">
        <v>41214.0</v>
      </c>
      <c r="H1281" s="13">
        <v>2067.25</v>
      </c>
      <c r="I1281" s="13">
        <f>' car_sales_data 1'!$G1281*0.2</f>
        <v>8242.8</v>
      </c>
      <c r="J1281" s="13" t="str">
        <f>TEXT(' car_sales_data 1'!$A1281,"mmmm")</f>
        <v>March</v>
      </c>
      <c r="K1281" s="13" t="str">
        <f>IF(' car_sales_data 1'!$G1281&gt;40000,"Premium",
 IF(' car_sales_data 1'!$G1281&gt;=20000,"Mid Range","Budget"))</f>
        <v>Premium</v>
      </c>
      <c r="L1281" s="13">
        <f>YEAR(TODAY())-' car_sales_data 1'!$F1281</f>
        <v>10</v>
      </c>
    </row>
    <row r="1282" ht="15.75" customHeight="1">
      <c r="A1282" s="16">
        <v>44735.0</v>
      </c>
      <c r="B1282" s="13" t="s">
        <v>2569</v>
      </c>
      <c r="C1282" s="13" t="s">
        <v>2570</v>
      </c>
      <c r="D1282" s="13" t="s">
        <v>6</v>
      </c>
      <c r="E1282" s="13" t="s">
        <v>70</v>
      </c>
      <c r="F1282" s="13">
        <v>2019.0</v>
      </c>
      <c r="G1282" s="13">
        <v>45610.0</v>
      </c>
      <c r="H1282" s="13">
        <v>3889.35</v>
      </c>
      <c r="I1282" s="13">
        <f>' car_sales_data 1'!$G1282*0.2</f>
        <v>9122</v>
      </c>
      <c r="J1282" s="13" t="str">
        <f>TEXT(' car_sales_data 1'!$A1282,"mmmm")</f>
        <v>June</v>
      </c>
      <c r="K1282" s="13" t="str">
        <f>IF(' car_sales_data 1'!$G1282&gt;40000,"Premium",
 IF(' car_sales_data 1'!$G1282&gt;=20000,"Mid Range","Budget"))</f>
        <v>Premium</v>
      </c>
      <c r="L1282" s="13">
        <f>YEAR(TODAY())-' car_sales_data 1'!$F1282</f>
        <v>6</v>
      </c>
    </row>
    <row r="1283" ht="15.75" customHeight="1">
      <c r="A1283" s="16">
        <v>44819.0</v>
      </c>
      <c r="B1283" s="13" t="s">
        <v>2571</v>
      </c>
      <c r="C1283" s="13" t="s">
        <v>2572</v>
      </c>
      <c r="D1283" s="13" t="s">
        <v>6</v>
      </c>
      <c r="E1283" s="13" t="s">
        <v>57</v>
      </c>
      <c r="F1283" s="13">
        <v>2020.0</v>
      </c>
      <c r="G1283" s="13">
        <v>17467.0</v>
      </c>
      <c r="H1283" s="13">
        <v>1817.06</v>
      </c>
      <c r="I1283" s="13">
        <f>' car_sales_data 1'!$G1283*0.2</f>
        <v>3493.4</v>
      </c>
      <c r="J1283" s="13" t="str">
        <f>TEXT(' car_sales_data 1'!$A1283,"mmmm")</f>
        <v>September</v>
      </c>
      <c r="K1283" s="13" t="str">
        <f>IF(' car_sales_data 1'!$G1283&gt;40000,"Premium",
 IF(' car_sales_data 1'!$G1283&gt;=20000,"Mid Range","Budget"))</f>
        <v>Budget</v>
      </c>
      <c r="L1283" s="13">
        <f>YEAR(TODAY())-' car_sales_data 1'!$F1283</f>
        <v>5</v>
      </c>
    </row>
    <row r="1284" ht="15.75" customHeight="1">
      <c r="A1284" s="16">
        <v>44953.0</v>
      </c>
      <c r="B1284" s="13" t="s">
        <v>2573</v>
      </c>
      <c r="C1284" s="13" t="s">
        <v>2574</v>
      </c>
      <c r="D1284" s="13" t="s">
        <v>10</v>
      </c>
      <c r="E1284" s="13" t="s">
        <v>54</v>
      </c>
      <c r="F1284" s="13">
        <v>2018.0</v>
      </c>
      <c r="G1284" s="13">
        <v>47915.0</v>
      </c>
      <c r="H1284" s="13">
        <v>5748.25</v>
      </c>
      <c r="I1284" s="13">
        <f>' car_sales_data 1'!$G1284*0.2</f>
        <v>9583</v>
      </c>
      <c r="J1284" s="13" t="str">
        <f>TEXT(' car_sales_data 1'!$A1284,"mmmm")</f>
        <v>January</v>
      </c>
      <c r="K1284" s="13" t="str">
        <f>IF(' car_sales_data 1'!$G1284&gt;40000,"Premium",
 IF(' car_sales_data 1'!$G1284&gt;=20000,"Mid Range","Budget"))</f>
        <v>Premium</v>
      </c>
      <c r="L1284" s="13">
        <f>YEAR(TODAY())-' car_sales_data 1'!$F1284</f>
        <v>7</v>
      </c>
    </row>
    <row r="1285" ht="15.75" customHeight="1">
      <c r="A1285" s="16">
        <v>44993.0</v>
      </c>
      <c r="B1285" s="13" t="s">
        <v>2575</v>
      </c>
      <c r="C1285" s="13" t="s">
        <v>2576</v>
      </c>
      <c r="D1285" s="13" t="s">
        <v>6</v>
      </c>
      <c r="E1285" s="13" t="s">
        <v>62</v>
      </c>
      <c r="F1285" s="13">
        <v>2014.0</v>
      </c>
      <c r="G1285" s="13">
        <v>48217.0</v>
      </c>
      <c r="H1285" s="13">
        <v>5731.12</v>
      </c>
      <c r="I1285" s="13">
        <f>' car_sales_data 1'!$G1285*0.2</f>
        <v>9643.4</v>
      </c>
      <c r="J1285" s="13" t="str">
        <f>TEXT(' car_sales_data 1'!$A1285,"mmmm")</f>
        <v>March</v>
      </c>
      <c r="K1285" s="13" t="str">
        <f>IF(' car_sales_data 1'!$G1285&gt;40000,"Premium",
 IF(' car_sales_data 1'!$G1285&gt;=20000,"Mid Range","Budget"))</f>
        <v>Premium</v>
      </c>
      <c r="L1285" s="13">
        <f>YEAR(TODAY())-' car_sales_data 1'!$F1285</f>
        <v>11</v>
      </c>
    </row>
    <row r="1286" ht="15.75" customHeight="1">
      <c r="A1286" s="16">
        <v>44727.0</v>
      </c>
      <c r="B1286" s="13" t="s">
        <v>2577</v>
      </c>
      <c r="C1286" s="13" t="s">
        <v>2578</v>
      </c>
      <c r="D1286" s="13" t="s">
        <v>14</v>
      </c>
      <c r="E1286" s="13" t="s">
        <v>70</v>
      </c>
      <c r="F1286" s="13">
        <v>2019.0</v>
      </c>
      <c r="G1286" s="13">
        <v>48158.0</v>
      </c>
      <c r="H1286" s="13">
        <v>3950.62</v>
      </c>
      <c r="I1286" s="13">
        <f>' car_sales_data 1'!$G1286*0.2</f>
        <v>9631.6</v>
      </c>
      <c r="J1286" s="13" t="str">
        <f>TEXT(' car_sales_data 1'!$A1286,"mmmm")</f>
        <v>June</v>
      </c>
      <c r="K1286" s="13" t="str">
        <f>IF(' car_sales_data 1'!$G1286&gt;40000,"Premium",
 IF(' car_sales_data 1'!$G1286&gt;=20000,"Mid Range","Budget"))</f>
        <v>Premium</v>
      </c>
      <c r="L1286" s="13">
        <f>YEAR(TODAY())-' car_sales_data 1'!$F1286</f>
        <v>6</v>
      </c>
    </row>
    <row r="1287" ht="15.75" customHeight="1">
      <c r="A1287" s="16">
        <v>44862.0</v>
      </c>
      <c r="B1287" s="13" t="s">
        <v>2579</v>
      </c>
      <c r="C1287" s="13" t="s">
        <v>2580</v>
      </c>
      <c r="D1287" s="13" t="s">
        <v>12</v>
      </c>
      <c r="E1287" s="13" t="s">
        <v>54</v>
      </c>
      <c r="F1287" s="13">
        <v>2017.0</v>
      </c>
      <c r="G1287" s="13">
        <v>18120.0</v>
      </c>
      <c r="H1287" s="13">
        <v>1940.19</v>
      </c>
      <c r="I1287" s="13">
        <f>' car_sales_data 1'!$G1287*0.2</f>
        <v>3624</v>
      </c>
      <c r="J1287" s="13" t="str">
        <f>TEXT(' car_sales_data 1'!$A1287,"mmmm")</f>
        <v>October</v>
      </c>
      <c r="K1287" s="13" t="str">
        <f>IF(' car_sales_data 1'!$G1287&gt;40000,"Premium",
 IF(' car_sales_data 1'!$G1287&gt;=20000,"Mid Range","Budget"))</f>
        <v>Budget</v>
      </c>
      <c r="L1287" s="13">
        <f>YEAR(TODAY())-' car_sales_data 1'!$F1287</f>
        <v>8</v>
      </c>
    </row>
    <row r="1288" ht="15.75" customHeight="1">
      <c r="A1288" s="16">
        <v>44812.0</v>
      </c>
      <c r="B1288" s="13" t="s">
        <v>347</v>
      </c>
      <c r="C1288" s="13" t="s">
        <v>2581</v>
      </c>
      <c r="D1288" s="13" t="s">
        <v>12</v>
      </c>
      <c r="E1288" s="13" t="s">
        <v>70</v>
      </c>
      <c r="F1288" s="13">
        <v>2017.0</v>
      </c>
      <c r="G1288" s="13">
        <v>48931.0</v>
      </c>
      <c r="H1288" s="13">
        <v>5726.86</v>
      </c>
      <c r="I1288" s="13">
        <f>' car_sales_data 1'!$G1288*0.2</f>
        <v>9786.2</v>
      </c>
      <c r="J1288" s="13" t="str">
        <f>TEXT(' car_sales_data 1'!$A1288,"mmmm")</f>
        <v>September</v>
      </c>
      <c r="K1288" s="13" t="str">
        <f>IF(' car_sales_data 1'!$G1288&gt;40000,"Premium",
 IF(' car_sales_data 1'!$G1288&gt;=20000,"Mid Range","Budget"))</f>
        <v>Premium</v>
      </c>
      <c r="L1288" s="13">
        <f>YEAR(TODAY())-' car_sales_data 1'!$F1288</f>
        <v>8</v>
      </c>
    </row>
    <row r="1289" ht="15.75" customHeight="1">
      <c r="A1289" s="16">
        <v>44805.0</v>
      </c>
      <c r="B1289" s="13" t="s">
        <v>2582</v>
      </c>
      <c r="C1289" s="13" t="s">
        <v>2583</v>
      </c>
      <c r="D1289" s="13" t="s">
        <v>12</v>
      </c>
      <c r="E1289" s="13" t="s">
        <v>70</v>
      </c>
      <c r="F1289" s="13">
        <v>2010.0</v>
      </c>
      <c r="G1289" s="13">
        <v>23385.0</v>
      </c>
      <c r="H1289" s="13">
        <v>2201.99</v>
      </c>
      <c r="I1289" s="13">
        <f>' car_sales_data 1'!$G1289*0.2</f>
        <v>4677</v>
      </c>
      <c r="J1289" s="13" t="str">
        <f>TEXT(' car_sales_data 1'!$A1289,"mmmm")</f>
        <v>September</v>
      </c>
      <c r="K1289" s="13" t="str">
        <f>IF(' car_sales_data 1'!$G1289&gt;40000,"Premium",
 IF(' car_sales_data 1'!$G1289&gt;=20000,"Mid Range","Budget"))</f>
        <v>Mid Range</v>
      </c>
      <c r="L1289" s="13">
        <f>YEAR(TODAY())-' car_sales_data 1'!$F1289</f>
        <v>15</v>
      </c>
    </row>
    <row r="1290" ht="15.75" customHeight="1">
      <c r="A1290" s="16">
        <v>44797.0</v>
      </c>
      <c r="B1290" s="13" t="s">
        <v>2584</v>
      </c>
      <c r="C1290" s="13" t="s">
        <v>2585</v>
      </c>
      <c r="D1290" s="13" t="s">
        <v>6</v>
      </c>
      <c r="E1290" s="13" t="s">
        <v>51</v>
      </c>
      <c r="F1290" s="13">
        <v>2013.0</v>
      </c>
      <c r="G1290" s="13">
        <v>24553.0</v>
      </c>
      <c r="H1290" s="13">
        <v>1614.9</v>
      </c>
      <c r="I1290" s="13">
        <f>' car_sales_data 1'!$G1290*0.2</f>
        <v>4910.6</v>
      </c>
      <c r="J1290" s="13" t="str">
        <f>TEXT(' car_sales_data 1'!$A1290,"mmmm")</f>
        <v>August</v>
      </c>
      <c r="K1290" s="13" t="str">
        <f>IF(' car_sales_data 1'!$G1290&gt;40000,"Premium",
 IF(' car_sales_data 1'!$G1290&gt;=20000,"Mid Range","Budget"))</f>
        <v>Mid Range</v>
      </c>
      <c r="L1290" s="13">
        <f>YEAR(TODAY())-' car_sales_data 1'!$F1290</f>
        <v>12</v>
      </c>
    </row>
    <row r="1291" ht="15.75" customHeight="1">
      <c r="A1291" s="16">
        <v>44744.0</v>
      </c>
      <c r="B1291" s="13" t="s">
        <v>2586</v>
      </c>
      <c r="C1291" s="13" t="s">
        <v>2587</v>
      </c>
      <c r="D1291" s="13" t="s">
        <v>14</v>
      </c>
      <c r="E1291" s="13" t="s">
        <v>54</v>
      </c>
      <c r="F1291" s="13">
        <v>2011.0</v>
      </c>
      <c r="G1291" s="13">
        <v>44088.0</v>
      </c>
      <c r="H1291" s="13">
        <v>4681.63</v>
      </c>
      <c r="I1291" s="13">
        <f>' car_sales_data 1'!$G1291*0.2</f>
        <v>8817.6</v>
      </c>
      <c r="J1291" s="13" t="str">
        <f>TEXT(' car_sales_data 1'!$A1291,"mmmm")</f>
        <v>July</v>
      </c>
      <c r="K1291" s="13" t="str">
        <f>IF(' car_sales_data 1'!$G1291&gt;40000,"Premium",
 IF(' car_sales_data 1'!$G1291&gt;=20000,"Mid Range","Budget"))</f>
        <v>Premium</v>
      </c>
      <c r="L1291" s="13">
        <f>YEAR(TODAY())-' car_sales_data 1'!$F1291</f>
        <v>14</v>
      </c>
    </row>
    <row r="1292" ht="15.75" customHeight="1">
      <c r="A1292" s="16">
        <v>44979.0</v>
      </c>
      <c r="B1292" s="13" t="s">
        <v>2588</v>
      </c>
      <c r="C1292" s="13" t="s">
        <v>2589</v>
      </c>
      <c r="D1292" s="13" t="s">
        <v>12</v>
      </c>
      <c r="E1292" s="13" t="s">
        <v>70</v>
      </c>
      <c r="F1292" s="13">
        <v>2017.0</v>
      </c>
      <c r="G1292" s="13">
        <v>26139.0</v>
      </c>
      <c r="H1292" s="13">
        <v>2841.03</v>
      </c>
      <c r="I1292" s="13">
        <f>' car_sales_data 1'!$G1292*0.2</f>
        <v>5227.8</v>
      </c>
      <c r="J1292" s="13" t="str">
        <f>TEXT(' car_sales_data 1'!$A1292,"mmmm")</f>
        <v>February</v>
      </c>
      <c r="K1292" s="13" t="str">
        <f>IF(' car_sales_data 1'!$G1292&gt;40000,"Premium",
 IF(' car_sales_data 1'!$G1292&gt;=20000,"Mid Range","Budget"))</f>
        <v>Mid Range</v>
      </c>
      <c r="L1292" s="13">
        <f>YEAR(TODAY())-' car_sales_data 1'!$F1292</f>
        <v>8</v>
      </c>
    </row>
    <row r="1293" ht="15.75" customHeight="1">
      <c r="A1293" s="16">
        <v>45025.0</v>
      </c>
      <c r="B1293" s="13" t="s">
        <v>2590</v>
      </c>
      <c r="C1293" s="13" t="s">
        <v>2591</v>
      </c>
      <c r="D1293" s="13" t="s">
        <v>8</v>
      </c>
      <c r="E1293" s="13" t="s">
        <v>57</v>
      </c>
      <c r="F1293" s="13">
        <v>2017.0</v>
      </c>
      <c r="G1293" s="13">
        <v>33518.0</v>
      </c>
      <c r="H1293" s="13">
        <v>3828.18</v>
      </c>
      <c r="I1293" s="13">
        <f>' car_sales_data 1'!$G1293*0.2</f>
        <v>6703.6</v>
      </c>
      <c r="J1293" s="13" t="str">
        <f>TEXT(' car_sales_data 1'!$A1293,"mmmm")</f>
        <v>April</v>
      </c>
      <c r="K1293" s="13" t="str">
        <f>IF(' car_sales_data 1'!$G1293&gt;40000,"Premium",
 IF(' car_sales_data 1'!$G1293&gt;=20000,"Mid Range","Budget"))</f>
        <v>Mid Range</v>
      </c>
      <c r="L1293" s="13">
        <f>YEAR(TODAY())-' car_sales_data 1'!$F1293</f>
        <v>8</v>
      </c>
    </row>
    <row r="1294" ht="15.75" customHeight="1">
      <c r="A1294" s="16">
        <v>44862.0</v>
      </c>
      <c r="B1294" s="13" t="s">
        <v>2592</v>
      </c>
      <c r="C1294" s="13" t="s">
        <v>2593</v>
      </c>
      <c r="D1294" s="13" t="s">
        <v>12</v>
      </c>
      <c r="E1294" s="13" t="s">
        <v>57</v>
      </c>
      <c r="F1294" s="13">
        <v>2016.0</v>
      </c>
      <c r="G1294" s="13">
        <v>28316.0</v>
      </c>
      <c r="H1294" s="13">
        <v>2007.03</v>
      </c>
      <c r="I1294" s="13">
        <f>' car_sales_data 1'!$G1294*0.2</f>
        <v>5663.2</v>
      </c>
      <c r="J1294" s="13" t="str">
        <f>TEXT(' car_sales_data 1'!$A1294,"mmmm")</f>
        <v>October</v>
      </c>
      <c r="K1294" s="13" t="str">
        <f>IF(' car_sales_data 1'!$G1294&gt;40000,"Premium",
 IF(' car_sales_data 1'!$G1294&gt;=20000,"Mid Range","Budget"))</f>
        <v>Mid Range</v>
      </c>
      <c r="L1294" s="13">
        <f>YEAR(TODAY())-' car_sales_data 1'!$F1294</f>
        <v>9</v>
      </c>
    </row>
    <row r="1295" ht="15.75" customHeight="1">
      <c r="A1295" s="16">
        <v>44701.0</v>
      </c>
      <c r="B1295" s="13" t="s">
        <v>2594</v>
      </c>
      <c r="C1295" s="13" t="s">
        <v>2595</v>
      </c>
      <c r="D1295" s="13" t="s">
        <v>14</v>
      </c>
      <c r="E1295" s="13" t="s">
        <v>57</v>
      </c>
      <c r="F1295" s="13">
        <v>2016.0</v>
      </c>
      <c r="G1295" s="13">
        <v>26581.0</v>
      </c>
      <c r="H1295" s="13">
        <v>2930.01</v>
      </c>
      <c r="I1295" s="13">
        <f>' car_sales_data 1'!$G1295*0.2</f>
        <v>5316.2</v>
      </c>
      <c r="J1295" s="13" t="str">
        <f>TEXT(' car_sales_data 1'!$A1295,"mmmm")</f>
        <v>May</v>
      </c>
      <c r="K1295" s="13" t="str">
        <f>IF(' car_sales_data 1'!$G1295&gt;40000,"Premium",
 IF(' car_sales_data 1'!$G1295&gt;=20000,"Mid Range","Budget"))</f>
        <v>Mid Range</v>
      </c>
      <c r="L1295" s="13">
        <f>YEAR(TODAY())-' car_sales_data 1'!$F1295</f>
        <v>9</v>
      </c>
    </row>
    <row r="1296" ht="15.75" customHeight="1">
      <c r="A1296" s="16">
        <v>44837.0</v>
      </c>
      <c r="B1296" s="13" t="s">
        <v>2596</v>
      </c>
      <c r="C1296" s="13" t="s">
        <v>2222</v>
      </c>
      <c r="D1296" s="13" t="s">
        <v>14</v>
      </c>
      <c r="E1296" s="13" t="s">
        <v>54</v>
      </c>
      <c r="F1296" s="13">
        <v>2017.0</v>
      </c>
      <c r="G1296" s="13">
        <v>14607.0</v>
      </c>
      <c r="H1296" s="13">
        <v>1606.44</v>
      </c>
      <c r="I1296" s="13">
        <f>' car_sales_data 1'!$G1296*0.2</f>
        <v>2921.4</v>
      </c>
      <c r="J1296" s="13" t="str">
        <f>TEXT(' car_sales_data 1'!$A1296,"mmmm")</f>
        <v>October</v>
      </c>
      <c r="K1296" s="13" t="str">
        <f>IF(' car_sales_data 1'!$G1296&gt;40000,"Premium",
 IF(' car_sales_data 1'!$G1296&gt;=20000,"Mid Range","Budget"))</f>
        <v>Budget</v>
      </c>
      <c r="L1296" s="13">
        <f>YEAR(TODAY())-' car_sales_data 1'!$F1296</f>
        <v>8</v>
      </c>
    </row>
    <row r="1297" ht="15.75" customHeight="1">
      <c r="A1297" s="16">
        <v>44976.0</v>
      </c>
      <c r="B1297" s="13" t="s">
        <v>2597</v>
      </c>
      <c r="C1297" s="13" t="s">
        <v>2598</v>
      </c>
      <c r="D1297" s="13" t="s">
        <v>10</v>
      </c>
      <c r="E1297" s="13" t="s">
        <v>70</v>
      </c>
      <c r="F1297" s="13">
        <v>2016.0</v>
      </c>
      <c r="G1297" s="13">
        <v>42371.0</v>
      </c>
      <c r="H1297" s="13">
        <v>3494.13</v>
      </c>
      <c r="I1297" s="13">
        <f>' car_sales_data 1'!$G1297*0.2</f>
        <v>8474.2</v>
      </c>
      <c r="J1297" s="13" t="str">
        <f>TEXT(' car_sales_data 1'!$A1297,"mmmm")</f>
        <v>February</v>
      </c>
      <c r="K1297" s="13" t="str">
        <f>IF(' car_sales_data 1'!$G1297&gt;40000,"Premium",
 IF(' car_sales_data 1'!$G1297&gt;=20000,"Mid Range","Budget"))</f>
        <v>Premium</v>
      </c>
      <c r="L1297" s="13">
        <f>YEAR(TODAY())-' car_sales_data 1'!$F1297</f>
        <v>9</v>
      </c>
    </row>
    <row r="1298" ht="15.75" customHeight="1">
      <c r="A1298" s="16">
        <v>44928.0</v>
      </c>
      <c r="B1298" s="13" t="s">
        <v>2599</v>
      </c>
      <c r="C1298" s="13" t="s">
        <v>2600</v>
      </c>
      <c r="D1298" s="13" t="s">
        <v>8</v>
      </c>
      <c r="E1298" s="13" t="s">
        <v>70</v>
      </c>
      <c r="F1298" s="13">
        <v>2012.0</v>
      </c>
      <c r="G1298" s="13">
        <v>27022.0</v>
      </c>
      <c r="H1298" s="13">
        <v>2044.2</v>
      </c>
      <c r="I1298" s="13">
        <f>' car_sales_data 1'!$G1298*0.2</f>
        <v>5404.4</v>
      </c>
      <c r="J1298" s="13" t="str">
        <f>TEXT(' car_sales_data 1'!$A1298,"mmmm")</f>
        <v>January</v>
      </c>
      <c r="K1298" s="13" t="str">
        <f>IF(' car_sales_data 1'!$G1298&gt;40000,"Premium",
 IF(' car_sales_data 1'!$G1298&gt;=20000,"Mid Range","Budget"))</f>
        <v>Mid Range</v>
      </c>
      <c r="L1298" s="13">
        <f>YEAR(TODAY())-' car_sales_data 1'!$F1298</f>
        <v>13</v>
      </c>
    </row>
    <row r="1299" ht="15.75" customHeight="1">
      <c r="A1299" s="16">
        <v>44747.0</v>
      </c>
      <c r="B1299" s="13" t="s">
        <v>1265</v>
      </c>
      <c r="C1299" s="13" t="s">
        <v>2601</v>
      </c>
      <c r="D1299" s="13" t="s">
        <v>6</v>
      </c>
      <c r="E1299" s="13" t="s">
        <v>54</v>
      </c>
      <c r="F1299" s="13">
        <v>2018.0</v>
      </c>
      <c r="G1299" s="13">
        <v>11743.0</v>
      </c>
      <c r="H1299" s="13">
        <v>1240.97</v>
      </c>
      <c r="I1299" s="13">
        <f>' car_sales_data 1'!$G1299*0.2</f>
        <v>2348.6</v>
      </c>
      <c r="J1299" s="13" t="str">
        <f>TEXT(' car_sales_data 1'!$A1299,"mmmm")</f>
        <v>July</v>
      </c>
      <c r="K1299" s="13" t="str">
        <f>IF(' car_sales_data 1'!$G1299&gt;40000,"Premium",
 IF(' car_sales_data 1'!$G1299&gt;=20000,"Mid Range","Budget"))</f>
        <v>Budget</v>
      </c>
      <c r="L1299" s="13">
        <f>YEAR(TODAY())-' car_sales_data 1'!$F1299</f>
        <v>7</v>
      </c>
    </row>
    <row r="1300" ht="15.75" customHeight="1">
      <c r="A1300" s="16">
        <v>45014.0</v>
      </c>
      <c r="B1300" s="13" t="s">
        <v>2602</v>
      </c>
      <c r="C1300" s="13" t="s">
        <v>2603</v>
      </c>
      <c r="D1300" s="13" t="s">
        <v>14</v>
      </c>
      <c r="E1300" s="13" t="s">
        <v>54</v>
      </c>
      <c r="F1300" s="13">
        <v>2012.0</v>
      </c>
      <c r="G1300" s="13">
        <v>11338.0</v>
      </c>
      <c r="H1300" s="13">
        <v>1683.7</v>
      </c>
      <c r="I1300" s="13">
        <f>' car_sales_data 1'!$G1300*0.2</f>
        <v>2267.6</v>
      </c>
      <c r="J1300" s="13" t="str">
        <f>TEXT(' car_sales_data 1'!$A1300,"mmmm")</f>
        <v>March</v>
      </c>
      <c r="K1300" s="13" t="str">
        <f>IF(' car_sales_data 1'!$G1300&gt;40000,"Premium",
 IF(' car_sales_data 1'!$G1300&gt;=20000,"Mid Range","Budget"))</f>
        <v>Budget</v>
      </c>
      <c r="L1300" s="13">
        <f>YEAR(TODAY())-' car_sales_data 1'!$F1300</f>
        <v>13</v>
      </c>
    </row>
    <row r="1301" ht="15.75" customHeight="1">
      <c r="A1301" s="16">
        <v>44703.0</v>
      </c>
      <c r="B1301" s="13" t="s">
        <v>2604</v>
      </c>
      <c r="C1301" s="13" t="s">
        <v>2605</v>
      </c>
      <c r="D1301" s="13" t="s">
        <v>14</v>
      </c>
      <c r="E1301" s="13" t="s">
        <v>62</v>
      </c>
      <c r="F1301" s="13">
        <v>2014.0</v>
      </c>
      <c r="G1301" s="13">
        <v>39240.0</v>
      </c>
      <c r="H1301" s="13">
        <v>3924.8</v>
      </c>
      <c r="I1301" s="13">
        <f>' car_sales_data 1'!$G1301*0.2</f>
        <v>7848</v>
      </c>
      <c r="J1301" s="13" t="str">
        <f>TEXT(' car_sales_data 1'!$A1301,"mmmm")</f>
        <v>May</v>
      </c>
      <c r="K1301" s="13" t="str">
        <f>IF(' car_sales_data 1'!$G1301&gt;40000,"Premium",
 IF(' car_sales_data 1'!$G1301&gt;=20000,"Mid Range","Budget"))</f>
        <v>Mid Range</v>
      </c>
      <c r="L1301" s="13">
        <f>YEAR(TODAY())-' car_sales_data 1'!$F1301</f>
        <v>11</v>
      </c>
    </row>
    <row r="1302" ht="15.75" customHeight="1">
      <c r="A1302" s="16">
        <v>44847.0</v>
      </c>
      <c r="B1302" s="13" t="s">
        <v>2606</v>
      </c>
      <c r="C1302" s="13" t="s">
        <v>2607</v>
      </c>
      <c r="D1302" s="13" t="s">
        <v>14</v>
      </c>
      <c r="E1302" s="13" t="s">
        <v>57</v>
      </c>
      <c r="F1302" s="13">
        <v>2022.0</v>
      </c>
      <c r="G1302" s="13">
        <v>34287.0</v>
      </c>
      <c r="H1302" s="13">
        <v>2234.03</v>
      </c>
      <c r="I1302" s="13">
        <f>' car_sales_data 1'!$G1302*0.2</f>
        <v>6857.4</v>
      </c>
      <c r="J1302" s="13" t="str">
        <f>TEXT(' car_sales_data 1'!$A1302,"mmmm")</f>
        <v>October</v>
      </c>
      <c r="K1302" s="13" t="str">
        <f>IF(' car_sales_data 1'!$G1302&gt;40000,"Premium",
 IF(' car_sales_data 1'!$G1302&gt;=20000,"Mid Range","Budget"))</f>
        <v>Mid Range</v>
      </c>
      <c r="L1302" s="13">
        <f>YEAR(TODAY())-' car_sales_data 1'!$F1302</f>
        <v>3</v>
      </c>
    </row>
    <row r="1303" ht="15.75" customHeight="1">
      <c r="A1303" s="16">
        <v>44693.0</v>
      </c>
      <c r="B1303" s="13" t="s">
        <v>2608</v>
      </c>
      <c r="C1303" s="13" t="s">
        <v>2609</v>
      </c>
      <c r="D1303" s="13" t="s">
        <v>6</v>
      </c>
      <c r="E1303" s="13" t="s">
        <v>70</v>
      </c>
      <c r="F1303" s="13">
        <v>2022.0</v>
      </c>
      <c r="G1303" s="13">
        <v>47698.0</v>
      </c>
      <c r="H1303" s="13">
        <v>3444.33</v>
      </c>
      <c r="I1303" s="13">
        <f>' car_sales_data 1'!$G1303*0.2</f>
        <v>9539.6</v>
      </c>
      <c r="J1303" s="13" t="str">
        <f>TEXT(' car_sales_data 1'!$A1303,"mmmm")</f>
        <v>May</v>
      </c>
      <c r="K1303" s="13" t="str">
        <f>IF(' car_sales_data 1'!$G1303&gt;40000,"Premium",
 IF(' car_sales_data 1'!$G1303&gt;=20000,"Mid Range","Budget"))</f>
        <v>Premium</v>
      </c>
      <c r="L1303" s="13">
        <f>YEAR(TODAY())-' car_sales_data 1'!$F1303</f>
        <v>3</v>
      </c>
    </row>
    <row r="1304" ht="15.75" customHeight="1">
      <c r="A1304" s="16">
        <v>44767.0</v>
      </c>
      <c r="B1304" s="13" t="s">
        <v>5</v>
      </c>
      <c r="C1304" s="13" t="s">
        <v>2610</v>
      </c>
      <c r="D1304" s="13" t="s">
        <v>12</v>
      </c>
      <c r="E1304" s="13" t="s">
        <v>54</v>
      </c>
      <c r="F1304" s="13">
        <v>2014.0</v>
      </c>
      <c r="G1304" s="13">
        <v>47272.0</v>
      </c>
      <c r="H1304" s="13">
        <v>4582.17</v>
      </c>
      <c r="I1304" s="13">
        <f>' car_sales_data 1'!$G1304*0.2</f>
        <v>9454.4</v>
      </c>
      <c r="J1304" s="13" t="str">
        <f>TEXT(' car_sales_data 1'!$A1304,"mmmm")</f>
        <v>July</v>
      </c>
      <c r="K1304" s="13" t="str">
        <f>IF(' car_sales_data 1'!$G1304&gt;40000,"Premium",
 IF(' car_sales_data 1'!$G1304&gt;=20000,"Mid Range","Budget"))</f>
        <v>Premium</v>
      </c>
      <c r="L1304" s="13">
        <f>YEAR(TODAY())-' car_sales_data 1'!$F1304</f>
        <v>11</v>
      </c>
    </row>
    <row r="1305" ht="15.75" customHeight="1">
      <c r="A1305" s="16">
        <v>44748.0</v>
      </c>
      <c r="B1305" s="13" t="s">
        <v>2611</v>
      </c>
      <c r="C1305" s="13" t="s">
        <v>2612</v>
      </c>
      <c r="D1305" s="13" t="s">
        <v>10</v>
      </c>
      <c r="E1305" s="13" t="s">
        <v>54</v>
      </c>
      <c r="F1305" s="13">
        <v>2018.0</v>
      </c>
      <c r="G1305" s="13">
        <v>33003.0</v>
      </c>
      <c r="H1305" s="13">
        <v>4733.49</v>
      </c>
      <c r="I1305" s="13">
        <f>' car_sales_data 1'!$G1305*0.2</f>
        <v>6600.6</v>
      </c>
      <c r="J1305" s="13" t="str">
        <f>TEXT(' car_sales_data 1'!$A1305,"mmmm")</f>
        <v>July</v>
      </c>
      <c r="K1305" s="13" t="str">
        <f>IF(' car_sales_data 1'!$G1305&gt;40000,"Premium",
 IF(' car_sales_data 1'!$G1305&gt;=20000,"Mid Range","Budget"))</f>
        <v>Mid Range</v>
      </c>
      <c r="L1305" s="13">
        <f>YEAR(TODAY())-' car_sales_data 1'!$F1305</f>
        <v>7</v>
      </c>
    </row>
    <row r="1306" ht="15.75" customHeight="1">
      <c r="A1306" s="16">
        <v>44912.0</v>
      </c>
      <c r="B1306" s="13" t="s">
        <v>2613</v>
      </c>
      <c r="C1306" s="13" t="s">
        <v>2614</v>
      </c>
      <c r="D1306" s="13" t="s">
        <v>14</v>
      </c>
      <c r="E1306" s="13" t="s">
        <v>54</v>
      </c>
      <c r="F1306" s="13">
        <v>2013.0</v>
      </c>
      <c r="G1306" s="13">
        <v>19723.0</v>
      </c>
      <c r="H1306" s="13">
        <v>1770.61</v>
      </c>
      <c r="I1306" s="13">
        <f>' car_sales_data 1'!$G1306*0.2</f>
        <v>3944.6</v>
      </c>
      <c r="J1306" s="13" t="str">
        <f>TEXT(' car_sales_data 1'!$A1306,"mmmm")</f>
        <v>December</v>
      </c>
      <c r="K1306" s="13" t="str">
        <f>IF(' car_sales_data 1'!$G1306&gt;40000,"Premium",
 IF(' car_sales_data 1'!$G1306&gt;=20000,"Mid Range","Budget"))</f>
        <v>Budget</v>
      </c>
      <c r="L1306" s="13">
        <f>YEAR(TODAY())-' car_sales_data 1'!$F1306</f>
        <v>12</v>
      </c>
    </row>
    <row r="1307" ht="15.75" customHeight="1">
      <c r="A1307" s="16">
        <v>44997.0</v>
      </c>
      <c r="B1307" s="13" t="s">
        <v>2615</v>
      </c>
      <c r="C1307" s="13" t="s">
        <v>2616</v>
      </c>
      <c r="D1307" s="13" t="s">
        <v>6</v>
      </c>
      <c r="E1307" s="13" t="s">
        <v>54</v>
      </c>
      <c r="F1307" s="13">
        <v>2010.0</v>
      </c>
      <c r="G1307" s="13">
        <v>19900.0</v>
      </c>
      <c r="H1307" s="13">
        <v>2122.54</v>
      </c>
      <c r="I1307" s="13">
        <f>' car_sales_data 1'!$G1307*0.2</f>
        <v>3980</v>
      </c>
      <c r="J1307" s="13" t="str">
        <f>TEXT(' car_sales_data 1'!$A1307,"mmmm")</f>
        <v>March</v>
      </c>
      <c r="K1307" s="13" t="str">
        <f>IF(' car_sales_data 1'!$G1307&gt;40000,"Premium",
 IF(' car_sales_data 1'!$G1307&gt;=20000,"Mid Range","Budget"))</f>
        <v>Budget</v>
      </c>
      <c r="L1307" s="13">
        <f>YEAR(TODAY())-' car_sales_data 1'!$F1307</f>
        <v>15</v>
      </c>
    </row>
    <row r="1308" ht="15.75" customHeight="1">
      <c r="A1308" s="16">
        <v>44948.0</v>
      </c>
      <c r="B1308" s="13" t="s">
        <v>2617</v>
      </c>
      <c r="C1308" s="13" t="s">
        <v>2618</v>
      </c>
      <c r="D1308" s="13" t="s">
        <v>12</v>
      </c>
      <c r="E1308" s="13" t="s">
        <v>70</v>
      </c>
      <c r="F1308" s="13">
        <v>2021.0</v>
      </c>
      <c r="G1308" s="13">
        <v>23353.0</v>
      </c>
      <c r="H1308" s="13">
        <v>3257.32</v>
      </c>
      <c r="I1308" s="13">
        <f>' car_sales_data 1'!$G1308*0.2</f>
        <v>4670.6</v>
      </c>
      <c r="J1308" s="13" t="str">
        <f>TEXT(' car_sales_data 1'!$A1308,"mmmm")</f>
        <v>January</v>
      </c>
      <c r="K1308" s="13" t="str">
        <f>IF(' car_sales_data 1'!$G1308&gt;40000,"Premium",
 IF(' car_sales_data 1'!$G1308&gt;=20000,"Mid Range","Budget"))</f>
        <v>Mid Range</v>
      </c>
      <c r="L1308" s="13">
        <f>YEAR(TODAY())-' car_sales_data 1'!$F1308</f>
        <v>4</v>
      </c>
    </row>
    <row r="1309" ht="15.75" customHeight="1">
      <c r="A1309" s="16">
        <v>44700.0</v>
      </c>
      <c r="B1309" s="13" t="s">
        <v>2619</v>
      </c>
      <c r="C1309" s="13" t="s">
        <v>2620</v>
      </c>
      <c r="D1309" s="13" t="s">
        <v>8</v>
      </c>
      <c r="E1309" s="13" t="s">
        <v>54</v>
      </c>
      <c r="F1309" s="13">
        <v>2015.0</v>
      </c>
      <c r="G1309" s="13">
        <v>19980.0</v>
      </c>
      <c r="H1309" s="13">
        <v>2807.95</v>
      </c>
      <c r="I1309" s="13">
        <f>' car_sales_data 1'!$G1309*0.2</f>
        <v>3996</v>
      </c>
      <c r="J1309" s="13" t="str">
        <f>TEXT(' car_sales_data 1'!$A1309,"mmmm")</f>
        <v>May</v>
      </c>
      <c r="K1309" s="13" t="str">
        <f>IF(' car_sales_data 1'!$G1309&gt;40000,"Premium",
 IF(' car_sales_data 1'!$G1309&gt;=20000,"Mid Range","Budget"))</f>
        <v>Budget</v>
      </c>
      <c r="L1309" s="13">
        <f>YEAR(TODAY())-' car_sales_data 1'!$F1309</f>
        <v>10</v>
      </c>
    </row>
    <row r="1310" ht="15.75" customHeight="1">
      <c r="A1310" s="16">
        <v>44908.0</v>
      </c>
      <c r="B1310" s="13" t="s">
        <v>2621</v>
      </c>
      <c r="C1310" s="13" t="s">
        <v>2622</v>
      </c>
      <c r="D1310" s="13" t="s">
        <v>12</v>
      </c>
      <c r="E1310" s="13" t="s">
        <v>51</v>
      </c>
      <c r="F1310" s="13">
        <v>2018.0</v>
      </c>
      <c r="G1310" s="13">
        <v>17593.0</v>
      </c>
      <c r="H1310" s="13">
        <v>2205.77</v>
      </c>
      <c r="I1310" s="13">
        <f>' car_sales_data 1'!$G1310*0.2</f>
        <v>3518.6</v>
      </c>
      <c r="J1310" s="13" t="str">
        <f>TEXT(' car_sales_data 1'!$A1310,"mmmm")</f>
        <v>December</v>
      </c>
      <c r="K1310" s="13" t="str">
        <f>IF(' car_sales_data 1'!$G1310&gt;40000,"Premium",
 IF(' car_sales_data 1'!$G1310&gt;=20000,"Mid Range","Budget"))</f>
        <v>Budget</v>
      </c>
      <c r="L1310" s="13">
        <f>YEAR(TODAY())-' car_sales_data 1'!$F1310</f>
        <v>7</v>
      </c>
    </row>
    <row r="1311" ht="15.75" customHeight="1">
      <c r="A1311" s="16">
        <v>44750.0</v>
      </c>
      <c r="B1311" s="13" t="s">
        <v>2623</v>
      </c>
      <c r="C1311" s="13" t="s">
        <v>2624</v>
      </c>
      <c r="D1311" s="13" t="s">
        <v>14</v>
      </c>
      <c r="E1311" s="13" t="s">
        <v>62</v>
      </c>
      <c r="F1311" s="13">
        <v>2021.0</v>
      </c>
      <c r="G1311" s="13">
        <v>45798.0</v>
      </c>
      <c r="H1311" s="13">
        <v>4737.96</v>
      </c>
      <c r="I1311" s="13">
        <f>' car_sales_data 1'!$G1311*0.2</f>
        <v>9159.6</v>
      </c>
      <c r="J1311" s="13" t="str">
        <f>TEXT(' car_sales_data 1'!$A1311,"mmmm")</f>
        <v>July</v>
      </c>
      <c r="K1311" s="13" t="str">
        <f>IF(' car_sales_data 1'!$G1311&gt;40000,"Premium",
 IF(' car_sales_data 1'!$G1311&gt;=20000,"Mid Range","Budget"))</f>
        <v>Premium</v>
      </c>
      <c r="L1311" s="13">
        <f>YEAR(TODAY())-' car_sales_data 1'!$F1311</f>
        <v>4</v>
      </c>
    </row>
    <row r="1312" ht="15.75" customHeight="1">
      <c r="A1312" s="16">
        <v>45002.0</v>
      </c>
      <c r="B1312" s="13" t="s">
        <v>2625</v>
      </c>
      <c r="C1312" s="13" t="s">
        <v>2626</v>
      </c>
      <c r="D1312" s="13" t="s">
        <v>8</v>
      </c>
      <c r="E1312" s="13" t="s">
        <v>70</v>
      </c>
      <c r="F1312" s="13">
        <v>2011.0</v>
      </c>
      <c r="G1312" s="13">
        <v>18266.0</v>
      </c>
      <c r="H1312" s="13">
        <v>2223.15</v>
      </c>
      <c r="I1312" s="13">
        <f>' car_sales_data 1'!$G1312*0.2</f>
        <v>3653.2</v>
      </c>
      <c r="J1312" s="13" t="str">
        <f>TEXT(' car_sales_data 1'!$A1312,"mmmm")</f>
        <v>March</v>
      </c>
      <c r="K1312" s="13" t="str">
        <f>IF(' car_sales_data 1'!$G1312&gt;40000,"Premium",
 IF(' car_sales_data 1'!$G1312&gt;=20000,"Mid Range","Budget"))</f>
        <v>Budget</v>
      </c>
      <c r="L1312" s="13">
        <f>YEAR(TODAY())-' car_sales_data 1'!$F1312</f>
        <v>14</v>
      </c>
    </row>
    <row r="1313" ht="15.75" customHeight="1">
      <c r="A1313" s="16">
        <v>44911.0</v>
      </c>
      <c r="B1313" s="13" t="s">
        <v>2627</v>
      </c>
      <c r="C1313" s="13" t="s">
        <v>2628</v>
      </c>
      <c r="D1313" s="13" t="s">
        <v>10</v>
      </c>
      <c r="E1313" s="13" t="s">
        <v>70</v>
      </c>
      <c r="F1313" s="13">
        <v>2014.0</v>
      </c>
      <c r="G1313" s="13">
        <v>12709.0</v>
      </c>
      <c r="H1313" s="13">
        <v>1775.96</v>
      </c>
      <c r="I1313" s="13">
        <f>' car_sales_data 1'!$G1313*0.2</f>
        <v>2541.8</v>
      </c>
      <c r="J1313" s="13" t="str">
        <f>TEXT(' car_sales_data 1'!$A1313,"mmmm")</f>
        <v>December</v>
      </c>
      <c r="K1313" s="13" t="str">
        <f>IF(' car_sales_data 1'!$G1313&gt;40000,"Premium",
 IF(' car_sales_data 1'!$G1313&gt;=20000,"Mid Range","Budget"))</f>
        <v>Budget</v>
      </c>
      <c r="L1313" s="13">
        <f>YEAR(TODAY())-' car_sales_data 1'!$F1313</f>
        <v>11</v>
      </c>
    </row>
    <row r="1314" ht="15.75" customHeight="1">
      <c r="A1314" s="16">
        <v>44920.0</v>
      </c>
      <c r="B1314" s="13" t="s">
        <v>2629</v>
      </c>
      <c r="C1314" s="13" t="s">
        <v>2630</v>
      </c>
      <c r="D1314" s="13" t="s">
        <v>12</v>
      </c>
      <c r="E1314" s="13" t="s">
        <v>62</v>
      </c>
      <c r="F1314" s="13">
        <v>2018.0</v>
      </c>
      <c r="G1314" s="13">
        <v>47391.0</v>
      </c>
      <c r="H1314" s="13">
        <v>3808.36</v>
      </c>
      <c r="I1314" s="13">
        <f>' car_sales_data 1'!$G1314*0.2</f>
        <v>9478.2</v>
      </c>
      <c r="J1314" s="13" t="str">
        <f>TEXT(' car_sales_data 1'!$A1314,"mmmm")</f>
        <v>December</v>
      </c>
      <c r="K1314" s="13" t="str">
        <f>IF(' car_sales_data 1'!$G1314&gt;40000,"Premium",
 IF(' car_sales_data 1'!$G1314&gt;=20000,"Mid Range","Budget"))</f>
        <v>Premium</v>
      </c>
      <c r="L1314" s="13">
        <f>YEAR(TODAY())-' car_sales_data 1'!$F1314</f>
        <v>7</v>
      </c>
    </row>
    <row r="1315" ht="15.75" customHeight="1">
      <c r="A1315" s="16">
        <v>44917.0</v>
      </c>
      <c r="B1315" s="13" t="s">
        <v>2631</v>
      </c>
      <c r="C1315" s="13" t="s">
        <v>2632</v>
      </c>
      <c r="D1315" s="13" t="s">
        <v>10</v>
      </c>
      <c r="E1315" s="13" t="s">
        <v>62</v>
      </c>
      <c r="F1315" s="13">
        <v>2019.0</v>
      </c>
      <c r="G1315" s="13">
        <v>38673.0</v>
      </c>
      <c r="H1315" s="13">
        <v>4727.0</v>
      </c>
      <c r="I1315" s="13">
        <f>' car_sales_data 1'!$G1315*0.2</f>
        <v>7734.6</v>
      </c>
      <c r="J1315" s="13" t="str">
        <f>TEXT(' car_sales_data 1'!$A1315,"mmmm")</f>
        <v>December</v>
      </c>
      <c r="K1315" s="13" t="str">
        <f>IF(' car_sales_data 1'!$G1315&gt;40000,"Premium",
 IF(' car_sales_data 1'!$G1315&gt;=20000,"Mid Range","Budget"))</f>
        <v>Mid Range</v>
      </c>
      <c r="L1315" s="13">
        <f>YEAR(TODAY())-' car_sales_data 1'!$F1315</f>
        <v>6</v>
      </c>
    </row>
    <row r="1316" ht="15.75" customHeight="1">
      <c r="A1316" s="16">
        <v>44993.0</v>
      </c>
      <c r="B1316" s="13" t="s">
        <v>2633</v>
      </c>
      <c r="C1316" s="13" t="s">
        <v>2634</v>
      </c>
      <c r="D1316" s="13" t="s">
        <v>8</v>
      </c>
      <c r="E1316" s="13" t="s">
        <v>62</v>
      </c>
      <c r="F1316" s="13">
        <v>2018.0</v>
      </c>
      <c r="G1316" s="13">
        <v>36634.0</v>
      </c>
      <c r="H1316" s="13">
        <v>4302.5</v>
      </c>
      <c r="I1316" s="13">
        <f>' car_sales_data 1'!$G1316*0.2</f>
        <v>7326.8</v>
      </c>
      <c r="J1316" s="13" t="str">
        <f>TEXT(' car_sales_data 1'!$A1316,"mmmm")</f>
        <v>March</v>
      </c>
      <c r="K1316" s="13" t="str">
        <f>IF(' car_sales_data 1'!$G1316&gt;40000,"Premium",
 IF(' car_sales_data 1'!$G1316&gt;=20000,"Mid Range","Budget"))</f>
        <v>Mid Range</v>
      </c>
      <c r="L1316" s="13">
        <f>YEAR(TODAY())-' car_sales_data 1'!$F1316</f>
        <v>7</v>
      </c>
    </row>
    <row r="1317" ht="15.75" customHeight="1">
      <c r="A1317" s="16">
        <v>44939.0</v>
      </c>
      <c r="B1317" s="13" t="s">
        <v>2635</v>
      </c>
      <c r="C1317" s="13" t="s">
        <v>2636</v>
      </c>
      <c r="D1317" s="13" t="s">
        <v>12</v>
      </c>
      <c r="E1317" s="13" t="s">
        <v>51</v>
      </c>
      <c r="F1317" s="13">
        <v>2019.0</v>
      </c>
      <c r="G1317" s="13">
        <v>38398.0</v>
      </c>
      <c r="H1317" s="13">
        <v>3891.82</v>
      </c>
      <c r="I1317" s="13">
        <f>' car_sales_data 1'!$G1317*0.2</f>
        <v>7679.6</v>
      </c>
      <c r="J1317" s="13" t="str">
        <f>TEXT(' car_sales_data 1'!$A1317,"mmmm")</f>
        <v>January</v>
      </c>
      <c r="K1317" s="13" t="str">
        <f>IF(' car_sales_data 1'!$G1317&gt;40000,"Premium",
 IF(' car_sales_data 1'!$G1317&gt;=20000,"Mid Range","Budget"))</f>
        <v>Mid Range</v>
      </c>
      <c r="L1317" s="13">
        <f>YEAR(TODAY())-' car_sales_data 1'!$F1317</f>
        <v>6</v>
      </c>
    </row>
    <row r="1318" ht="15.75" customHeight="1">
      <c r="A1318" s="16">
        <v>45043.0</v>
      </c>
      <c r="B1318" s="13" t="s">
        <v>2637</v>
      </c>
      <c r="C1318" s="13" t="s">
        <v>2638</v>
      </c>
      <c r="D1318" s="13" t="s">
        <v>12</v>
      </c>
      <c r="E1318" s="13" t="s">
        <v>54</v>
      </c>
      <c r="F1318" s="13">
        <v>2022.0</v>
      </c>
      <c r="G1318" s="13">
        <v>48255.0</v>
      </c>
      <c r="H1318" s="13">
        <v>4705.48</v>
      </c>
      <c r="I1318" s="13">
        <f>' car_sales_data 1'!$G1318*0.2</f>
        <v>9651</v>
      </c>
      <c r="J1318" s="13" t="str">
        <f>TEXT(' car_sales_data 1'!$A1318,"mmmm")</f>
        <v>April</v>
      </c>
      <c r="K1318" s="13" t="str">
        <f>IF(' car_sales_data 1'!$G1318&gt;40000,"Premium",
 IF(' car_sales_data 1'!$G1318&gt;=20000,"Mid Range","Budget"))</f>
        <v>Premium</v>
      </c>
      <c r="L1318" s="13">
        <f>YEAR(TODAY())-' car_sales_data 1'!$F1318</f>
        <v>3</v>
      </c>
    </row>
    <row r="1319" ht="15.75" customHeight="1">
      <c r="A1319" s="16">
        <v>44992.0</v>
      </c>
      <c r="B1319" s="13" t="s">
        <v>2639</v>
      </c>
      <c r="C1319" s="13" t="s">
        <v>2640</v>
      </c>
      <c r="D1319" s="13" t="s">
        <v>12</v>
      </c>
      <c r="E1319" s="13" t="s">
        <v>62</v>
      </c>
      <c r="F1319" s="13">
        <v>2015.0</v>
      </c>
      <c r="G1319" s="13">
        <v>21850.0</v>
      </c>
      <c r="H1319" s="13">
        <v>1691.21</v>
      </c>
      <c r="I1319" s="13">
        <f>' car_sales_data 1'!$G1319*0.2</f>
        <v>4370</v>
      </c>
      <c r="J1319" s="13" t="str">
        <f>TEXT(' car_sales_data 1'!$A1319,"mmmm")</f>
        <v>March</v>
      </c>
      <c r="K1319" s="13" t="str">
        <f>IF(' car_sales_data 1'!$G1319&gt;40000,"Premium",
 IF(' car_sales_data 1'!$G1319&gt;=20000,"Mid Range","Budget"))</f>
        <v>Mid Range</v>
      </c>
      <c r="L1319" s="13">
        <f>YEAR(TODAY())-' car_sales_data 1'!$F1319</f>
        <v>10</v>
      </c>
    </row>
    <row r="1320" ht="15.75" customHeight="1">
      <c r="A1320" s="16">
        <v>44775.0</v>
      </c>
      <c r="B1320" s="13" t="s">
        <v>2641</v>
      </c>
      <c r="C1320" s="13" t="s">
        <v>2642</v>
      </c>
      <c r="D1320" s="13" t="s">
        <v>6</v>
      </c>
      <c r="E1320" s="13" t="s">
        <v>62</v>
      </c>
      <c r="F1320" s="13">
        <v>2013.0</v>
      </c>
      <c r="G1320" s="13">
        <v>38687.0</v>
      </c>
      <c r="H1320" s="13">
        <v>4525.4</v>
      </c>
      <c r="I1320" s="13">
        <f>' car_sales_data 1'!$G1320*0.2</f>
        <v>7737.4</v>
      </c>
      <c r="J1320" s="13" t="str">
        <f>TEXT(' car_sales_data 1'!$A1320,"mmmm")</f>
        <v>August</v>
      </c>
      <c r="K1320" s="13" t="str">
        <f>IF(' car_sales_data 1'!$G1320&gt;40000,"Premium",
 IF(' car_sales_data 1'!$G1320&gt;=20000,"Mid Range","Budget"))</f>
        <v>Mid Range</v>
      </c>
      <c r="L1320" s="13">
        <f>YEAR(TODAY())-' car_sales_data 1'!$F1320</f>
        <v>12</v>
      </c>
    </row>
    <row r="1321" ht="15.75" customHeight="1">
      <c r="A1321" s="16">
        <v>44828.0</v>
      </c>
      <c r="B1321" s="13" t="s">
        <v>2643</v>
      </c>
      <c r="C1321" s="13" t="s">
        <v>2644</v>
      </c>
      <c r="D1321" s="13" t="s">
        <v>12</v>
      </c>
      <c r="E1321" s="13" t="s">
        <v>70</v>
      </c>
      <c r="F1321" s="13">
        <v>2010.0</v>
      </c>
      <c r="G1321" s="13">
        <v>24827.0</v>
      </c>
      <c r="H1321" s="13">
        <v>1697.76</v>
      </c>
      <c r="I1321" s="13">
        <f>' car_sales_data 1'!$G1321*0.2</f>
        <v>4965.4</v>
      </c>
      <c r="J1321" s="13" t="str">
        <f>TEXT(' car_sales_data 1'!$A1321,"mmmm")</f>
        <v>September</v>
      </c>
      <c r="K1321" s="13" t="str">
        <f>IF(' car_sales_data 1'!$G1321&gt;40000,"Premium",
 IF(' car_sales_data 1'!$G1321&gt;=20000,"Mid Range","Budget"))</f>
        <v>Mid Range</v>
      </c>
      <c r="L1321" s="13">
        <f>YEAR(TODAY())-' car_sales_data 1'!$F1321</f>
        <v>15</v>
      </c>
    </row>
    <row r="1322" ht="15.75" customHeight="1">
      <c r="A1322" s="16">
        <v>44891.0</v>
      </c>
      <c r="B1322" s="13" t="s">
        <v>2645</v>
      </c>
      <c r="C1322" s="13" t="s">
        <v>2646</v>
      </c>
      <c r="D1322" s="13" t="s">
        <v>12</v>
      </c>
      <c r="E1322" s="13" t="s">
        <v>70</v>
      </c>
      <c r="F1322" s="13">
        <v>2010.0</v>
      </c>
      <c r="G1322" s="13">
        <v>22035.0</v>
      </c>
      <c r="H1322" s="13">
        <v>2579.73</v>
      </c>
      <c r="I1322" s="13">
        <f>' car_sales_data 1'!$G1322*0.2</f>
        <v>4407</v>
      </c>
      <c r="J1322" s="13" t="str">
        <f>TEXT(' car_sales_data 1'!$A1322,"mmmm")</f>
        <v>November</v>
      </c>
      <c r="K1322" s="13" t="str">
        <f>IF(' car_sales_data 1'!$G1322&gt;40000,"Premium",
 IF(' car_sales_data 1'!$G1322&gt;=20000,"Mid Range","Budget"))</f>
        <v>Mid Range</v>
      </c>
      <c r="L1322" s="13">
        <f>YEAR(TODAY())-' car_sales_data 1'!$F1322</f>
        <v>15</v>
      </c>
    </row>
    <row r="1323" ht="15.75" customHeight="1">
      <c r="A1323" s="16">
        <v>45020.0</v>
      </c>
      <c r="B1323" s="13" t="s">
        <v>2647</v>
      </c>
      <c r="C1323" s="13" t="s">
        <v>2648</v>
      </c>
      <c r="D1323" s="13" t="s">
        <v>14</v>
      </c>
      <c r="E1323" s="13" t="s">
        <v>51</v>
      </c>
      <c r="F1323" s="13">
        <v>2021.0</v>
      </c>
      <c r="G1323" s="13">
        <v>20180.0</v>
      </c>
      <c r="H1323" s="13">
        <v>2535.11</v>
      </c>
      <c r="I1323" s="13">
        <f>' car_sales_data 1'!$G1323*0.2</f>
        <v>4036</v>
      </c>
      <c r="J1323" s="13" t="str">
        <f>TEXT(' car_sales_data 1'!$A1323,"mmmm")</f>
        <v>April</v>
      </c>
      <c r="K1323" s="13" t="str">
        <f>IF(' car_sales_data 1'!$G1323&gt;40000,"Premium",
 IF(' car_sales_data 1'!$G1323&gt;=20000,"Mid Range","Budget"))</f>
        <v>Mid Range</v>
      </c>
      <c r="L1323" s="13">
        <f>YEAR(TODAY())-' car_sales_data 1'!$F1323</f>
        <v>4</v>
      </c>
    </row>
    <row r="1324" ht="15.75" customHeight="1">
      <c r="A1324" s="16">
        <v>44743.0</v>
      </c>
      <c r="B1324" s="13" t="s">
        <v>2649</v>
      </c>
      <c r="C1324" s="13" t="s">
        <v>2650</v>
      </c>
      <c r="D1324" s="13" t="s">
        <v>8</v>
      </c>
      <c r="E1324" s="13" t="s">
        <v>57</v>
      </c>
      <c r="F1324" s="13">
        <v>2020.0</v>
      </c>
      <c r="G1324" s="13">
        <v>34235.0</v>
      </c>
      <c r="H1324" s="13">
        <v>2149.22</v>
      </c>
      <c r="I1324" s="13">
        <f>' car_sales_data 1'!$G1324*0.2</f>
        <v>6847</v>
      </c>
      <c r="J1324" s="13" t="str">
        <f>TEXT(' car_sales_data 1'!$A1324,"mmmm")</f>
        <v>July</v>
      </c>
      <c r="K1324" s="13" t="str">
        <f>IF(' car_sales_data 1'!$G1324&gt;40000,"Premium",
 IF(' car_sales_data 1'!$G1324&gt;=20000,"Mid Range","Budget"))</f>
        <v>Mid Range</v>
      </c>
      <c r="L1324" s="13">
        <f>YEAR(TODAY())-' car_sales_data 1'!$F1324</f>
        <v>5</v>
      </c>
    </row>
    <row r="1325" ht="15.75" customHeight="1">
      <c r="A1325" s="16">
        <v>44825.0</v>
      </c>
      <c r="B1325" s="13" t="s">
        <v>2651</v>
      </c>
      <c r="C1325" s="13" t="s">
        <v>2652</v>
      </c>
      <c r="D1325" s="13" t="s">
        <v>14</v>
      </c>
      <c r="E1325" s="13" t="s">
        <v>51</v>
      </c>
      <c r="F1325" s="13">
        <v>2014.0</v>
      </c>
      <c r="G1325" s="13">
        <v>30552.0</v>
      </c>
      <c r="H1325" s="13">
        <v>2501.94</v>
      </c>
      <c r="I1325" s="13">
        <f>' car_sales_data 1'!$G1325*0.2</f>
        <v>6110.4</v>
      </c>
      <c r="J1325" s="13" t="str">
        <f>TEXT(' car_sales_data 1'!$A1325,"mmmm")</f>
        <v>September</v>
      </c>
      <c r="K1325" s="13" t="str">
        <f>IF(' car_sales_data 1'!$G1325&gt;40000,"Premium",
 IF(' car_sales_data 1'!$G1325&gt;=20000,"Mid Range","Budget"))</f>
        <v>Mid Range</v>
      </c>
      <c r="L1325" s="13">
        <f>YEAR(TODAY())-' car_sales_data 1'!$F1325</f>
        <v>11</v>
      </c>
    </row>
    <row r="1326" ht="15.75" customHeight="1">
      <c r="A1326" s="16">
        <v>44867.0</v>
      </c>
      <c r="B1326" s="13" t="s">
        <v>2653</v>
      </c>
      <c r="C1326" s="13" t="s">
        <v>2654</v>
      </c>
      <c r="D1326" s="13" t="s">
        <v>10</v>
      </c>
      <c r="E1326" s="13" t="s">
        <v>51</v>
      </c>
      <c r="F1326" s="13">
        <v>2013.0</v>
      </c>
      <c r="G1326" s="13">
        <v>23457.0</v>
      </c>
      <c r="H1326" s="13">
        <v>1934.06</v>
      </c>
      <c r="I1326" s="13">
        <f>' car_sales_data 1'!$G1326*0.2</f>
        <v>4691.4</v>
      </c>
      <c r="J1326" s="13" t="str">
        <f>TEXT(' car_sales_data 1'!$A1326,"mmmm")</f>
        <v>November</v>
      </c>
      <c r="K1326" s="13" t="str">
        <f>IF(' car_sales_data 1'!$G1326&gt;40000,"Premium",
 IF(' car_sales_data 1'!$G1326&gt;=20000,"Mid Range","Budget"))</f>
        <v>Mid Range</v>
      </c>
      <c r="L1326" s="13">
        <f>YEAR(TODAY())-' car_sales_data 1'!$F1326</f>
        <v>12</v>
      </c>
    </row>
    <row r="1327" ht="15.75" customHeight="1">
      <c r="A1327" s="16">
        <v>45009.0</v>
      </c>
      <c r="B1327" s="13" t="s">
        <v>2655</v>
      </c>
      <c r="C1327" s="13" t="s">
        <v>2656</v>
      </c>
      <c r="D1327" s="13" t="s">
        <v>10</v>
      </c>
      <c r="E1327" s="13" t="s">
        <v>57</v>
      </c>
      <c r="F1327" s="13">
        <v>2020.0</v>
      </c>
      <c r="G1327" s="13">
        <v>36005.0</v>
      </c>
      <c r="H1327" s="13">
        <v>2982.92</v>
      </c>
      <c r="I1327" s="13">
        <f>' car_sales_data 1'!$G1327*0.2</f>
        <v>7201</v>
      </c>
      <c r="J1327" s="13" t="str">
        <f>TEXT(' car_sales_data 1'!$A1327,"mmmm")</f>
        <v>March</v>
      </c>
      <c r="K1327" s="13" t="str">
        <f>IF(' car_sales_data 1'!$G1327&gt;40000,"Premium",
 IF(' car_sales_data 1'!$G1327&gt;=20000,"Mid Range","Budget"))</f>
        <v>Mid Range</v>
      </c>
      <c r="L1327" s="13">
        <f>YEAR(TODAY())-' car_sales_data 1'!$F1327</f>
        <v>5</v>
      </c>
    </row>
    <row r="1328" ht="15.75" customHeight="1">
      <c r="A1328" s="16">
        <v>44810.0</v>
      </c>
      <c r="B1328" s="13" t="s">
        <v>19</v>
      </c>
      <c r="C1328" s="13" t="s">
        <v>2657</v>
      </c>
      <c r="D1328" s="13" t="s">
        <v>12</v>
      </c>
      <c r="E1328" s="13" t="s">
        <v>70</v>
      </c>
      <c r="F1328" s="13">
        <v>2022.0</v>
      </c>
      <c r="G1328" s="13">
        <v>19198.0</v>
      </c>
      <c r="H1328" s="13">
        <v>2287.52</v>
      </c>
      <c r="I1328" s="13">
        <f>' car_sales_data 1'!$G1328*0.2</f>
        <v>3839.6</v>
      </c>
      <c r="J1328" s="13" t="str">
        <f>TEXT(' car_sales_data 1'!$A1328,"mmmm")</f>
        <v>September</v>
      </c>
      <c r="K1328" s="13" t="str">
        <f>IF(' car_sales_data 1'!$G1328&gt;40000,"Premium",
 IF(' car_sales_data 1'!$G1328&gt;=20000,"Mid Range","Budget"))</f>
        <v>Budget</v>
      </c>
      <c r="L1328" s="13">
        <f>YEAR(TODAY())-' car_sales_data 1'!$F1328</f>
        <v>3</v>
      </c>
    </row>
    <row r="1329" ht="15.75" customHeight="1">
      <c r="A1329" s="16">
        <v>44966.0</v>
      </c>
      <c r="B1329" s="13" t="s">
        <v>2658</v>
      </c>
      <c r="C1329" s="13" t="s">
        <v>2659</v>
      </c>
      <c r="D1329" s="13" t="s">
        <v>8</v>
      </c>
      <c r="E1329" s="13" t="s">
        <v>54</v>
      </c>
      <c r="F1329" s="13">
        <v>2022.0</v>
      </c>
      <c r="G1329" s="13">
        <v>35807.0</v>
      </c>
      <c r="H1329" s="13">
        <v>2143.66</v>
      </c>
      <c r="I1329" s="13">
        <f>' car_sales_data 1'!$G1329*0.2</f>
        <v>7161.4</v>
      </c>
      <c r="J1329" s="13" t="str">
        <f>TEXT(' car_sales_data 1'!$A1329,"mmmm")</f>
        <v>February</v>
      </c>
      <c r="K1329" s="13" t="str">
        <f>IF(' car_sales_data 1'!$G1329&gt;40000,"Premium",
 IF(' car_sales_data 1'!$G1329&gt;=20000,"Mid Range","Budget"))</f>
        <v>Mid Range</v>
      </c>
      <c r="L1329" s="13">
        <f>YEAR(TODAY())-' car_sales_data 1'!$F1329</f>
        <v>3</v>
      </c>
    </row>
    <row r="1330" ht="15.75" customHeight="1">
      <c r="A1330" s="16">
        <v>44881.0</v>
      </c>
      <c r="B1330" s="13" t="s">
        <v>2660</v>
      </c>
      <c r="C1330" s="13" t="s">
        <v>2661</v>
      </c>
      <c r="D1330" s="13" t="s">
        <v>12</v>
      </c>
      <c r="E1330" s="13" t="s">
        <v>57</v>
      </c>
      <c r="F1330" s="13">
        <v>2017.0</v>
      </c>
      <c r="G1330" s="13">
        <v>30017.0</v>
      </c>
      <c r="H1330" s="13">
        <v>4064.36</v>
      </c>
      <c r="I1330" s="13">
        <f>' car_sales_data 1'!$G1330*0.2</f>
        <v>6003.4</v>
      </c>
      <c r="J1330" s="13" t="str">
        <f>TEXT(' car_sales_data 1'!$A1330,"mmmm")</f>
        <v>November</v>
      </c>
      <c r="K1330" s="13" t="str">
        <f>IF(' car_sales_data 1'!$G1330&gt;40000,"Premium",
 IF(' car_sales_data 1'!$G1330&gt;=20000,"Mid Range","Budget"))</f>
        <v>Mid Range</v>
      </c>
      <c r="L1330" s="13">
        <f>YEAR(TODAY())-' car_sales_data 1'!$F1330</f>
        <v>8</v>
      </c>
    </row>
    <row r="1331" ht="15.75" customHeight="1">
      <c r="A1331" s="16">
        <v>44690.0</v>
      </c>
      <c r="B1331" s="13" t="s">
        <v>2662</v>
      </c>
      <c r="C1331" s="13" t="s">
        <v>2663</v>
      </c>
      <c r="D1331" s="13" t="s">
        <v>14</v>
      </c>
      <c r="E1331" s="13" t="s">
        <v>54</v>
      </c>
      <c r="F1331" s="13">
        <v>2012.0</v>
      </c>
      <c r="G1331" s="13">
        <v>15485.0</v>
      </c>
      <c r="H1331" s="13">
        <v>1823.18</v>
      </c>
      <c r="I1331" s="13">
        <f>' car_sales_data 1'!$G1331*0.2</f>
        <v>3097</v>
      </c>
      <c r="J1331" s="13" t="str">
        <f>TEXT(' car_sales_data 1'!$A1331,"mmmm")</f>
        <v>May</v>
      </c>
      <c r="K1331" s="13" t="str">
        <f>IF(' car_sales_data 1'!$G1331&gt;40000,"Premium",
 IF(' car_sales_data 1'!$G1331&gt;=20000,"Mid Range","Budget"))</f>
        <v>Budget</v>
      </c>
      <c r="L1331" s="13">
        <f>YEAR(TODAY())-' car_sales_data 1'!$F1331</f>
        <v>13</v>
      </c>
    </row>
    <row r="1332" ht="15.75" customHeight="1">
      <c r="A1332" s="16">
        <v>44707.0</v>
      </c>
      <c r="B1332" s="13" t="s">
        <v>2664</v>
      </c>
      <c r="C1332" s="13" t="s">
        <v>2665</v>
      </c>
      <c r="D1332" s="13" t="s">
        <v>12</v>
      </c>
      <c r="E1332" s="13" t="s">
        <v>54</v>
      </c>
      <c r="F1332" s="13">
        <v>2022.0</v>
      </c>
      <c r="G1332" s="13">
        <v>29110.0</v>
      </c>
      <c r="H1332" s="13">
        <v>3480.43</v>
      </c>
      <c r="I1332" s="13">
        <f>' car_sales_data 1'!$G1332*0.2</f>
        <v>5822</v>
      </c>
      <c r="J1332" s="13" t="str">
        <f>TEXT(' car_sales_data 1'!$A1332,"mmmm")</f>
        <v>May</v>
      </c>
      <c r="K1332" s="13" t="str">
        <f>IF(' car_sales_data 1'!$G1332&gt;40000,"Premium",
 IF(' car_sales_data 1'!$G1332&gt;=20000,"Mid Range","Budget"))</f>
        <v>Mid Range</v>
      </c>
      <c r="L1332" s="13">
        <f>YEAR(TODAY())-' car_sales_data 1'!$F1332</f>
        <v>3</v>
      </c>
    </row>
    <row r="1333" ht="15.75" customHeight="1">
      <c r="A1333" s="16">
        <v>44995.0</v>
      </c>
      <c r="B1333" s="13" t="s">
        <v>2666</v>
      </c>
      <c r="C1333" s="13" t="s">
        <v>2343</v>
      </c>
      <c r="D1333" s="13" t="s">
        <v>10</v>
      </c>
      <c r="E1333" s="13" t="s">
        <v>54</v>
      </c>
      <c r="F1333" s="13">
        <v>2011.0</v>
      </c>
      <c r="G1333" s="13">
        <v>42254.0</v>
      </c>
      <c r="H1333" s="13">
        <v>4444.03</v>
      </c>
      <c r="I1333" s="13">
        <f>' car_sales_data 1'!$G1333*0.2</f>
        <v>8450.8</v>
      </c>
      <c r="J1333" s="13" t="str">
        <f>TEXT(' car_sales_data 1'!$A1333,"mmmm")</f>
        <v>March</v>
      </c>
      <c r="K1333" s="13" t="str">
        <f>IF(' car_sales_data 1'!$G1333&gt;40000,"Premium",
 IF(' car_sales_data 1'!$G1333&gt;=20000,"Mid Range","Budget"))</f>
        <v>Premium</v>
      </c>
      <c r="L1333" s="13">
        <f>YEAR(TODAY())-' car_sales_data 1'!$F1333</f>
        <v>14</v>
      </c>
    </row>
    <row r="1334" ht="15.75" customHeight="1">
      <c r="A1334" s="16">
        <v>44834.0</v>
      </c>
      <c r="B1334" s="13" t="s">
        <v>2667</v>
      </c>
      <c r="C1334" s="13" t="s">
        <v>2668</v>
      </c>
      <c r="D1334" s="13" t="s">
        <v>10</v>
      </c>
      <c r="E1334" s="13" t="s">
        <v>62</v>
      </c>
      <c r="F1334" s="13">
        <v>2022.0</v>
      </c>
      <c r="G1334" s="13">
        <v>49126.0</v>
      </c>
      <c r="H1334" s="13">
        <v>5678.99</v>
      </c>
      <c r="I1334" s="13">
        <f>' car_sales_data 1'!$G1334*0.2</f>
        <v>9825.2</v>
      </c>
      <c r="J1334" s="13" t="str">
        <f>TEXT(' car_sales_data 1'!$A1334,"mmmm")</f>
        <v>September</v>
      </c>
      <c r="K1334" s="13" t="str">
        <f>IF(' car_sales_data 1'!$G1334&gt;40000,"Premium",
 IF(' car_sales_data 1'!$G1334&gt;=20000,"Mid Range","Budget"))</f>
        <v>Premium</v>
      </c>
      <c r="L1334" s="13">
        <f>YEAR(TODAY())-' car_sales_data 1'!$F1334</f>
        <v>3</v>
      </c>
    </row>
    <row r="1335" ht="15.75" customHeight="1">
      <c r="A1335" s="16">
        <v>44984.0</v>
      </c>
      <c r="B1335" s="13" t="s">
        <v>2669</v>
      </c>
      <c r="C1335" s="13" t="s">
        <v>2670</v>
      </c>
      <c r="D1335" s="13" t="s">
        <v>6</v>
      </c>
      <c r="E1335" s="13" t="s">
        <v>51</v>
      </c>
      <c r="F1335" s="13">
        <v>2012.0</v>
      </c>
      <c r="G1335" s="13">
        <v>31006.0</v>
      </c>
      <c r="H1335" s="13">
        <v>4037.4</v>
      </c>
      <c r="I1335" s="13">
        <f>' car_sales_data 1'!$G1335*0.2</f>
        <v>6201.2</v>
      </c>
      <c r="J1335" s="13" t="str">
        <f>TEXT(' car_sales_data 1'!$A1335,"mmmm")</f>
        <v>February</v>
      </c>
      <c r="K1335" s="13" t="str">
        <f>IF(' car_sales_data 1'!$G1335&gt;40000,"Premium",
 IF(' car_sales_data 1'!$G1335&gt;=20000,"Mid Range","Budget"))</f>
        <v>Mid Range</v>
      </c>
      <c r="L1335" s="13">
        <f>YEAR(TODAY())-' car_sales_data 1'!$F1335</f>
        <v>13</v>
      </c>
    </row>
    <row r="1336" ht="15.75" customHeight="1">
      <c r="A1336" s="16">
        <v>44803.0</v>
      </c>
      <c r="B1336" s="13" t="s">
        <v>2671</v>
      </c>
      <c r="C1336" s="13" t="s">
        <v>2672</v>
      </c>
      <c r="D1336" s="13" t="s">
        <v>8</v>
      </c>
      <c r="E1336" s="13" t="s">
        <v>51</v>
      </c>
      <c r="F1336" s="13">
        <v>2015.0</v>
      </c>
      <c r="G1336" s="13">
        <v>45891.0</v>
      </c>
      <c r="H1336" s="13">
        <v>3356.71</v>
      </c>
      <c r="I1336" s="13">
        <f>' car_sales_data 1'!$G1336*0.2</f>
        <v>9178.2</v>
      </c>
      <c r="J1336" s="13" t="str">
        <f>TEXT(' car_sales_data 1'!$A1336,"mmmm")</f>
        <v>August</v>
      </c>
      <c r="K1336" s="13" t="str">
        <f>IF(' car_sales_data 1'!$G1336&gt;40000,"Premium",
 IF(' car_sales_data 1'!$G1336&gt;=20000,"Mid Range","Budget"))</f>
        <v>Premium</v>
      </c>
      <c r="L1336" s="13">
        <f>YEAR(TODAY())-' car_sales_data 1'!$F1336</f>
        <v>10</v>
      </c>
    </row>
    <row r="1337" ht="15.75" customHeight="1">
      <c r="A1337" s="16">
        <v>44999.0</v>
      </c>
      <c r="B1337" s="13" t="s">
        <v>2673</v>
      </c>
      <c r="C1337" s="13" t="s">
        <v>2674</v>
      </c>
      <c r="D1337" s="13" t="s">
        <v>10</v>
      </c>
      <c r="E1337" s="13" t="s">
        <v>62</v>
      </c>
      <c r="F1337" s="13">
        <v>2017.0</v>
      </c>
      <c r="G1337" s="13">
        <v>46578.0</v>
      </c>
      <c r="H1337" s="13">
        <v>4376.37</v>
      </c>
      <c r="I1337" s="13">
        <f>' car_sales_data 1'!$G1337*0.2</f>
        <v>9315.6</v>
      </c>
      <c r="J1337" s="13" t="str">
        <f>TEXT(' car_sales_data 1'!$A1337,"mmmm")</f>
        <v>March</v>
      </c>
      <c r="K1337" s="13" t="str">
        <f>IF(' car_sales_data 1'!$G1337&gt;40000,"Premium",
 IF(' car_sales_data 1'!$G1337&gt;=20000,"Mid Range","Budget"))</f>
        <v>Premium</v>
      </c>
      <c r="L1337" s="13">
        <f>YEAR(TODAY())-' car_sales_data 1'!$F1337</f>
        <v>8</v>
      </c>
    </row>
    <row r="1338" ht="15.75" customHeight="1">
      <c r="A1338" s="16">
        <v>44699.0</v>
      </c>
      <c r="B1338" s="13" t="s">
        <v>2675</v>
      </c>
      <c r="C1338" s="13" t="s">
        <v>2676</v>
      </c>
      <c r="D1338" s="13" t="s">
        <v>10</v>
      </c>
      <c r="E1338" s="13" t="s">
        <v>62</v>
      </c>
      <c r="F1338" s="13">
        <v>2020.0</v>
      </c>
      <c r="G1338" s="13">
        <v>45620.0</v>
      </c>
      <c r="H1338" s="13">
        <v>5766.93</v>
      </c>
      <c r="I1338" s="13">
        <f>' car_sales_data 1'!$G1338*0.2</f>
        <v>9124</v>
      </c>
      <c r="J1338" s="13" t="str">
        <f>TEXT(' car_sales_data 1'!$A1338,"mmmm")</f>
        <v>May</v>
      </c>
      <c r="K1338" s="13" t="str">
        <f>IF(' car_sales_data 1'!$G1338&gt;40000,"Premium",
 IF(' car_sales_data 1'!$G1338&gt;=20000,"Mid Range","Budget"))</f>
        <v>Premium</v>
      </c>
      <c r="L1338" s="13">
        <f>YEAR(TODAY())-' car_sales_data 1'!$F1338</f>
        <v>5</v>
      </c>
    </row>
    <row r="1339" ht="15.75" customHeight="1">
      <c r="A1339" s="16">
        <v>45017.0</v>
      </c>
      <c r="B1339" s="13" t="s">
        <v>2677</v>
      </c>
      <c r="C1339" s="13" t="s">
        <v>2678</v>
      </c>
      <c r="D1339" s="13" t="s">
        <v>10</v>
      </c>
      <c r="E1339" s="13" t="s">
        <v>70</v>
      </c>
      <c r="F1339" s="13">
        <v>2016.0</v>
      </c>
      <c r="G1339" s="13">
        <v>12677.0</v>
      </c>
      <c r="H1339" s="13">
        <v>1322.79</v>
      </c>
      <c r="I1339" s="13">
        <f>' car_sales_data 1'!$G1339*0.2</f>
        <v>2535.4</v>
      </c>
      <c r="J1339" s="13" t="str">
        <f>TEXT(' car_sales_data 1'!$A1339,"mmmm")</f>
        <v>April</v>
      </c>
      <c r="K1339" s="13" t="str">
        <f>IF(' car_sales_data 1'!$G1339&gt;40000,"Premium",
 IF(' car_sales_data 1'!$G1339&gt;=20000,"Mid Range","Budget"))</f>
        <v>Budget</v>
      </c>
      <c r="L1339" s="13">
        <f>YEAR(TODAY())-' car_sales_data 1'!$F1339</f>
        <v>9</v>
      </c>
    </row>
    <row r="1340" ht="15.75" customHeight="1">
      <c r="A1340" s="16">
        <v>44881.0</v>
      </c>
      <c r="B1340" s="13" t="s">
        <v>2679</v>
      </c>
      <c r="C1340" s="13" t="s">
        <v>2680</v>
      </c>
      <c r="D1340" s="13" t="s">
        <v>12</v>
      </c>
      <c r="E1340" s="13" t="s">
        <v>70</v>
      </c>
      <c r="F1340" s="13">
        <v>2015.0</v>
      </c>
      <c r="G1340" s="13">
        <v>35064.0</v>
      </c>
      <c r="H1340" s="13">
        <v>3606.25</v>
      </c>
      <c r="I1340" s="13">
        <f>' car_sales_data 1'!$G1340*0.2</f>
        <v>7012.8</v>
      </c>
      <c r="J1340" s="13" t="str">
        <f>TEXT(' car_sales_data 1'!$A1340,"mmmm")</f>
        <v>November</v>
      </c>
      <c r="K1340" s="13" t="str">
        <f>IF(' car_sales_data 1'!$G1340&gt;40000,"Premium",
 IF(' car_sales_data 1'!$G1340&gt;=20000,"Mid Range","Budget"))</f>
        <v>Mid Range</v>
      </c>
      <c r="L1340" s="13">
        <f>YEAR(TODAY())-' car_sales_data 1'!$F1340</f>
        <v>10</v>
      </c>
    </row>
    <row r="1341" ht="15.75" customHeight="1">
      <c r="A1341" s="16">
        <v>44787.0</v>
      </c>
      <c r="B1341" s="13" t="s">
        <v>2681</v>
      </c>
      <c r="C1341" s="13" t="s">
        <v>2682</v>
      </c>
      <c r="D1341" s="13" t="s">
        <v>14</v>
      </c>
      <c r="E1341" s="13" t="s">
        <v>54</v>
      </c>
      <c r="F1341" s="13">
        <v>2012.0</v>
      </c>
      <c r="G1341" s="13">
        <v>22076.0</v>
      </c>
      <c r="H1341" s="13">
        <v>1665.6</v>
      </c>
      <c r="I1341" s="13">
        <f>' car_sales_data 1'!$G1341*0.2</f>
        <v>4415.2</v>
      </c>
      <c r="J1341" s="13" t="str">
        <f>TEXT(' car_sales_data 1'!$A1341,"mmmm")</f>
        <v>August</v>
      </c>
      <c r="K1341" s="13" t="str">
        <f>IF(' car_sales_data 1'!$G1341&gt;40000,"Premium",
 IF(' car_sales_data 1'!$G1341&gt;=20000,"Mid Range","Budget"))</f>
        <v>Mid Range</v>
      </c>
      <c r="L1341" s="13">
        <f>YEAR(TODAY())-' car_sales_data 1'!$F1341</f>
        <v>13</v>
      </c>
    </row>
    <row r="1342" ht="15.75" customHeight="1">
      <c r="A1342" s="16">
        <v>44731.0</v>
      </c>
      <c r="B1342" s="13" t="s">
        <v>2683</v>
      </c>
      <c r="C1342" s="13" t="s">
        <v>2684</v>
      </c>
      <c r="D1342" s="13" t="s">
        <v>6</v>
      </c>
      <c r="E1342" s="13" t="s">
        <v>70</v>
      </c>
      <c r="F1342" s="13">
        <v>2022.0</v>
      </c>
      <c r="G1342" s="13">
        <v>12610.0</v>
      </c>
      <c r="H1342" s="13">
        <v>1310.73</v>
      </c>
      <c r="I1342" s="13">
        <f>' car_sales_data 1'!$G1342*0.2</f>
        <v>2522</v>
      </c>
      <c r="J1342" s="13" t="str">
        <f>TEXT(' car_sales_data 1'!$A1342,"mmmm")</f>
        <v>June</v>
      </c>
      <c r="K1342" s="13" t="str">
        <f>IF(' car_sales_data 1'!$G1342&gt;40000,"Premium",
 IF(' car_sales_data 1'!$G1342&gt;=20000,"Mid Range","Budget"))</f>
        <v>Budget</v>
      </c>
      <c r="L1342" s="13">
        <f>YEAR(TODAY())-' car_sales_data 1'!$F1342</f>
        <v>3</v>
      </c>
    </row>
    <row r="1343" ht="15.75" customHeight="1">
      <c r="A1343" s="16">
        <v>44933.0</v>
      </c>
      <c r="B1343" s="13" t="s">
        <v>2685</v>
      </c>
      <c r="C1343" s="13" t="s">
        <v>2686</v>
      </c>
      <c r="D1343" s="13" t="s">
        <v>8</v>
      </c>
      <c r="E1343" s="13" t="s">
        <v>62</v>
      </c>
      <c r="F1343" s="13">
        <v>2012.0</v>
      </c>
      <c r="G1343" s="13">
        <v>37022.0</v>
      </c>
      <c r="H1343" s="13">
        <v>2218.66</v>
      </c>
      <c r="I1343" s="13">
        <f>' car_sales_data 1'!$G1343*0.2</f>
        <v>7404.4</v>
      </c>
      <c r="J1343" s="13" t="str">
        <f>TEXT(' car_sales_data 1'!$A1343,"mmmm")</f>
        <v>January</v>
      </c>
      <c r="K1343" s="13" t="str">
        <f>IF(' car_sales_data 1'!$G1343&gt;40000,"Premium",
 IF(' car_sales_data 1'!$G1343&gt;=20000,"Mid Range","Budget"))</f>
        <v>Mid Range</v>
      </c>
      <c r="L1343" s="13">
        <f>YEAR(TODAY())-' car_sales_data 1'!$F1343</f>
        <v>13</v>
      </c>
    </row>
    <row r="1344" ht="15.75" customHeight="1">
      <c r="A1344" s="16">
        <v>45023.0</v>
      </c>
      <c r="B1344" s="13" t="s">
        <v>2687</v>
      </c>
      <c r="C1344" s="13" t="s">
        <v>2688</v>
      </c>
      <c r="D1344" s="13" t="s">
        <v>12</v>
      </c>
      <c r="E1344" s="13" t="s">
        <v>57</v>
      </c>
      <c r="F1344" s="13">
        <v>2022.0</v>
      </c>
      <c r="G1344" s="13">
        <v>26579.0</v>
      </c>
      <c r="H1344" s="13">
        <v>3008.01</v>
      </c>
      <c r="I1344" s="13">
        <f>' car_sales_data 1'!$G1344*0.2</f>
        <v>5315.8</v>
      </c>
      <c r="J1344" s="13" t="str">
        <f>TEXT(' car_sales_data 1'!$A1344,"mmmm")</f>
        <v>April</v>
      </c>
      <c r="K1344" s="13" t="str">
        <f>IF(' car_sales_data 1'!$G1344&gt;40000,"Premium",
 IF(' car_sales_data 1'!$G1344&gt;=20000,"Mid Range","Budget"))</f>
        <v>Mid Range</v>
      </c>
      <c r="L1344" s="13">
        <f>YEAR(TODAY())-' car_sales_data 1'!$F1344</f>
        <v>3</v>
      </c>
    </row>
    <row r="1345" ht="15.75" customHeight="1">
      <c r="A1345" s="16">
        <v>44990.0</v>
      </c>
      <c r="B1345" s="13" t="s">
        <v>2689</v>
      </c>
      <c r="C1345" s="13" t="s">
        <v>2690</v>
      </c>
      <c r="D1345" s="13" t="s">
        <v>6</v>
      </c>
      <c r="E1345" s="13" t="s">
        <v>54</v>
      </c>
      <c r="F1345" s="13">
        <v>2018.0</v>
      </c>
      <c r="G1345" s="13">
        <v>15565.0</v>
      </c>
      <c r="H1345" s="13">
        <v>1683.1</v>
      </c>
      <c r="I1345" s="13">
        <f>' car_sales_data 1'!$G1345*0.2</f>
        <v>3113</v>
      </c>
      <c r="J1345" s="13" t="str">
        <f>TEXT(' car_sales_data 1'!$A1345,"mmmm")</f>
        <v>March</v>
      </c>
      <c r="K1345" s="13" t="str">
        <f>IF(' car_sales_data 1'!$G1345&gt;40000,"Premium",
 IF(' car_sales_data 1'!$G1345&gt;=20000,"Mid Range","Budget"))</f>
        <v>Budget</v>
      </c>
      <c r="L1345" s="13">
        <f>YEAR(TODAY())-' car_sales_data 1'!$F1345</f>
        <v>7</v>
      </c>
    </row>
    <row r="1346" ht="15.75" customHeight="1">
      <c r="A1346" s="16">
        <v>44778.0</v>
      </c>
      <c r="B1346" s="13" t="s">
        <v>2691</v>
      </c>
      <c r="C1346" s="13" t="s">
        <v>2692</v>
      </c>
      <c r="D1346" s="13" t="s">
        <v>10</v>
      </c>
      <c r="E1346" s="13" t="s">
        <v>51</v>
      </c>
      <c r="F1346" s="13">
        <v>2016.0</v>
      </c>
      <c r="G1346" s="13">
        <v>46251.0</v>
      </c>
      <c r="H1346" s="13">
        <v>6893.15</v>
      </c>
      <c r="I1346" s="13">
        <f>' car_sales_data 1'!$G1346*0.2</f>
        <v>9250.2</v>
      </c>
      <c r="J1346" s="13" t="str">
        <f>TEXT(' car_sales_data 1'!$A1346,"mmmm")</f>
        <v>August</v>
      </c>
      <c r="K1346" s="13" t="str">
        <f>IF(' car_sales_data 1'!$G1346&gt;40000,"Premium",
 IF(' car_sales_data 1'!$G1346&gt;=20000,"Mid Range","Budget"))</f>
        <v>Premium</v>
      </c>
      <c r="L1346" s="13">
        <f>YEAR(TODAY())-' car_sales_data 1'!$F1346</f>
        <v>9</v>
      </c>
    </row>
    <row r="1347" ht="15.75" customHeight="1">
      <c r="A1347" s="16">
        <v>45021.0</v>
      </c>
      <c r="B1347" s="13" t="s">
        <v>2693</v>
      </c>
      <c r="C1347" s="13" t="s">
        <v>2694</v>
      </c>
      <c r="D1347" s="13" t="s">
        <v>6</v>
      </c>
      <c r="E1347" s="13" t="s">
        <v>57</v>
      </c>
      <c r="F1347" s="13">
        <v>2013.0</v>
      </c>
      <c r="G1347" s="13">
        <v>42881.0</v>
      </c>
      <c r="H1347" s="13">
        <v>3985.54</v>
      </c>
      <c r="I1347" s="13">
        <f>' car_sales_data 1'!$G1347*0.2</f>
        <v>8576.2</v>
      </c>
      <c r="J1347" s="13" t="str">
        <f>TEXT(' car_sales_data 1'!$A1347,"mmmm")</f>
        <v>April</v>
      </c>
      <c r="K1347" s="13" t="str">
        <f>IF(' car_sales_data 1'!$G1347&gt;40000,"Premium",
 IF(' car_sales_data 1'!$G1347&gt;=20000,"Mid Range","Budget"))</f>
        <v>Premium</v>
      </c>
      <c r="L1347" s="13">
        <f>YEAR(TODAY())-' car_sales_data 1'!$F1347</f>
        <v>12</v>
      </c>
    </row>
    <row r="1348" ht="15.75" customHeight="1">
      <c r="A1348" s="16">
        <v>44896.0</v>
      </c>
      <c r="B1348" s="13" t="s">
        <v>2695</v>
      </c>
      <c r="C1348" s="13" t="s">
        <v>2696</v>
      </c>
      <c r="D1348" s="13" t="s">
        <v>8</v>
      </c>
      <c r="E1348" s="13" t="s">
        <v>51</v>
      </c>
      <c r="F1348" s="13">
        <v>2013.0</v>
      </c>
      <c r="G1348" s="13">
        <v>25602.0</v>
      </c>
      <c r="H1348" s="13">
        <v>2984.48</v>
      </c>
      <c r="I1348" s="13">
        <f>' car_sales_data 1'!$G1348*0.2</f>
        <v>5120.4</v>
      </c>
      <c r="J1348" s="13" t="str">
        <f>TEXT(' car_sales_data 1'!$A1348,"mmmm")</f>
        <v>December</v>
      </c>
      <c r="K1348" s="13" t="str">
        <f>IF(' car_sales_data 1'!$G1348&gt;40000,"Premium",
 IF(' car_sales_data 1'!$G1348&gt;=20000,"Mid Range","Budget"))</f>
        <v>Mid Range</v>
      </c>
      <c r="L1348" s="13">
        <f>YEAR(TODAY())-' car_sales_data 1'!$F1348</f>
        <v>12</v>
      </c>
    </row>
    <row r="1349" ht="15.75" customHeight="1">
      <c r="A1349" s="16">
        <v>44921.0</v>
      </c>
      <c r="B1349" s="13" t="s">
        <v>2697</v>
      </c>
      <c r="C1349" s="13" t="s">
        <v>2698</v>
      </c>
      <c r="D1349" s="13" t="s">
        <v>6</v>
      </c>
      <c r="E1349" s="13" t="s">
        <v>54</v>
      </c>
      <c r="F1349" s="13">
        <v>2015.0</v>
      </c>
      <c r="G1349" s="13">
        <v>45887.0</v>
      </c>
      <c r="H1349" s="13">
        <v>6058.37</v>
      </c>
      <c r="I1349" s="13">
        <f>' car_sales_data 1'!$G1349*0.2</f>
        <v>9177.4</v>
      </c>
      <c r="J1349" s="13" t="str">
        <f>TEXT(' car_sales_data 1'!$A1349,"mmmm")</f>
        <v>December</v>
      </c>
      <c r="K1349" s="13" t="str">
        <f>IF(' car_sales_data 1'!$G1349&gt;40000,"Premium",
 IF(' car_sales_data 1'!$G1349&gt;=20000,"Mid Range","Budget"))</f>
        <v>Premium</v>
      </c>
      <c r="L1349" s="13">
        <f>YEAR(TODAY())-' car_sales_data 1'!$F1349</f>
        <v>10</v>
      </c>
    </row>
    <row r="1350" ht="15.75" customHeight="1">
      <c r="A1350" s="16">
        <v>44855.0</v>
      </c>
      <c r="B1350" s="13" t="s">
        <v>2699</v>
      </c>
      <c r="C1350" s="13" t="s">
        <v>2700</v>
      </c>
      <c r="D1350" s="13" t="s">
        <v>8</v>
      </c>
      <c r="E1350" s="13" t="s">
        <v>54</v>
      </c>
      <c r="F1350" s="13">
        <v>2018.0</v>
      </c>
      <c r="G1350" s="13">
        <v>48614.0</v>
      </c>
      <c r="H1350" s="13">
        <v>2885.08</v>
      </c>
      <c r="I1350" s="13">
        <f>' car_sales_data 1'!$G1350*0.2</f>
        <v>9722.8</v>
      </c>
      <c r="J1350" s="13" t="str">
        <f>TEXT(' car_sales_data 1'!$A1350,"mmmm")</f>
        <v>October</v>
      </c>
      <c r="K1350" s="13" t="str">
        <f>IF(' car_sales_data 1'!$G1350&gt;40000,"Premium",
 IF(' car_sales_data 1'!$G1350&gt;=20000,"Mid Range","Budget"))</f>
        <v>Premium</v>
      </c>
      <c r="L1350" s="13">
        <f>YEAR(TODAY())-' car_sales_data 1'!$F1350</f>
        <v>7</v>
      </c>
    </row>
    <row r="1351" ht="15.75" customHeight="1">
      <c r="A1351" s="16">
        <v>44700.0</v>
      </c>
      <c r="B1351" s="13" t="s">
        <v>2701</v>
      </c>
      <c r="C1351" s="13" t="s">
        <v>2702</v>
      </c>
      <c r="D1351" s="13" t="s">
        <v>14</v>
      </c>
      <c r="E1351" s="13" t="s">
        <v>70</v>
      </c>
      <c r="F1351" s="13">
        <v>2015.0</v>
      </c>
      <c r="G1351" s="13">
        <v>43080.0</v>
      </c>
      <c r="H1351" s="13">
        <v>2702.16</v>
      </c>
      <c r="I1351" s="13">
        <f>' car_sales_data 1'!$G1351*0.2</f>
        <v>8616</v>
      </c>
      <c r="J1351" s="13" t="str">
        <f>TEXT(' car_sales_data 1'!$A1351,"mmmm")</f>
        <v>May</v>
      </c>
      <c r="K1351" s="13" t="str">
        <f>IF(' car_sales_data 1'!$G1351&gt;40000,"Premium",
 IF(' car_sales_data 1'!$G1351&gt;=20000,"Mid Range","Budget"))</f>
        <v>Premium</v>
      </c>
      <c r="L1351" s="13">
        <f>YEAR(TODAY())-' car_sales_data 1'!$F1351</f>
        <v>10</v>
      </c>
    </row>
    <row r="1352" ht="15.75" customHeight="1">
      <c r="A1352" s="16">
        <v>44901.0</v>
      </c>
      <c r="B1352" s="13" t="s">
        <v>2703</v>
      </c>
      <c r="C1352" s="13" t="s">
        <v>2704</v>
      </c>
      <c r="D1352" s="13" t="s">
        <v>8</v>
      </c>
      <c r="E1352" s="13" t="s">
        <v>57</v>
      </c>
      <c r="F1352" s="13">
        <v>2019.0</v>
      </c>
      <c r="G1352" s="13">
        <v>43334.0</v>
      </c>
      <c r="H1352" s="13">
        <v>4886.61</v>
      </c>
      <c r="I1352" s="13">
        <f>' car_sales_data 1'!$G1352*0.2</f>
        <v>8666.8</v>
      </c>
      <c r="J1352" s="13" t="str">
        <f>TEXT(' car_sales_data 1'!$A1352,"mmmm")</f>
        <v>December</v>
      </c>
      <c r="K1352" s="13" t="str">
        <f>IF(' car_sales_data 1'!$G1352&gt;40000,"Premium",
 IF(' car_sales_data 1'!$G1352&gt;=20000,"Mid Range","Budget"))</f>
        <v>Premium</v>
      </c>
      <c r="L1352" s="13">
        <f>YEAR(TODAY())-' car_sales_data 1'!$F1352</f>
        <v>6</v>
      </c>
    </row>
    <row r="1353" ht="15.75" customHeight="1">
      <c r="A1353" s="16">
        <v>44761.0</v>
      </c>
      <c r="B1353" s="13" t="s">
        <v>2705</v>
      </c>
      <c r="C1353" s="13" t="s">
        <v>2706</v>
      </c>
      <c r="D1353" s="13" t="s">
        <v>8</v>
      </c>
      <c r="E1353" s="13" t="s">
        <v>62</v>
      </c>
      <c r="F1353" s="13">
        <v>2016.0</v>
      </c>
      <c r="G1353" s="13">
        <v>15943.0</v>
      </c>
      <c r="H1353" s="13">
        <v>1040.57</v>
      </c>
      <c r="I1353" s="13">
        <f>' car_sales_data 1'!$G1353*0.2</f>
        <v>3188.6</v>
      </c>
      <c r="J1353" s="13" t="str">
        <f>TEXT(' car_sales_data 1'!$A1353,"mmmm")</f>
        <v>July</v>
      </c>
      <c r="K1353" s="13" t="str">
        <f>IF(' car_sales_data 1'!$G1353&gt;40000,"Premium",
 IF(' car_sales_data 1'!$G1353&gt;=20000,"Mid Range","Budget"))</f>
        <v>Budget</v>
      </c>
      <c r="L1353" s="13">
        <f>YEAR(TODAY())-' car_sales_data 1'!$F1353</f>
        <v>9</v>
      </c>
    </row>
    <row r="1354" ht="15.75" customHeight="1">
      <c r="A1354" s="16">
        <v>44891.0</v>
      </c>
      <c r="B1354" s="13" t="s">
        <v>2707</v>
      </c>
      <c r="C1354" s="13" t="s">
        <v>2708</v>
      </c>
      <c r="D1354" s="13" t="s">
        <v>14</v>
      </c>
      <c r="E1354" s="13" t="s">
        <v>51</v>
      </c>
      <c r="F1354" s="13">
        <v>2012.0</v>
      </c>
      <c r="G1354" s="13">
        <v>13150.0</v>
      </c>
      <c r="H1354" s="13">
        <v>1550.74</v>
      </c>
      <c r="I1354" s="13">
        <f>' car_sales_data 1'!$G1354*0.2</f>
        <v>2630</v>
      </c>
      <c r="J1354" s="13" t="str">
        <f>TEXT(' car_sales_data 1'!$A1354,"mmmm")</f>
        <v>November</v>
      </c>
      <c r="K1354" s="13" t="str">
        <f>IF(' car_sales_data 1'!$G1354&gt;40000,"Premium",
 IF(' car_sales_data 1'!$G1354&gt;=20000,"Mid Range","Budget"))</f>
        <v>Budget</v>
      </c>
      <c r="L1354" s="13">
        <f>YEAR(TODAY())-' car_sales_data 1'!$F1354</f>
        <v>13</v>
      </c>
    </row>
    <row r="1355" ht="15.75" customHeight="1">
      <c r="A1355" s="16">
        <v>44809.0</v>
      </c>
      <c r="B1355" s="13" t="s">
        <v>2709</v>
      </c>
      <c r="C1355" s="13" t="s">
        <v>2710</v>
      </c>
      <c r="D1355" s="13" t="s">
        <v>6</v>
      </c>
      <c r="E1355" s="13" t="s">
        <v>54</v>
      </c>
      <c r="F1355" s="13">
        <v>2019.0</v>
      </c>
      <c r="G1355" s="13">
        <v>27320.0</v>
      </c>
      <c r="H1355" s="13">
        <v>3768.33</v>
      </c>
      <c r="I1355" s="13">
        <f>' car_sales_data 1'!$G1355*0.2</f>
        <v>5464</v>
      </c>
      <c r="J1355" s="13" t="str">
        <f>TEXT(' car_sales_data 1'!$A1355,"mmmm")</f>
        <v>September</v>
      </c>
      <c r="K1355" s="13" t="str">
        <f>IF(' car_sales_data 1'!$G1355&gt;40000,"Premium",
 IF(' car_sales_data 1'!$G1355&gt;=20000,"Mid Range","Budget"))</f>
        <v>Mid Range</v>
      </c>
      <c r="L1355" s="13">
        <f>YEAR(TODAY())-' car_sales_data 1'!$F1355</f>
        <v>6</v>
      </c>
    </row>
    <row r="1356" ht="15.75" customHeight="1">
      <c r="A1356" s="16">
        <v>44722.0</v>
      </c>
      <c r="B1356" s="13" t="s">
        <v>2711</v>
      </c>
      <c r="C1356" s="13" t="s">
        <v>2712</v>
      </c>
      <c r="D1356" s="13" t="s">
        <v>14</v>
      </c>
      <c r="E1356" s="13" t="s">
        <v>54</v>
      </c>
      <c r="F1356" s="13">
        <v>2017.0</v>
      </c>
      <c r="G1356" s="13">
        <v>42392.0</v>
      </c>
      <c r="H1356" s="13">
        <v>3326.23</v>
      </c>
      <c r="I1356" s="13">
        <f>' car_sales_data 1'!$G1356*0.2</f>
        <v>8478.4</v>
      </c>
      <c r="J1356" s="13" t="str">
        <f>TEXT(' car_sales_data 1'!$A1356,"mmmm")</f>
        <v>June</v>
      </c>
      <c r="K1356" s="13" t="str">
        <f>IF(' car_sales_data 1'!$G1356&gt;40000,"Premium",
 IF(' car_sales_data 1'!$G1356&gt;=20000,"Mid Range","Budget"))</f>
        <v>Premium</v>
      </c>
      <c r="L1356" s="13">
        <f>YEAR(TODAY())-' car_sales_data 1'!$F1356</f>
        <v>8</v>
      </c>
    </row>
    <row r="1357" ht="15.75" customHeight="1">
      <c r="A1357" s="16">
        <v>44829.0</v>
      </c>
      <c r="B1357" s="13" t="s">
        <v>2713</v>
      </c>
      <c r="C1357" s="13" t="s">
        <v>2714</v>
      </c>
      <c r="D1357" s="13" t="s">
        <v>14</v>
      </c>
      <c r="E1357" s="13" t="s">
        <v>51</v>
      </c>
      <c r="F1357" s="13">
        <v>2021.0</v>
      </c>
      <c r="G1357" s="13">
        <v>28229.0</v>
      </c>
      <c r="H1357" s="13">
        <v>3735.98</v>
      </c>
      <c r="I1357" s="13">
        <f>' car_sales_data 1'!$G1357*0.2</f>
        <v>5645.8</v>
      </c>
      <c r="J1357" s="13" t="str">
        <f>TEXT(' car_sales_data 1'!$A1357,"mmmm")</f>
        <v>September</v>
      </c>
      <c r="K1357" s="13" t="str">
        <f>IF(' car_sales_data 1'!$G1357&gt;40000,"Premium",
 IF(' car_sales_data 1'!$G1357&gt;=20000,"Mid Range","Budget"))</f>
        <v>Mid Range</v>
      </c>
      <c r="L1357" s="13">
        <f>YEAR(TODAY())-' car_sales_data 1'!$F1357</f>
        <v>4</v>
      </c>
    </row>
    <row r="1358" ht="15.75" customHeight="1">
      <c r="A1358" s="16">
        <v>44987.0</v>
      </c>
      <c r="B1358" s="13" t="s">
        <v>2715</v>
      </c>
      <c r="C1358" s="13" t="s">
        <v>2716</v>
      </c>
      <c r="D1358" s="13" t="s">
        <v>14</v>
      </c>
      <c r="E1358" s="13" t="s">
        <v>57</v>
      </c>
      <c r="F1358" s="13">
        <v>2013.0</v>
      </c>
      <c r="G1358" s="13">
        <v>37817.0</v>
      </c>
      <c r="H1358" s="13">
        <v>3770.79</v>
      </c>
      <c r="I1358" s="13">
        <f>' car_sales_data 1'!$G1358*0.2</f>
        <v>7563.4</v>
      </c>
      <c r="J1358" s="13" t="str">
        <f>TEXT(' car_sales_data 1'!$A1358,"mmmm")</f>
        <v>March</v>
      </c>
      <c r="K1358" s="13" t="str">
        <f>IF(' car_sales_data 1'!$G1358&gt;40000,"Premium",
 IF(' car_sales_data 1'!$G1358&gt;=20000,"Mid Range","Budget"))</f>
        <v>Mid Range</v>
      </c>
      <c r="L1358" s="13">
        <f>YEAR(TODAY())-' car_sales_data 1'!$F1358</f>
        <v>12</v>
      </c>
    </row>
    <row r="1359" ht="15.75" customHeight="1">
      <c r="A1359" s="16">
        <v>44734.0</v>
      </c>
      <c r="B1359" s="13" t="s">
        <v>2717</v>
      </c>
      <c r="C1359" s="13" t="s">
        <v>2718</v>
      </c>
      <c r="D1359" s="13" t="s">
        <v>14</v>
      </c>
      <c r="E1359" s="13" t="s">
        <v>54</v>
      </c>
      <c r="F1359" s="13">
        <v>2018.0</v>
      </c>
      <c r="G1359" s="13">
        <v>28471.0</v>
      </c>
      <c r="H1359" s="13">
        <v>1979.42</v>
      </c>
      <c r="I1359" s="13">
        <f>' car_sales_data 1'!$G1359*0.2</f>
        <v>5694.2</v>
      </c>
      <c r="J1359" s="13" t="str">
        <f>TEXT(' car_sales_data 1'!$A1359,"mmmm")</f>
        <v>June</v>
      </c>
      <c r="K1359" s="13" t="str">
        <f>IF(' car_sales_data 1'!$G1359&gt;40000,"Premium",
 IF(' car_sales_data 1'!$G1359&gt;=20000,"Mid Range","Budget"))</f>
        <v>Mid Range</v>
      </c>
      <c r="L1359" s="13">
        <f>YEAR(TODAY())-' car_sales_data 1'!$F1359</f>
        <v>7</v>
      </c>
    </row>
    <row r="1360" ht="15.75" customHeight="1">
      <c r="A1360" s="16">
        <v>44938.0</v>
      </c>
      <c r="B1360" s="13" t="s">
        <v>2719</v>
      </c>
      <c r="C1360" s="13" t="s">
        <v>2720</v>
      </c>
      <c r="D1360" s="13" t="s">
        <v>14</v>
      </c>
      <c r="E1360" s="13" t="s">
        <v>54</v>
      </c>
      <c r="F1360" s="13">
        <v>2015.0</v>
      </c>
      <c r="G1360" s="13">
        <v>26086.0</v>
      </c>
      <c r="H1360" s="13">
        <v>2638.71</v>
      </c>
      <c r="I1360" s="13">
        <f>' car_sales_data 1'!$G1360*0.2</f>
        <v>5217.2</v>
      </c>
      <c r="J1360" s="13" t="str">
        <f>TEXT(' car_sales_data 1'!$A1360,"mmmm")</f>
        <v>January</v>
      </c>
      <c r="K1360" s="13" t="str">
        <f>IF(' car_sales_data 1'!$G1360&gt;40000,"Premium",
 IF(' car_sales_data 1'!$G1360&gt;=20000,"Mid Range","Budget"))</f>
        <v>Mid Range</v>
      </c>
      <c r="L1360" s="13">
        <f>YEAR(TODAY())-' car_sales_data 1'!$F1360</f>
        <v>10</v>
      </c>
    </row>
    <row r="1361" ht="15.75" customHeight="1">
      <c r="A1361" s="16">
        <v>44783.0</v>
      </c>
      <c r="B1361" s="13" t="s">
        <v>2721</v>
      </c>
      <c r="C1361" s="13" t="s">
        <v>2722</v>
      </c>
      <c r="D1361" s="13" t="s">
        <v>8</v>
      </c>
      <c r="E1361" s="13" t="s">
        <v>57</v>
      </c>
      <c r="F1361" s="13">
        <v>2021.0</v>
      </c>
      <c r="G1361" s="13">
        <v>36057.0</v>
      </c>
      <c r="H1361" s="13">
        <v>3105.48</v>
      </c>
      <c r="I1361" s="13">
        <f>' car_sales_data 1'!$G1361*0.2</f>
        <v>7211.4</v>
      </c>
      <c r="J1361" s="13" t="str">
        <f>TEXT(' car_sales_data 1'!$A1361,"mmmm")</f>
        <v>August</v>
      </c>
      <c r="K1361" s="13" t="str">
        <f>IF(' car_sales_data 1'!$G1361&gt;40000,"Premium",
 IF(' car_sales_data 1'!$G1361&gt;=20000,"Mid Range","Budget"))</f>
        <v>Mid Range</v>
      </c>
      <c r="L1361" s="13">
        <f>YEAR(TODAY())-' car_sales_data 1'!$F1361</f>
        <v>4</v>
      </c>
    </row>
    <row r="1362" ht="15.75" customHeight="1">
      <c r="A1362" s="16">
        <v>44700.0</v>
      </c>
      <c r="B1362" s="13" t="s">
        <v>2723</v>
      </c>
      <c r="C1362" s="13" t="s">
        <v>2724</v>
      </c>
      <c r="D1362" s="13" t="s">
        <v>8</v>
      </c>
      <c r="E1362" s="13" t="s">
        <v>62</v>
      </c>
      <c r="F1362" s="13">
        <v>2011.0</v>
      </c>
      <c r="G1362" s="13">
        <v>20165.0</v>
      </c>
      <c r="H1362" s="13">
        <v>1633.79</v>
      </c>
      <c r="I1362" s="13">
        <f>' car_sales_data 1'!$G1362*0.2</f>
        <v>4033</v>
      </c>
      <c r="J1362" s="13" t="str">
        <f>TEXT(' car_sales_data 1'!$A1362,"mmmm")</f>
        <v>May</v>
      </c>
      <c r="K1362" s="13" t="str">
        <f>IF(' car_sales_data 1'!$G1362&gt;40000,"Premium",
 IF(' car_sales_data 1'!$G1362&gt;=20000,"Mid Range","Budget"))</f>
        <v>Mid Range</v>
      </c>
      <c r="L1362" s="13">
        <f>YEAR(TODAY())-' car_sales_data 1'!$F1362</f>
        <v>14</v>
      </c>
    </row>
    <row r="1363" ht="15.75" customHeight="1">
      <c r="A1363" s="16">
        <v>44952.0</v>
      </c>
      <c r="B1363" s="13" t="s">
        <v>2725</v>
      </c>
      <c r="C1363" s="13" t="s">
        <v>2726</v>
      </c>
      <c r="D1363" s="13" t="s">
        <v>6</v>
      </c>
      <c r="E1363" s="13" t="s">
        <v>70</v>
      </c>
      <c r="F1363" s="13">
        <v>2010.0</v>
      </c>
      <c r="G1363" s="13">
        <v>32716.0</v>
      </c>
      <c r="H1363" s="13">
        <v>2400.9</v>
      </c>
      <c r="I1363" s="13">
        <f>' car_sales_data 1'!$G1363*0.2</f>
        <v>6543.2</v>
      </c>
      <c r="J1363" s="13" t="str">
        <f>TEXT(' car_sales_data 1'!$A1363,"mmmm")</f>
        <v>January</v>
      </c>
      <c r="K1363" s="13" t="str">
        <f>IF(' car_sales_data 1'!$G1363&gt;40000,"Premium",
 IF(' car_sales_data 1'!$G1363&gt;=20000,"Mid Range","Budget"))</f>
        <v>Mid Range</v>
      </c>
      <c r="L1363" s="13">
        <f>YEAR(TODAY())-' car_sales_data 1'!$F1363</f>
        <v>15</v>
      </c>
    </row>
    <row r="1364" ht="15.75" customHeight="1">
      <c r="A1364" s="16">
        <v>44969.0</v>
      </c>
      <c r="B1364" s="13" t="s">
        <v>2727</v>
      </c>
      <c r="C1364" s="13" t="s">
        <v>2728</v>
      </c>
      <c r="D1364" s="13" t="s">
        <v>12</v>
      </c>
      <c r="E1364" s="13" t="s">
        <v>57</v>
      </c>
      <c r="F1364" s="13">
        <v>2022.0</v>
      </c>
      <c r="G1364" s="13">
        <v>47532.0</v>
      </c>
      <c r="H1364" s="13">
        <v>4631.15</v>
      </c>
      <c r="I1364" s="13">
        <f>' car_sales_data 1'!$G1364*0.2</f>
        <v>9506.4</v>
      </c>
      <c r="J1364" s="13" t="str">
        <f>TEXT(' car_sales_data 1'!$A1364,"mmmm")</f>
        <v>February</v>
      </c>
      <c r="K1364" s="13" t="str">
        <f>IF(' car_sales_data 1'!$G1364&gt;40000,"Premium",
 IF(' car_sales_data 1'!$G1364&gt;=20000,"Mid Range","Budget"))</f>
        <v>Premium</v>
      </c>
      <c r="L1364" s="13">
        <f>YEAR(TODAY())-' car_sales_data 1'!$F1364</f>
        <v>3</v>
      </c>
    </row>
    <row r="1365" ht="15.75" customHeight="1">
      <c r="A1365" s="16">
        <v>45025.0</v>
      </c>
      <c r="B1365" s="13" t="s">
        <v>2729</v>
      </c>
      <c r="C1365" s="13" t="s">
        <v>2730</v>
      </c>
      <c r="D1365" s="13" t="s">
        <v>12</v>
      </c>
      <c r="E1365" s="13" t="s">
        <v>62</v>
      </c>
      <c r="F1365" s="13">
        <v>2011.0</v>
      </c>
      <c r="G1365" s="13">
        <v>11307.0</v>
      </c>
      <c r="H1365" s="13">
        <v>784.16</v>
      </c>
      <c r="I1365" s="13">
        <f>' car_sales_data 1'!$G1365*0.2</f>
        <v>2261.4</v>
      </c>
      <c r="J1365" s="13" t="str">
        <f>TEXT(' car_sales_data 1'!$A1365,"mmmm")</f>
        <v>April</v>
      </c>
      <c r="K1365" s="13" t="str">
        <f>IF(' car_sales_data 1'!$G1365&gt;40000,"Premium",
 IF(' car_sales_data 1'!$G1365&gt;=20000,"Mid Range","Budget"))</f>
        <v>Budget</v>
      </c>
      <c r="L1365" s="13">
        <f>YEAR(TODAY())-' car_sales_data 1'!$F1365</f>
        <v>14</v>
      </c>
    </row>
    <row r="1366" ht="15.75" customHeight="1">
      <c r="A1366" s="16">
        <v>44883.0</v>
      </c>
      <c r="B1366" s="13" t="s">
        <v>482</v>
      </c>
      <c r="C1366" s="13" t="s">
        <v>2731</v>
      </c>
      <c r="D1366" s="13" t="s">
        <v>14</v>
      </c>
      <c r="E1366" s="13" t="s">
        <v>62</v>
      </c>
      <c r="F1366" s="13">
        <v>2015.0</v>
      </c>
      <c r="G1366" s="13">
        <v>45314.0</v>
      </c>
      <c r="H1366" s="13">
        <v>2373.9</v>
      </c>
      <c r="I1366" s="13">
        <f>' car_sales_data 1'!$G1366*0.2</f>
        <v>9062.8</v>
      </c>
      <c r="J1366" s="13" t="str">
        <f>TEXT(' car_sales_data 1'!$A1366,"mmmm")</f>
        <v>November</v>
      </c>
      <c r="K1366" s="13" t="str">
        <f>IF(' car_sales_data 1'!$G1366&gt;40000,"Premium",
 IF(' car_sales_data 1'!$G1366&gt;=20000,"Mid Range","Budget"))</f>
        <v>Premium</v>
      </c>
      <c r="L1366" s="13">
        <f>YEAR(TODAY())-' car_sales_data 1'!$F1366</f>
        <v>10</v>
      </c>
    </row>
    <row r="1367" ht="15.75" customHeight="1">
      <c r="A1367" s="16">
        <v>44857.0</v>
      </c>
      <c r="B1367" s="13" t="s">
        <v>2732</v>
      </c>
      <c r="C1367" s="13" t="s">
        <v>2733</v>
      </c>
      <c r="D1367" s="13" t="s">
        <v>8</v>
      </c>
      <c r="E1367" s="13" t="s">
        <v>70</v>
      </c>
      <c r="F1367" s="13">
        <v>2014.0</v>
      </c>
      <c r="G1367" s="13">
        <v>20646.0</v>
      </c>
      <c r="H1367" s="13">
        <v>2762.84</v>
      </c>
      <c r="I1367" s="13">
        <f>' car_sales_data 1'!$G1367*0.2</f>
        <v>4129.2</v>
      </c>
      <c r="J1367" s="13" t="str">
        <f>TEXT(' car_sales_data 1'!$A1367,"mmmm")</f>
        <v>October</v>
      </c>
      <c r="K1367" s="13" t="str">
        <f>IF(' car_sales_data 1'!$G1367&gt;40000,"Premium",
 IF(' car_sales_data 1'!$G1367&gt;=20000,"Mid Range","Budget"))</f>
        <v>Mid Range</v>
      </c>
      <c r="L1367" s="13">
        <f>YEAR(TODAY())-' car_sales_data 1'!$F1367</f>
        <v>11</v>
      </c>
    </row>
    <row r="1368" ht="15.75" customHeight="1">
      <c r="A1368" s="16">
        <v>44934.0</v>
      </c>
      <c r="B1368" s="13" t="s">
        <v>2734</v>
      </c>
      <c r="C1368" s="13" t="s">
        <v>2735</v>
      </c>
      <c r="D1368" s="13" t="s">
        <v>10</v>
      </c>
      <c r="E1368" s="13" t="s">
        <v>54</v>
      </c>
      <c r="F1368" s="13">
        <v>2010.0</v>
      </c>
      <c r="G1368" s="13">
        <v>13467.0</v>
      </c>
      <c r="H1368" s="13">
        <v>956.68</v>
      </c>
      <c r="I1368" s="13">
        <f>' car_sales_data 1'!$G1368*0.2</f>
        <v>2693.4</v>
      </c>
      <c r="J1368" s="13" t="str">
        <f>TEXT(' car_sales_data 1'!$A1368,"mmmm")</f>
        <v>January</v>
      </c>
      <c r="K1368" s="13" t="str">
        <f>IF(' car_sales_data 1'!$G1368&gt;40000,"Premium",
 IF(' car_sales_data 1'!$G1368&gt;=20000,"Mid Range","Budget"))</f>
        <v>Budget</v>
      </c>
      <c r="L1368" s="13">
        <f>YEAR(TODAY())-' car_sales_data 1'!$F1368</f>
        <v>15</v>
      </c>
    </row>
    <row r="1369" ht="15.75" customHeight="1">
      <c r="A1369" s="16">
        <v>44937.0</v>
      </c>
      <c r="B1369" s="13" t="s">
        <v>2736</v>
      </c>
      <c r="C1369" s="13" t="s">
        <v>2737</v>
      </c>
      <c r="D1369" s="13" t="s">
        <v>14</v>
      </c>
      <c r="E1369" s="13" t="s">
        <v>51</v>
      </c>
      <c r="F1369" s="13">
        <v>2011.0</v>
      </c>
      <c r="G1369" s="13">
        <v>25247.0</v>
      </c>
      <c r="H1369" s="13">
        <v>3599.86</v>
      </c>
      <c r="I1369" s="13">
        <f>' car_sales_data 1'!$G1369*0.2</f>
        <v>5049.4</v>
      </c>
      <c r="J1369" s="13" t="str">
        <f>TEXT(' car_sales_data 1'!$A1369,"mmmm")</f>
        <v>January</v>
      </c>
      <c r="K1369" s="13" t="str">
        <f>IF(' car_sales_data 1'!$G1369&gt;40000,"Premium",
 IF(' car_sales_data 1'!$G1369&gt;=20000,"Mid Range","Budget"))</f>
        <v>Mid Range</v>
      </c>
      <c r="L1369" s="13">
        <f>YEAR(TODAY())-' car_sales_data 1'!$F1369</f>
        <v>14</v>
      </c>
    </row>
    <row r="1370" ht="15.75" customHeight="1">
      <c r="A1370" s="16">
        <v>44799.0</v>
      </c>
      <c r="B1370" s="13" t="s">
        <v>2738</v>
      </c>
      <c r="C1370" s="13" t="s">
        <v>2739</v>
      </c>
      <c r="D1370" s="13" t="s">
        <v>10</v>
      </c>
      <c r="E1370" s="13" t="s">
        <v>70</v>
      </c>
      <c r="F1370" s="13">
        <v>2021.0</v>
      </c>
      <c r="G1370" s="13">
        <v>19417.0</v>
      </c>
      <c r="H1370" s="13">
        <v>1449.69</v>
      </c>
      <c r="I1370" s="13">
        <f>' car_sales_data 1'!$G1370*0.2</f>
        <v>3883.4</v>
      </c>
      <c r="J1370" s="13" t="str">
        <f>TEXT(' car_sales_data 1'!$A1370,"mmmm")</f>
        <v>August</v>
      </c>
      <c r="K1370" s="13" t="str">
        <f>IF(' car_sales_data 1'!$G1370&gt;40000,"Premium",
 IF(' car_sales_data 1'!$G1370&gt;=20000,"Mid Range","Budget"))</f>
        <v>Budget</v>
      </c>
      <c r="L1370" s="13">
        <f>YEAR(TODAY())-' car_sales_data 1'!$F1370</f>
        <v>4</v>
      </c>
    </row>
    <row r="1371" ht="15.75" customHeight="1">
      <c r="A1371" s="16">
        <v>44949.0</v>
      </c>
      <c r="B1371" s="13" t="s">
        <v>2740</v>
      </c>
      <c r="C1371" s="13" t="s">
        <v>2741</v>
      </c>
      <c r="D1371" s="13" t="s">
        <v>6</v>
      </c>
      <c r="E1371" s="13" t="s">
        <v>62</v>
      </c>
      <c r="F1371" s="13">
        <v>2010.0</v>
      </c>
      <c r="G1371" s="13">
        <v>48933.0</v>
      </c>
      <c r="H1371" s="13">
        <v>2606.5</v>
      </c>
      <c r="I1371" s="13">
        <f>' car_sales_data 1'!$G1371*0.2</f>
        <v>9786.6</v>
      </c>
      <c r="J1371" s="13" t="str">
        <f>TEXT(' car_sales_data 1'!$A1371,"mmmm")</f>
        <v>January</v>
      </c>
      <c r="K1371" s="13" t="str">
        <f>IF(' car_sales_data 1'!$G1371&gt;40000,"Premium",
 IF(' car_sales_data 1'!$G1371&gt;=20000,"Mid Range","Budget"))</f>
        <v>Premium</v>
      </c>
      <c r="L1371" s="13">
        <f>YEAR(TODAY())-' car_sales_data 1'!$F1371</f>
        <v>15</v>
      </c>
    </row>
    <row r="1372" ht="15.75" customHeight="1">
      <c r="A1372" s="16">
        <v>44880.0</v>
      </c>
      <c r="B1372" s="13" t="s">
        <v>2742</v>
      </c>
      <c r="C1372" s="13" t="s">
        <v>1479</v>
      </c>
      <c r="D1372" s="13" t="s">
        <v>12</v>
      </c>
      <c r="E1372" s="13" t="s">
        <v>51</v>
      </c>
      <c r="F1372" s="13">
        <v>2012.0</v>
      </c>
      <c r="G1372" s="13">
        <v>17386.0</v>
      </c>
      <c r="H1372" s="13">
        <v>1426.23</v>
      </c>
      <c r="I1372" s="13">
        <f>' car_sales_data 1'!$G1372*0.2</f>
        <v>3477.2</v>
      </c>
      <c r="J1372" s="13" t="str">
        <f>TEXT(' car_sales_data 1'!$A1372,"mmmm")</f>
        <v>November</v>
      </c>
      <c r="K1372" s="13" t="str">
        <f>IF(' car_sales_data 1'!$G1372&gt;40000,"Premium",
 IF(' car_sales_data 1'!$G1372&gt;=20000,"Mid Range","Budget"))</f>
        <v>Budget</v>
      </c>
      <c r="L1372" s="13">
        <f>YEAR(TODAY())-' car_sales_data 1'!$F1372</f>
        <v>13</v>
      </c>
    </row>
    <row r="1373" ht="15.75" customHeight="1">
      <c r="A1373" s="16">
        <v>44805.0</v>
      </c>
      <c r="B1373" s="13" t="s">
        <v>2387</v>
      </c>
      <c r="C1373" s="13" t="s">
        <v>2743</v>
      </c>
      <c r="D1373" s="13" t="s">
        <v>6</v>
      </c>
      <c r="E1373" s="13" t="s">
        <v>57</v>
      </c>
      <c r="F1373" s="13">
        <v>2013.0</v>
      </c>
      <c r="G1373" s="13">
        <v>43380.0</v>
      </c>
      <c r="H1373" s="13">
        <v>3954.87</v>
      </c>
      <c r="I1373" s="13">
        <f>' car_sales_data 1'!$G1373*0.2</f>
        <v>8676</v>
      </c>
      <c r="J1373" s="13" t="str">
        <f>TEXT(' car_sales_data 1'!$A1373,"mmmm")</f>
        <v>September</v>
      </c>
      <c r="K1373" s="13" t="str">
        <f>IF(' car_sales_data 1'!$G1373&gt;40000,"Premium",
 IF(' car_sales_data 1'!$G1373&gt;=20000,"Mid Range","Budget"))</f>
        <v>Premium</v>
      </c>
      <c r="L1373" s="13">
        <f>YEAR(TODAY())-' car_sales_data 1'!$F1373</f>
        <v>12</v>
      </c>
    </row>
    <row r="1374" ht="15.75" customHeight="1">
      <c r="A1374" s="16">
        <v>44717.0</v>
      </c>
      <c r="B1374" s="13" t="s">
        <v>2744</v>
      </c>
      <c r="C1374" s="13" t="s">
        <v>2745</v>
      </c>
      <c r="D1374" s="13" t="s">
        <v>8</v>
      </c>
      <c r="E1374" s="13" t="s">
        <v>57</v>
      </c>
      <c r="F1374" s="13">
        <v>2014.0</v>
      </c>
      <c r="G1374" s="13">
        <v>20941.0</v>
      </c>
      <c r="H1374" s="13">
        <v>3019.97</v>
      </c>
      <c r="I1374" s="13">
        <f>' car_sales_data 1'!$G1374*0.2</f>
        <v>4188.2</v>
      </c>
      <c r="J1374" s="13" t="str">
        <f>TEXT(' car_sales_data 1'!$A1374,"mmmm")</f>
        <v>June</v>
      </c>
      <c r="K1374" s="13" t="str">
        <f>IF(' car_sales_data 1'!$G1374&gt;40000,"Premium",
 IF(' car_sales_data 1'!$G1374&gt;=20000,"Mid Range","Budget"))</f>
        <v>Mid Range</v>
      </c>
      <c r="L1374" s="13">
        <f>YEAR(TODAY())-' car_sales_data 1'!$F1374</f>
        <v>11</v>
      </c>
    </row>
    <row r="1375" ht="15.75" customHeight="1">
      <c r="A1375" s="16">
        <v>45004.0</v>
      </c>
      <c r="B1375" s="13" t="s">
        <v>2746</v>
      </c>
      <c r="C1375" s="13" t="s">
        <v>2747</v>
      </c>
      <c r="D1375" s="13" t="s">
        <v>6</v>
      </c>
      <c r="E1375" s="13" t="s">
        <v>54</v>
      </c>
      <c r="F1375" s="13">
        <v>2013.0</v>
      </c>
      <c r="G1375" s="13">
        <v>28030.0</v>
      </c>
      <c r="H1375" s="13">
        <v>4017.51</v>
      </c>
      <c r="I1375" s="13">
        <f>' car_sales_data 1'!$G1375*0.2</f>
        <v>5606</v>
      </c>
      <c r="J1375" s="13" t="str">
        <f>TEXT(' car_sales_data 1'!$A1375,"mmmm")</f>
        <v>March</v>
      </c>
      <c r="K1375" s="13" t="str">
        <f>IF(' car_sales_data 1'!$G1375&gt;40000,"Premium",
 IF(' car_sales_data 1'!$G1375&gt;=20000,"Mid Range","Budget"))</f>
        <v>Mid Range</v>
      </c>
      <c r="L1375" s="13">
        <f>YEAR(TODAY())-' car_sales_data 1'!$F1375</f>
        <v>12</v>
      </c>
    </row>
    <row r="1376" ht="15.75" customHeight="1">
      <c r="A1376" s="16">
        <v>44967.0</v>
      </c>
      <c r="B1376" s="13" t="s">
        <v>2748</v>
      </c>
      <c r="C1376" s="13" t="s">
        <v>2749</v>
      </c>
      <c r="D1376" s="13" t="s">
        <v>14</v>
      </c>
      <c r="E1376" s="13" t="s">
        <v>70</v>
      </c>
      <c r="F1376" s="13">
        <v>2016.0</v>
      </c>
      <c r="G1376" s="13">
        <v>24421.0</v>
      </c>
      <c r="H1376" s="13">
        <v>3503.47</v>
      </c>
      <c r="I1376" s="13">
        <f>' car_sales_data 1'!$G1376*0.2</f>
        <v>4884.2</v>
      </c>
      <c r="J1376" s="13" t="str">
        <f>TEXT(' car_sales_data 1'!$A1376,"mmmm")</f>
        <v>February</v>
      </c>
      <c r="K1376" s="13" t="str">
        <f>IF(' car_sales_data 1'!$G1376&gt;40000,"Premium",
 IF(' car_sales_data 1'!$G1376&gt;=20000,"Mid Range","Budget"))</f>
        <v>Mid Range</v>
      </c>
      <c r="L1376" s="13">
        <f>YEAR(TODAY())-' car_sales_data 1'!$F1376</f>
        <v>9</v>
      </c>
    </row>
    <row r="1377" ht="15.75" customHeight="1">
      <c r="A1377" s="16">
        <v>44874.0</v>
      </c>
      <c r="B1377" s="13" t="s">
        <v>2750</v>
      </c>
      <c r="C1377" s="13" t="s">
        <v>2751</v>
      </c>
      <c r="D1377" s="13" t="s">
        <v>8</v>
      </c>
      <c r="E1377" s="13" t="s">
        <v>70</v>
      </c>
      <c r="F1377" s="13">
        <v>2011.0</v>
      </c>
      <c r="G1377" s="13">
        <v>20314.0</v>
      </c>
      <c r="H1377" s="13">
        <v>1381.62</v>
      </c>
      <c r="I1377" s="13">
        <f>' car_sales_data 1'!$G1377*0.2</f>
        <v>4062.8</v>
      </c>
      <c r="J1377" s="13" t="str">
        <f>TEXT(' car_sales_data 1'!$A1377,"mmmm")</f>
        <v>November</v>
      </c>
      <c r="K1377" s="13" t="str">
        <f>IF(' car_sales_data 1'!$G1377&gt;40000,"Premium",
 IF(' car_sales_data 1'!$G1377&gt;=20000,"Mid Range","Budget"))</f>
        <v>Mid Range</v>
      </c>
      <c r="L1377" s="13">
        <f>YEAR(TODAY())-' car_sales_data 1'!$F1377</f>
        <v>14</v>
      </c>
    </row>
    <row r="1378" ht="15.75" customHeight="1">
      <c r="A1378" s="16">
        <v>44752.0</v>
      </c>
      <c r="B1378" s="13" t="s">
        <v>1244</v>
      </c>
      <c r="C1378" s="13" t="s">
        <v>2752</v>
      </c>
      <c r="D1378" s="13" t="s">
        <v>12</v>
      </c>
      <c r="E1378" s="13" t="s">
        <v>54</v>
      </c>
      <c r="F1378" s="13">
        <v>2020.0</v>
      </c>
      <c r="G1378" s="13">
        <v>30469.0</v>
      </c>
      <c r="H1378" s="13">
        <v>3818.94</v>
      </c>
      <c r="I1378" s="13">
        <f>' car_sales_data 1'!$G1378*0.2</f>
        <v>6093.8</v>
      </c>
      <c r="J1378" s="13" t="str">
        <f>TEXT(' car_sales_data 1'!$A1378,"mmmm")</f>
        <v>July</v>
      </c>
      <c r="K1378" s="13" t="str">
        <f>IF(' car_sales_data 1'!$G1378&gt;40000,"Premium",
 IF(' car_sales_data 1'!$G1378&gt;=20000,"Mid Range","Budget"))</f>
        <v>Mid Range</v>
      </c>
      <c r="L1378" s="13">
        <f>YEAR(TODAY())-' car_sales_data 1'!$F1378</f>
        <v>5</v>
      </c>
    </row>
    <row r="1379" ht="15.75" customHeight="1">
      <c r="A1379" s="16">
        <v>44757.0</v>
      </c>
      <c r="B1379" s="13" t="s">
        <v>2753</v>
      </c>
      <c r="C1379" s="13" t="s">
        <v>2754</v>
      </c>
      <c r="D1379" s="13" t="s">
        <v>10</v>
      </c>
      <c r="E1379" s="13" t="s">
        <v>54</v>
      </c>
      <c r="F1379" s="13">
        <v>2015.0</v>
      </c>
      <c r="G1379" s="13">
        <v>33653.0</v>
      </c>
      <c r="H1379" s="13">
        <v>3186.23</v>
      </c>
      <c r="I1379" s="13">
        <f>' car_sales_data 1'!$G1379*0.2</f>
        <v>6730.6</v>
      </c>
      <c r="J1379" s="13" t="str">
        <f>TEXT(' car_sales_data 1'!$A1379,"mmmm")</f>
        <v>July</v>
      </c>
      <c r="K1379" s="13" t="str">
        <f>IF(' car_sales_data 1'!$G1379&gt;40000,"Premium",
 IF(' car_sales_data 1'!$G1379&gt;=20000,"Mid Range","Budget"))</f>
        <v>Mid Range</v>
      </c>
      <c r="L1379" s="13">
        <f>YEAR(TODAY())-' car_sales_data 1'!$F1379</f>
        <v>10</v>
      </c>
    </row>
    <row r="1380" ht="15.75" customHeight="1">
      <c r="A1380" s="16">
        <v>44931.0</v>
      </c>
      <c r="B1380" s="13" t="s">
        <v>2755</v>
      </c>
      <c r="C1380" s="13" t="s">
        <v>2756</v>
      </c>
      <c r="D1380" s="13" t="s">
        <v>12</v>
      </c>
      <c r="E1380" s="13" t="s">
        <v>70</v>
      </c>
      <c r="F1380" s="13">
        <v>2015.0</v>
      </c>
      <c r="G1380" s="13">
        <v>30112.0</v>
      </c>
      <c r="H1380" s="13">
        <v>2074.17</v>
      </c>
      <c r="I1380" s="13">
        <f>' car_sales_data 1'!$G1380*0.2</f>
        <v>6022.4</v>
      </c>
      <c r="J1380" s="13" t="str">
        <f>TEXT(' car_sales_data 1'!$A1380,"mmmm")</f>
        <v>January</v>
      </c>
      <c r="K1380" s="13" t="str">
        <f>IF(' car_sales_data 1'!$G1380&gt;40000,"Premium",
 IF(' car_sales_data 1'!$G1380&gt;=20000,"Mid Range","Budget"))</f>
        <v>Mid Range</v>
      </c>
      <c r="L1380" s="13">
        <f>YEAR(TODAY())-' car_sales_data 1'!$F1380</f>
        <v>10</v>
      </c>
    </row>
    <row r="1381" ht="15.75" customHeight="1">
      <c r="A1381" s="16">
        <v>44896.0</v>
      </c>
      <c r="B1381" s="13" t="s">
        <v>2757</v>
      </c>
      <c r="C1381" s="13" t="s">
        <v>2758</v>
      </c>
      <c r="D1381" s="13" t="s">
        <v>8</v>
      </c>
      <c r="E1381" s="13" t="s">
        <v>54</v>
      </c>
      <c r="F1381" s="13">
        <v>2018.0</v>
      </c>
      <c r="G1381" s="13">
        <v>32451.0</v>
      </c>
      <c r="H1381" s="13">
        <v>2454.82</v>
      </c>
      <c r="I1381" s="13">
        <f>' car_sales_data 1'!$G1381*0.2</f>
        <v>6490.2</v>
      </c>
      <c r="J1381" s="13" t="str">
        <f>TEXT(' car_sales_data 1'!$A1381,"mmmm")</f>
        <v>December</v>
      </c>
      <c r="K1381" s="13" t="str">
        <f>IF(' car_sales_data 1'!$G1381&gt;40000,"Premium",
 IF(' car_sales_data 1'!$G1381&gt;=20000,"Mid Range","Budget"))</f>
        <v>Mid Range</v>
      </c>
      <c r="L1381" s="13">
        <f>YEAR(TODAY())-' car_sales_data 1'!$F1381</f>
        <v>7</v>
      </c>
    </row>
    <row r="1382" ht="15.75" customHeight="1">
      <c r="A1382" s="16">
        <v>44953.0</v>
      </c>
      <c r="B1382" s="13" t="s">
        <v>2759</v>
      </c>
      <c r="C1382" s="13" t="s">
        <v>2760</v>
      </c>
      <c r="D1382" s="13" t="s">
        <v>12</v>
      </c>
      <c r="E1382" s="13" t="s">
        <v>51</v>
      </c>
      <c r="F1382" s="13">
        <v>2017.0</v>
      </c>
      <c r="G1382" s="13">
        <v>23198.0</v>
      </c>
      <c r="H1382" s="13">
        <v>2542.72</v>
      </c>
      <c r="I1382" s="13">
        <f>' car_sales_data 1'!$G1382*0.2</f>
        <v>4639.6</v>
      </c>
      <c r="J1382" s="13" t="str">
        <f>TEXT(' car_sales_data 1'!$A1382,"mmmm")</f>
        <v>January</v>
      </c>
      <c r="K1382" s="13" t="str">
        <f>IF(' car_sales_data 1'!$G1382&gt;40000,"Premium",
 IF(' car_sales_data 1'!$G1382&gt;=20000,"Mid Range","Budget"))</f>
        <v>Mid Range</v>
      </c>
      <c r="L1382" s="13">
        <f>YEAR(TODAY())-' car_sales_data 1'!$F1382</f>
        <v>8</v>
      </c>
    </row>
    <row r="1383" ht="15.75" customHeight="1">
      <c r="A1383" s="16">
        <v>44891.0</v>
      </c>
      <c r="B1383" s="13" t="s">
        <v>2761</v>
      </c>
      <c r="C1383" s="13" t="s">
        <v>2762</v>
      </c>
      <c r="D1383" s="13" t="s">
        <v>8</v>
      </c>
      <c r="E1383" s="13" t="s">
        <v>54</v>
      </c>
      <c r="F1383" s="13">
        <v>2018.0</v>
      </c>
      <c r="G1383" s="13">
        <v>34114.0</v>
      </c>
      <c r="H1383" s="13">
        <v>4796.75</v>
      </c>
      <c r="I1383" s="13">
        <f>' car_sales_data 1'!$G1383*0.2</f>
        <v>6822.8</v>
      </c>
      <c r="J1383" s="13" t="str">
        <f>TEXT(' car_sales_data 1'!$A1383,"mmmm")</f>
        <v>November</v>
      </c>
      <c r="K1383" s="13" t="str">
        <f>IF(' car_sales_data 1'!$G1383&gt;40000,"Premium",
 IF(' car_sales_data 1'!$G1383&gt;=20000,"Mid Range","Budget"))</f>
        <v>Mid Range</v>
      </c>
      <c r="L1383" s="13">
        <f>YEAR(TODAY())-' car_sales_data 1'!$F1383</f>
        <v>7</v>
      </c>
    </row>
    <row r="1384" ht="15.75" customHeight="1">
      <c r="A1384" s="16">
        <v>45024.0</v>
      </c>
      <c r="B1384" s="13" t="s">
        <v>2763</v>
      </c>
      <c r="C1384" s="13" t="s">
        <v>2764</v>
      </c>
      <c r="D1384" s="13" t="s">
        <v>14</v>
      </c>
      <c r="E1384" s="13" t="s">
        <v>51</v>
      </c>
      <c r="F1384" s="13">
        <v>2013.0</v>
      </c>
      <c r="G1384" s="13">
        <v>15449.0</v>
      </c>
      <c r="H1384" s="13">
        <v>1124.13</v>
      </c>
      <c r="I1384" s="13">
        <f>' car_sales_data 1'!$G1384*0.2</f>
        <v>3089.8</v>
      </c>
      <c r="J1384" s="13" t="str">
        <f>TEXT(' car_sales_data 1'!$A1384,"mmmm")</f>
        <v>April</v>
      </c>
      <c r="K1384" s="13" t="str">
        <f>IF(' car_sales_data 1'!$G1384&gt;40000,"Premium",
 IF(' car_sales_data 1'!$G1384&gt;=20000,"Mid Range","Budget"))</f>
        <v>Budget</v>
      </c>
      <c r="L1384" s="13">
        <f>YEAR(TODAY())-' car_sales_data 1'!$F1384</f>
        <v>12</v>
      </c>
    </row>
    <row r="1385" ht="15.75" customHeight="1">
      <c r="A1385" s="16">
        <v>44929.0</v>
      </c>
      <c r="B1385" s="13" t="s">
        <v>2765</v>
      </c>
      <c r="C1385" s="13" t="s">
        <v>550</v>
      </c>
      <c r="D1385" s="13" t="s">
        <v>6</v>
      </c>
      <c r="E1385" s="13" t="s">
        <v>54</v>
      </c>
      <c r="F1385" s="13">
        <v>2012.0</v>
      </c>
      <c r="G1385" s="13">
        <v>41978.0</v>
      </c>
      <c r="H1385" s="13">
        <v>5565.17</v>
      </c>
      <c r="I1385" s="13">
        <f>' car_sales_data 1'!$G1385*0.2</f>
        <v>8395.6</v>
      </c>
      <c r="J1385" s="13" t="str">
        <f>TEXT(' car_sales_data 1'!$A1385,"mmmm")</f>
        <v>January</v>
      </c>
      <c r="K1385" s="13" t="str">
        <f>IF(' car_sales_data 1'!$G1385&gt;40000,"Premium",
 IF(' car_sales_data 1'!$G1385&gt;=20000,"Mid Range","Budget"))</f>
        <v>Premium</v>
      </c>
      <c r="L1385" s="13">
        <f>YEAR(TODAY())-' car_sales_data 1'!$F1385</f>
        <v>13</v>
      </c>
    </row>
    <row r="1386" ht="15.75" customHeight="1">
      <c r="A1386" s="16">
        <v>44780.0</v>
      </c>
      <c r="B1386" s="13" t="s">
        <v>2766</v>
      </c>
      <c r="C1386" s="13" t="s">
        <v>2767</v>
      </c>
      <c r="D1386" s="13" t="s">
        <v>8</v>
      </c>
      <c r="E1386" s="13" t="s">
        <v>54</v>
      </c>
      <c r="F1386" s="13">
        <v>2018.0</v>
      </c>
      <c r="G1386" s="13">
        <v>44210.0</v>
      </c>
      <c r="H1386" s="13">
        <v>3455.05</v>
      </c>
      <c r="I1386" s="13">
        <f>' car_sales_data 1'!$G1386*0.2</f>
        <v>8842</v>
      </c>
      <c r="J1386" s="13" t="str">
        <f>TEXT(' car_sales_data 1'!$A1386,"mmmm")</f>
        <v>August</v>
      </c>
      <c r="K1386" s="13" t="str">
        <f>IF(' car_sales_data 1'!$G1386&gt;40000,"Premium",
 IF(' car_sales_data 1'!$G1386&gt;=20000,"Mid Range","Budget"))</f>
        <v>Premium</v>
      </c>
      <c r="L1386" s="13">
        <f>YEAR(TODAY())-' car_sales_data 1'!$F1386</f>
        <v>7</v>
      </c>
    </row>
    <row r="1387" ht="15.75" customHeight="1">
      <c r="A1387" s="16">
        <v>44970.0</v>
      </c>
      <c r="B1387" s="13" t="s">
        <v>2768</v>
      </c>
      <c r="C1387" s="13" t="s">
        <v>2769</v>
      </c>
      <c r="D1387" s="13" t="s">
        <v>14</v>
      </c>
      <c r="E1387" s="13" t="s">
        <v>54</v>
      </c>
      <c r="F1387" s="13">
        <v>2013.0</v>
      </c>
      <c r="G1387" s="13">
        <v>34831.0</v>
      </c>
      <c r="H1387" s="13">
        <v>2019.97</v>
      </c>
      <c r="I1387" s="13">
        <f>' car_sales_data 1'!$G1387*0.2</f>
        <v>6966.2</v>
      </c>
      <c r="J1387" s="13" t="str">
        <f>TEXT(' car_sales_data 1'!$A1387,"mmmm")</f>
        <v>February</v>
      </c>
      <c r="K1387" s="13" t="str">
        <f>IF(' car_sales_data 1'!$G1387&gt;40000,"Premium",
 IF(' car_sales_data 1'!$G1387&gt;=20000,"Mid Range","Budget"))</f>
        <v>Mid Range</v>
      </c>
      <c r="L1387" s="13">
        <f>YEAR(TODAY())-' car_sales_data 1'!$F1387</f>
        <v>12</v>
      </c>
    </row>
    <row r="1388" ht="15.75" customHeight="1">
      <c r="A1388" s="16">
        <v>44984.0</v>
      </c>
      <c r="B1388" s="13" t="s">
        <v>2770</v>
      </c>
      <c r="C1388" s="13" t="s">
        <v>2771</v>
      </c>
      <c r="D1388" s="13" t="s">
        <v>8</v>
      </c>
      <c r="E1388" s="13" t="s">
        <v>54</v>
      </c>
      <c r="F1388" s="13">
        <v>2013.0</v>
      </c>
      <c r="G1388" s="13">
        <v>43016.0</v>
      </c>
      <c r="H1388" s="13">
        <v>4700.65</v>
      </c>
      <c r="I1388" s="13">
        <f>' car_sales_data 1'!$G1388*0.2</f>
        <v>8603.2</v>
      </c>
      <c r="J1388" s="13" t="str">
        <f>TEXT(' car_sales_data 1'!$A1388,"mmmm")</f>
        <v>February</v>
      </c>
      <c r="K1388" s="13" t="str">
        <f>IF(' car_sales_data 1'!$G1388&gt;40000,"Premium",
 IF(' car_sales_data 1'!$G1388&gt;=20000,"Mid Range","Budget"))</f>
        <v>Premium</v>
      </c>
      <c r="L1388" s="13">
        <f>YEAR(TODAY())-' car_sales_data 1'!$F1388</f>
        <v>12</v>
      </c>
    </row>
    <row r="1389" ht="15.75" customHeight="1">
      <c r="A1389" s="16">
        <v>44766.0</v>
      </c>
      <c r="B1389" s="13" t="s">
        <v>2772</v>
      </c>
      <c r="C1389" s="13" t="s">
        <v>2773</v>
      </c>
      <c r="D1389" s="13" t="s">
        <v>6</v>
      </c>
      <c r="E1389" s="13" t="s">
        <v>70</v>
      </c>
      <c r="F1389" s="13">
        <v>2020.0</v>
      </c>
      <c r="G1389" s="13">
        <v>45800.0</v>
      </c>
      <c r="H1389" s="13">
        <v>3496.41</v>
      </c>
      <c r="I1389" s="13">
        <f>' car_sales_data 1'!$G1389*0.2</f>
        <v>9160</v>
      </c>
      <c r="J1389" s="13" t="str">
        <f>TEXT(' car_sales_data 1'!$A1389,"mmmm")</f>
        <v>July</v>
      </c>
      <c r="K1389" s="13" t="str">
        <f>IF(' car_sales_data 1'!$G1389&gt;40000,"Premium",
 IF(' car_sales_data 1'!$G1389&gt;=20000,"Mid Range","Budget"))</f>
        <v>Premium</v>
      </c>
      <c r="L1389" s="13">
        <f>YEAR(TODAY())-' car_sales_data 1'!$F1389</f>
        <v>5</v>
      </c>
    </row>
    <row r="1390" ht="15.75" customHeight="1">
      <c r="A1390" s="16">
        <v>45009.0</v>
      </c>
      <c r="B1390" s="13" t="s">
        <v>2774</v>
      </c>
      <c r="C1390" s="13" t="s">
        <v>2775</v>
      </c>
      <c r="D1390" s="13" t="s">
        <v>6</v>
      </c>
      <c r="E1390" s="13" t="s">
        <v>51</v>
      </c>
      <c r="F1390" s="13">
        <v>2010.0</v>
      </c>
      <c r="G1390" s="13">
        <v>15964.0</v>
      </c>
      <c r="H1390" s="13">
        <v>1632.7</v>
      </c>
      <c r="I1390" s="13">
        <f>' car_sales_data 1'!$G1390*0.2</f>
        <v>3192.8</v>
      </c>
      <c r="J1390" s="13" t="str">
        <f>TEXT(' car_sales_data 1'!$A1390,"mmmm")</f>
        <v>March</v>
      </c>
      <c r="K1390" s="13" t="str">
        <f>IF(' car_sales_data 1'!$G1390&gt;40000,"Premium",
 IF(' car_sales_data 1'!$G1390&gt;=20000,"Mid Range","Budget"))</f>
        <v>Budget</v>
      </c>
      <c r="L1390" s="13">
        <f>YEAR(TODAY())-' car_sales_data 1'!$F1390</f>
        <v>15</v>
      </c>
    </row>
    <row r="1391" ht="15.75" customHeight="1">
      <c r="A1391" s="16">
        <v>44920.0</v>
      </c>
      <c r="B1391" s="13" t="s">
        <v>2776</v>
      </c>
      <c r="C1391" s="13" t="s">
        <v>2777</v>
      </c>
      <c r="D1391" s="13" t="s">
        <v>12</v>
      </c>
      <c r="E1391" s="13" t="s">
        <v>54</v>
      </c>
      <c r="F1391" s="13">
        <v>2020.0</v>
      </c>
      <c r="G1391" s="13">
        <v>46751.0</v>
      </c>
      <c r="H1391" s="13">
        <v>6067.33</v>
      </c>
      <c r="I1391" s="13">
        <f>' car_sales_data 1'!$G1391*0.2</f>
        <v>9350.2</v>
      </c>
      <c r="J1391" s="13" t="str">
        <f>TEXT(' car_sales_data 1'!$A1391,"mmmm")</f>
        <v>December</v>
      </c>
      <c r="K1391" s="13" t="str">
        <f>IF(' car_sales_data 1'!$G1391&gt;40000,"Premium",
 IF(' car_sales_data 1'!$G1391&gt;=20000,"Mid Range","Budget"))</f>
        <v>Premium</v>
      </c>
      <c r="L1391" s="13">
        <f>YEAR(TODAY())-' car_sales_data 1'!$F1391</f>
        <v>5</v>
      </c>
    </row>
    <row r="1392" ht="15.75" customHeight="1">
      <c r="A1392" s="16">
        <v>44989.0</v>
      </c>
      <c r="B1392" s="13" t="s">
        <v>2778</v>
      </c>
      <c r="C1392" s="13" t="s">
        <v>2779</v>
      </c>
      <c r="D1392" s="13" t="s">
        <v>12</v>
      </c>
      <c r="E1392" s="13" t="s">
        <v>51</v>
      </c>
      <c r="F1392" s="13">
        <v>2013.0</v>
      </c>
      <c r="G1392" s="13">
        <v>28252.0</v>
      </c>
      <c r="H1392" s="13">
        <v>2560.96</v>
      </c>
      <c r="I1392" s="13">
        <f>' car_sales_data 1'!$G1392*0.2</f>
        <v>5650.4</v>
      </c>
      <c r="J1392" s="13" t="str">
        <f>TEXT(' car_sales_data 1'!$A1392,"mmmm")</f>
        <v>March</v>
      </c>
      <c r="K1392" s="13" t="str">
        <f>IF(' car_sales_data 1'!$G1392&gt;40000,"Premium",
 IF(' car_sales_data 1'!$G1392&gt;=20000,"Mid Range","Budget"))</f>
        <v>Mid Range</v>
      </c>
      <c r="L1392" s="13">
        <f>YEAR(TODAY())-' car_sales_data 1'!$F1392</f>
        <v>12</v>
      </c>
    </row>
    <row r="1393" ht="15.75" customHeight="1">
      <c r="A1393" s="16">
        <v>44972.0</v>
      </c>
      <c r="B1393" s="13" t="s">
        <v>2780</v>
      </c>
      <c r="C1393" s="13" t="s">
        <v>2781</v>
      </c>
      <c r="D1393" s="13" t="s">
        <v>10</v>
      </c>
      <c r="E1393" s="13" t="s">
        <v>70</v>
      </c>
      <c r="F1393" s="13">
        <v>2010.0</v>
      </c>
      <c r="G1393" s="13">
        <v>40260.0</v>
      </c>
      <c r="H1393" s="13">
        <v>4736.91</v>
      </c>
      <c r="I1393" s="13">
        <f>' car_sales_data 1'!$G1393*0.2</f>
        <v>8052</v>
      </c>
      <c r="J1393" s="13" t="str">
        <f>TEXT(' car_sales_data 1'!$A1393,"mmmm")</f>
        <v>February</v>
      </c>
      <c r="K1393" s="13" t="str">
        <f>IF(' car_sales_data 1'!$G1393&gt;40000,"Premium",
 IF(' car_sales_data 1'!$G1393&gt;=20000,"Mid Range","Budget"))</f>
        <v>Premium</v>
      </c>
      <c r="L1393" s="13">
        <f>YEAR(TODAY())-' car_sales_data 1'!$F1393</f>
        <v>15</v>
      </c>
    </row>
    <row r="1394" ht="15.75" customHeight="1">
      <c r="A1394" s="16">
        <v>44743.0</v>
      </c>
      <c r="B1394" s="13" t="s">
        <v>2782</v>
      </c>
      <c r="C1394" s="13" t="s">
        <v>2783</v>
      </c>
      <c r="D1394" s="13" t="s">
        <v>6</v>
      </c>
      <c r="E1394" s="13" t="s">
        <v>70</v>
      </c>
      <c r="F1394" s="13">
        <v>2010.0</v>
      </c>
      <c r="G1394" s="13">
        <v>33160.0</v>
      </c>
      <c r="H1394" s="13">
        <v>2982.38</v>
      </c>
      <c r="I1394" s="13">
        <f>' car_sales_data 1'!$G1394*0.2</f>
        <v>6632</v>
      </c>
      <c r="J1394" s="13" t="str">
        <f>TEXT(' car_sales_data 1'!$A1394,"mmmm")</f>
        <v>July</v>
      </c>
      <c r="K1394" s="13" t="str">
        <f>IF(' car_sales_data 1'!$G1394&gt;40000,"Premium",
 IF(' car_sales_data 1'!$G1394&gt;=20000,"Mid Range","Budget"))</f>
        <v>Mid Range</v>
      </c>
      <c r="L1394" s="13">
        <f>YEAR(TODAY())-' car_sales_data 1'!$F1394</f>
        <v>15</v>
      </c>
    </row>
    <row r="1395" ht="15.75" customHeight="1">
      <c r="A1395" s="16">
        <v>44830.0</v>
      </c>
      <c r="B1395" s="13" t="s">
        <v>2784</v>
      </c>
      <c r="C1395" s="13" t="s">
        <v>2785</v>
      </c>
      <c r="D1395" s="13" t="s">
        <v>6</v>
      </c>
      <c r="E1395" s="13" t="s">
        <v>62</v>
      </c>
      <c r="F1395" s="13">
        <v>2018.0</v>
      </c>
      <c r="G1395" s="13">
        <v>29388.0</v>
      </c>
      <c r="H1395" s="13">
        <v>2073.04</v>
      </c>
      <c r="I1395" s="13">
        <f>' car_sales_data 1'!$G1395*0.2</f>
        <v>5877.6</v>
      </c>
      <c r="J1395" s="13" t="str">
        <f>TEXT(' car_sales_data 1'!$A1395,"mmmm")</f>
        <v>September</v>
      </c>
      <c r="K1395" s="13" t="str">
        <f>IF(' car_sales_data 1'!$G1395&gt;40000,"Premium",
 IF(' car_sales_data 1'!$G1395&gt;=20000,"Mid Range","Budget"))</f>
        <v>Mid Range</v>
      </c>
      <c r="L1395" s="13">
        <f>YEAR(TODAY())-' car_sales_data 1'!$F1395</f>
        <v>7</v>
      </c>
    </row>
    <row r="1396" ht="15.75" customHeight="1">
      <c r="A1396" s="16">
        <v>45011.0</v>
      </c>
      <c r="B1396" s="13" t="s">
        <v>2786</v>
      </c>
      <c r="C1396" s="13" t="s">
        <v>2787</v>
      </c>
      <c r="D1396" s="13" t="s">
        <v>6</v>
      </c>
      <c r="E1396" s="13" t="s">
        <v>57</v>
      </c>
      <c r="F1396" s="13">
        <v>2020.0</v>
      </c>
      <c r="G1396" s="13">
        <v>19386.0</v>
      </c>
      <c r="H1396" s="13">
        <v>1711.82</v>
      </c>
      <c r="I1396" s="13">
        <f>' car_sales_data 1'!$G1396*0.2</f>
        <v>3877.2</v>
      </c>
      <c r="J1396" s="13" t="str">
        <f>TEXT(' car_sales_data 1'!$A1396,"mmmm")</f>
        <v>March</v>
      </c>
      <c r="K1396" s="13" t="str">
        <f>IF(' car_sales_data 1'!$G1396&gt;40000,"Premium",
 IF(' car_sales_data 1'!$G1396&gt;=20000,"Mid Range","Budget"))</f>
        <v>Budget</v>
      </c>
      <c r="L1396" s="13">
        <f>YEAR(TODAY())-' car_sales_data 1'!$F1396</f>
        <v>5</v>
      </c>
    </row>
    <row r="1397" ht="15.75" customHeight="1">
      <c r="A1397" s="16">
        <v>44859.0</v>
      </c>
      <c r="B1397" s="13" t="s">
        <v>2788</v>
      </c>
      <c r="C1397" s="13" t="s">
        <v>2789</v>
      </c>
      <c r="D1397" s="13" t="s">
        <v>14</v>
      </c>
      <c r="E1397" s="13" t="s">
        <v>70</v>
      </c>
      <c r="F1397" s="13">
        <v>2018.0</v>
      </c>
      <c r="G1397" s="13">
        <v>30511.0</v>
      </c>
      <c r="H1397" s="13">
        <v>4023.19</v>
      </c>
      <c r="I1397" s="13">
        <f>' car_sales_data 1'!$G1397*0.2</f>
        <v>6102.2</v>
      </c>
      <c r="J1397" s="13" t="str">
        <f>TEXT(' car_sales_data 1'!$A1397,"mmmm")</f>
        <v>October</v>
      </c>
      <c r="K1397" s="13" t="str">
        <f>IF(' car_sales_data 1'!$G1397&gt;40000,"Premium",
 IF(' car_sales_data 1'!$G1397&gt;=20000,"Mid Range","Budget"))</f>
        <v>Mid Range</v>
      </c>
      <c r="L1397" s="13">
        <f>YEAR(TODAY())-' car_sales_data 1'!$F1397</f>
        <v>7</v>
      </c>
    </row>
    <row r="1398" ht="15.75" customHeight="1">
      <c r="A1398" s="16">
        <v>44815.0</v>
      </c>
      <c r="B1398" s="13" t="s">
        <v>2790</v>
      </c>
      <c r="C1398" s="13" t="s">
        <v>2791</v>
      </c>
      <c r="D1398" s="13" t="s">
        <v>12</v>
      </c>
      <c r="E1398" s="13" t="s">
        <v>54</v>
      </c>
      <c r="F1398" s="13">
        <v>2018.0</v>
      </c>
      <c r="G1398" s="13">
        <v>19309.0</v>
      </c>
      <c r="H1398" s="13">
        <v>1656.69</v>
      </c>
      <c r="I1398" s="13">
        <f>' car_sales_data 1'!$G1398*0.2</f>
        <v>3861.8</v>
      </c>
      <c r="J1398" s="13" t="str">
        <f>TEXT(' car_sales_data 1'!$A1398,"mmmm")</f>
        <v>September</v>
      </c>
      <c r="K1398" s="13" t="str">
        <f>IF(' car_sales_data 1'!$G1398&gt;40000,"Premium",
 IF(' car_sales_data 1'!$G1398&gt;=20000,"Mid Range","Budget"))</f>
        <v>Budget</v>
      </c>
      <c r="L1398" s="13">
        <f>YEAR(TODAY())-' car_sales_data 1'!$F1398</f>
        <v>7</v>
      </c>
    </row>
    <row r="1399" ht="15.75" customHeight="1">
      <c r="A1399" s="16">
        <v>44861.0</v>
      </c>
      <c r="B1399" s="13" t="s">
        <v>2792</v>
      </c>
      <c r="C1399" s="13" t="s">
        <v>2793</v>
      </c>
      <c r="D1399" s="13" t="s">
        <v>6</v>
      </c>
      <c r="E1399" s="13" t="s">
        <v>57</v>
      </c>
      <c r="F1399" s="13">
        <v>2011.0</v>
      </c>
      <c r="G1399" s="13">
        <v>16790.0</v>
      </c>
      <c r="H1399" s="13">
        <v>1169.91</v>
      </c>
      <c r="I1399" s="13">
        <f>' car_sales_data 1'!$G1399*0.2</f>
        <v>3358</v>
      </c>
      <c r="J1399" s="13" t="str">
        <f>TEXT(' car_sales_data 1'!$A1399,"mmmm")</f>
        <v>October</v>
      </c>
      <c r="K1399" s="13" t="str">
        <f>IF(' car_sales_data 1'!$G1399&gt;40000,"Premium",
 IF(' car_sales_data 1'!$G1399&gt;=20000,"Mid Range","Budget"))</f>
        <v>Budget</v>
      </c>
      <c r="L1399" s="13">
        <f>YEAR(TODAY())-' car_sales_data 1'!$F1399</f>
        <v>14</v>
      </c>
    </row>
    <row r="1400" ht="15.75" customHeight="1">
      <c r="A1400" s="16">
        <v>44732.0</v>
      </c>
      <c r="B1400" s="13" t="s">
        <v>2794</v>
      </c>
      <c r="C1400" s="13" t="s">
        <v>2795</v>
      </c>
      <c r="D1400" s="13" t="s">
        <v>8</v>
      </c>
      <c r="E1400" s="13" t="s">
        <v>51</v>
      </c>
      <c r="F1400" s="13">
        <v>2012.0</v>
      </c>
      <c r="G1400" s="13">
        <v>44186.0</v>
      </c>
      <c r="H1400" s="13">
        <v>5587.48</v>
      </c>
      <c r="I1400" s="13">
        <f>' car_sales_data 1'!$G1400*0.2</f>
        <v>8837.2</v>
      </c>
      <c r="J1400" s="13" t="str">
        <f>TEXT(' car_sales_data 1'!$A1400,"mmmm")</f>
        <v>June</v>
      </c>
      <c r="K1400" s="13" t="str">
        <f>IF(' car_sales_data 1'!$G1400&gt;40000,"Premium",
 IF(' car_sales_data 1'!$G1400&gt;=20000,"Mid Range","Budget"))</f>
        <v>Premium</v>
      </c>
      <c r="L1400" s="13">
        <f>YEAR(TODAY())-' car_sales_data 1'!$F1400</f>
        <v>13</v>
      </c>
    </row>
    <row r="1401" ht="15.75" customHeight="1">
      <c r="A1401" s="16">
        <v>44748.0</v>
      </c>
      <c r="B1401" s="13" t="s">
        <v>2796</v>
      </c>
      <c r="C1401" s="13" t="s">
        <v>2797</v>
      </c>
      <c r="D1401" s="13" t="s">
        <v>14</v>
      </c>
      <c r="E1401" s="13" t="s">
        <v>51</v>
      </c>
      <c r="F1401" s="13">
        <v>2020.0</v>
      </c>
      <c r="G1401" s="13">
        <v>41842.0</v>
      </c>
      <c r="H1401" s="13">
        <v>4455.47</v>
      </c>
      <c r="I1401" s="13">
        <f>' car_sales_data 1'!$G1401*0.2</f>
        <v>8368.4</v>
      </c>
      <c r="J1401" s="13" t="str">
        <f>TEXT(' car_sales_data 1'!$A1401,"mmmm")</f>
        <v>July</v>
      </c>
      <c r="K1401" s="13" t="str">
        <f>IF(' car_sales_data 1'!$G1401&gt;40000,"Premium",
 IF(' car_sales_data 1'!$G1401&gt;=20000,"Mid Range","Budget"))</f>
        <v>Premium</v>
      </c>
      <c r="L1401" s="13">
        <f>YEAR(TODAY())-' car_sales_data 1'!$F1401</f>
        <v>5</v>
      </c>
    </row>
    <row r="1402" ht="15.75" customHeight="1">
      <c r="A1402" s="16">
        <v>44931.0</v>
      </c>
      <c r="B1402" s="13" t="s">
        <v>2798</v>
      </c>
      <c r="C1402" s="13" t="s">
        <v>2799</v>
      </c>
      <c r="D1402" s="13" t="s">
        <v>8</v>
      </c>
      <c r="E1402" s="13" t="s">
        <v>62</v>
      </c>
      <c r="F1402" s="13">
        <v>2021.0</v>
      </c>
      <c r="G1402" s="13">
        <v>43553.0</v>
      </c>
      <c r="H1402" s="13">
        <v>6286.09</v>
      </c>
      <c r="I1402" s="13">
        <f>' car_sales_data 1'!$G1402*0.2</f>
        <v>8710.6</v>
      </c>
      <c r="J1402" s="13" t="str">
        <f>TEXT(' car_sales_data 1'!$A1402,"mmmm")</f>
        <v>January</v>
      </c>
      <c r="K1402" s="13" t="str">
        <f>IF(' car_sales_data 1'!$G1402&gt;40000,"Premium",
 IF(' car_sales_data 1'!$G1402&gt;=20000,"Mid Range","Budget"))</f>
        <v>Premium</v>
      </c>
      <c r="L1402" s="13">
        <f>YEAR(TODAY())-' car_sales_data 1'!$F1402</f>
        <v>4</v>
      </c>
    </row>
    <row r="1403" ht="15.75" customHeight="1">
      <c r="A1403" s="16">
        <v>44920.0</v>
      </c>
      <c r="B1403" s="13" t="s">
        <v>2800</v>
      </c>
      <c r="C1403" s="13" t="s">
        <v>2801</v>
      </c>
      <c r="D1403" s="13" t="s">
        <v>6</v>
      </c>
      <c r="E1403" s="13" t="s">
        <v>54</v>
      </c>
      <c r="F1403" s="13">
        <v>2011.0</v>
      </c>
      <c r="G1403" s="13">
        <v>34633.0</v>
      </c>
      <c r="H1403" s="13">
        <v>3866.45</v>
      </c>
      <c r="I1403" s="13">
        <f>' car_sales_data 1'!$G1403*0.2</f>
        <v>6926.6</v>
      </c>
      <c r="J1403" s="13" t="str">
        <f>TEXT(' car_sales_data 1'!$A1403,"mmmm")</f>
        <v>December</v>
      </c>
      <c r="K1403" s="13" t="str">
        <f>IF(' car_sales_data 1'!$G1403&gt;40000,"Premium",
 IF(' car_sales_data 1'!$G1403&gt;=20000,"Mid Range","Budget"))</f>
        <v>Mid Range</v>
      </c>
      <c r="L1403" s="13">
        <f>YEAR(TODAY())-' car_sales_data 1'!$F1403</f>
        <v>14</v>
      </c>
    </row>
    <row r="1404" ht="15.75" customHeight="1">
      <c r="A1404" s="16">
        <v>44777.0</v>
      </c>
      <c r="B1404" s="13" t="s">
        <v>18</v>
      </c>
      <c r="C1404" s="13" t="s">
        <v>2802</v>
      </c>
      <c r="D1404" s="13" t="s">
        <v>6</v>
      </c>
      <c r="E1404" s="13" t="s">
        <v>57</v>
      </c>
      <c r="F1404" s="13">
        <v>2010.0</v>
      </c>
      <c r="G1404" s="13">
        <v>45061.0</v>
      </c>
      <c r="H1404" s="13">
        <v>5730.7</v>
      </c>
      <c r="I1404" s="13">
        <f>' car_sales_data 1'!$G1404*0.2</f>
        <v>9012.2</v>
      </c>
      <c r="J1404" s="13" t="str">
        <f>TEXT(' car_sales_data 1'!$A1404,"mmmm")</f>
        <v>August</v>
      </c>
      <c r="K1404" s="13" t="str">
        <f>IF(' car_sales_data 1'!$G1404&gt;40000,"Premium",
 IF(' car_sales_data 1'!$G1404&gt;=20000,"Mid Range","Budget"))</f>
        <v>Premium</v>
      </c>
      <c r="L1404" s="13">
        <f>YEAR(TODAY())-' car_sales_data 1'!$F1404</f>
        <v>15</v>
      </c>
    </row>
    <row r="1405" ht="15.75" customHeight="1">
      <c r="A1405" s="16">
        <v>44926.0</v>
      </c>
      <c r="B1405" s="13" t="s">
        <v>2803</v>
      </c>
      <c r="C1405" s="13" t="s">
        <v>2804</v>
      </c>
      <c r="D1405" s="13" t="s">
        <v>8</v>
      </c>
      <c r="E1405" s="13" t="s">
        <v>70</v>
      </c>
      <c r="F1405" s="13">
        <v>2015.0</v>
      </c>
      <c r="G1405" s="13">
        <v>34955.0</v>
      </c>
      <c r="H1405" s="13">
        <v>3628.61</v>
      </c>
      <c r="I1405" s="13">
        <f>' car_sales_data 1'!$G1405*0.2</f>
        <v>6991</v>
      </c>
      <c r="J1405" s="13" t="str">
        <f>TEXT(' car_sales_data 1'!$A1405,"mmmm")</f>
        <v>December</v>
      </c>
      <c r="K1405" s="13" t="str">
        <f>IF(' car_sales_data 1'!$G1405&gt;40000,"Premium",
 IF(' car_sales_data 1'!$G1405&gt;=20000,"Mid Range","Budget"))</f>
        <v>Mid Range</v>
      </c>
      <c r="L1405" s="13">
        <f>YEAR(TODAY())-' car_sales_data 1'!$F1405</f>
        <v>10</v>
      </c>
    </row>
    <row r="1406" ht="15.75" customHeight="1">
      <c r="A1406" s="16">
        <v>44873.0</v>
      </c>
      <c r="B1406" s="13" t="s">
        <v>2805</v>
      </c>
      <c r="C1406" s="13" t="s">
        <v>2806</v>
      </c>
      <c r="D1406" s="13" t="s">
        <v>10</v>
      </c>
      <c r="E1406" s="13" t="s">
        <v>70</v>
      </c>
      <c r="F1406" s="13">
        <v>2018.0</v>
      </c>
      <c r="G1406" s="13">
        <v>21187.0</v>
      </c>
      <c r="H1406" s="13">
        <v>1430.76</v>
      </c>
      <c r="I1406" s="13">
        <f>' car_sales_data 1'!$G1406*0.2</f>
        <v>4237.4</v>
      </c>
      <c r="J1406" s="13" t="str">
        <f>TEXT(' car_sales_data 1'!$A1406,"mmmm")</f>
        <v>November</v>
      </c>
      <c r="K1406" s="13" t="str">
        <f>IF(' car_sales_data 1'!$G1406&gt;40000,"Premium",
 IF(' car_sales_data 1'!$G1406&gt;=20000,"Mid Range","Budget"))</f>
        <v>Mid Range</v>
      </c>
      <c r="L1406" s="13">
        <f>YEAR(TODAY())-' car_sales_data 1'!$F1406</f>
        <v>7</v>
      </c>
    </row>
    <row r="1407" ht="15.75" customHeight="1">
      <c r="A1407" s="16">
        <v>44804.0</v>
      </c>
      <c r="B1407" s="13" t="s">
        <v>2807</v>
      </c>
      <c r="C1407" s="13" t="s">
        <v>2808</v>
      </c>
      <c r="D1407" s="13" t="s">
        <v>12</v>
      </c>
      <c r="E1407" s="13" t="s">
        <v>70</v>
      </c>
      <c r="F1407" s="13">
        <v>2017.0</v>
      </c>
      <c r="G1407" s="13">
        <v>49778.0</v>
      </c>
      <c r="H1407" s="13">
        <v>5911.91</v>
      </c>
      <c r="I1407" s="13">
        <f>' car_sales_data 1'!$G1407*0.2</f>
        <v>9955.6</v>
      </c>
      <c r="J1407" s="13" t="str">
        <f>TEXT(' car_sales_data 1'!$A1407,"mmmm")</f>
        <v>August</v>
      </c>
      <c r="K1407" s="13" t="str">
        <f>IF(' car_sales_data 1'!$G1407&gt;40000,"Premium",
 IF(' car_sales_data 1'!$G1407&gt;=20000,"Mid Range","Budget"))</f>
        <v>Premium</v>
      </c>
      <c r="L1407" s="13">
        <f>YEAR(TODAY())-' car_sales_data 1'!$F1407</f>
        <v>8</v>
      </c>
    </row>
    <row r="1408" ht="15.75" customHeight="1">
      <c r="A1408" s="16">
        <v>44858.0</v>
      </c>
      <c r="B1408" s="13" t="s">
        <v>2809</v>
      </c>
      <c r="C1408" s="13" t="s">
        <v>2810</v>
      </c>
      <c r="D1408" s="13" t="s">
        <v>6</v>
      </c>
      <c r="E1408" s="13" t="s">
        <v>57</v>
      </c>
      <c r="F1408" s="13">
        <v>2021.0</v>
      </c>
      <c r="G1408" s="13">
        <v>29007.0</v>
      </c>
      <c r="H1408" s="13">
        <v>1536.31</v>
      </c>
      <c r="I1408" s="13">
        <f>' car_sales_data 1'!$G1408*0.2</f>
        <v>5801.4</v>
      </c>
      <c r="J1408" s="13" t="str">
        <f>TEXT(' car_sales_data 1'!$A1408,"mmmm")</f>
        <v>October</v>
      </c>
      <c r="K1408" s="13" t="str">
        <f>IF(' car_sales_data 1'!$G1408&gt;40000,"Premium",
 IF(' car_sales_data 1'!$G1408&gt;=20000,"Mid Range","Budget"))</f>
        <v>Mid Range</v>
      </c>
      <c r="L1408" s="13">
        <f>YEAR(TODAY())-' car_sales_data 1'!$F1408</f>
        <v>4</v>
      </c>
    </row>
    <row r="1409" ht="15.75" customHeight="1">
      <c r="A1409" s="16">
        <v>44777.0</v>
      </c>
      <c r="B1409" s="13" t="s">
        <v>2811</v>
      </c>
      <c r="C1409" s="13" t="s">
        <v>2812</v>
      </c>
      <c r="D1409" s="13" t="s">
        <v>10</v>
      </c>
      <c r="E1409" s="13" t="s">
        <v>62</v>
      </c>
      <c r="F1409" s="13">
        <v>2015.0</v>
      </c>
      <c r="G1409" s="13">
        <v>19434.0</v>
      </c>
      <c r="H1409" s="13">
        <v>1688.25</v>
      </c>
      <c r="I1409" s="13">
        <f>' car_sales_data 1'!$G1409*0.2</f>
        <v>3886.8</v>
      </c>
      <c r="J1409" s="13" t="str">
        <f>TEXT(' car_sales_data 1'!$A1409,"mmmm")</f>
        <v>August</v>
      </c>
      <c r="K1409" s="13" t="str">
        <f>IF(' car_sales_data 1'!$G1409&gt;40000,"Premium",
 IF(' car_sales_data 1'!$G1409&gt;=20000,"Mid Range","Budget"))</f>
        <v>Budget</v>
      </c>
      <c r="L1409" s="13">
        <f>YEAR(TODAY())-' car_sales_data 1'!$F1409</f>
        <v>10</v>
      </c>
    </row>
    <row r="1410" ht="15.75" customHeight="1">
      <c r="A1410" s="16">
        <v>44799.0</v>
      </c>
      <c r="B1410" s="13" t="s">
        <v>2813</v>
      </c>
      <c r="C1410" s="13" t="s">
        <v>2814</v>
      </c>
      <c r="D1410" s="13" t="s">
        <v>12</v>
      </c>
      <c r="E1410" s="13" t="s">
        <v>70</v>
      </c>
      <c r="F1410" s="13">
        <v>2013.0</v>
      </c>
      <c r="G1410" s="13">
        <v>28737.0</v>
      </c>
      <c r="H1410" s="13">
        <v>3657.87</v>
      </c>
      <c r="I1410" s="13">
        <f>' car_sales_data 1'!$G1410*0.2</f>
        <v>5747.4</v>
      </c>
      <c r="J1410" s="13" t="str">
        <f>TEXT(' car_sales_data 1'!$A1410,"mmmm")</f>
        <v>August</v>
      </c>
      <c r="K1410" s="13" t="str">
        <f>IF(' car_sales_data 1'!$G1410&gt;40000,"Premium",
 IF(' car_sales_data 1'!$G1410&gt;=20000,"Mid Range","Budget"))</f>
        <v>Mid Range</v>
      </c>
      <c r="L1410" s="13">
        <f>YEAR(TODAY())-' car_sales_data 1'!$F1410</f>
        <v>12</v>
      </c>
    </row>
    <row r="1411" ht="15.75" customHeight="1">
      <c r="A1411" s="16">
        <v>44979.0</v>
      </c>
      <c r="B1411" s="13" t="s">
        <v>1242</v>
      </c>
      <c r="C1411" s="13" t="s">
        <v>2815</v>
      </c>
      <c r="D1411" s="13" t="s">
        <v>6</v>
      </c>
      <c r="E1411" s="13" t="s">
        <v>70</v>
      </c>
      <c r="F1411" s="13">
        <v>2015.0</v>
      </c>
      <c r="G1411" s="13">
        <v>13236.0</v>
      </c>
      <c r="H1411" s="13">
        <v>1522.68</v>
      </c>
      <c r="I1411" s="13">
        <f>' car_sales_data 1'!$G1411*0.2</f>
        <v>2647.2</v>
      </c>
      <c r="J1411" s="13" t="str">
        <f>TEXT(' car_sales_data 1'!$A1411,"mmmm")</f>
        <v>February</v>
      </c>
      <c r="K1411" s="13" t="str">
        <f>IF(' car_sales_data 1'!$G1411&gt;40000,"Premium",
 IF(' car_sales_data 1'!$G1411&gt;=20000,"Mid Range","Budget"))</f>
        <v>Budget</v>
      </c>
      <c r="L1411" s="13">
        <f>YEAR(TODAY())-' car_sales_data 1'!$F1411</f>
        <v>10</v>
      </c>
    </row>
    <row r="1412" ht="15.75" customHeight="1">
      <c r="A1412" s="16">
        <v>45020.0</v>
      </c>
      <c r="B1412" s="13" t="s">
        <v>2816</v>
      </c>
      <c r="C1412" s="13" t="s">
        <v>2817</v>
      </c>
      <c r="D1412" s="13" t="s">
        <v>14</v>
      </c>
      <c r="E1412" s="13" t="s">
        <v>54</v>
      </c>
      <c r="F1412" s="13">
        <v>2017.0</v>
      </c>
      <c r="G1412" s="13">
        <v>47034.0</v>
      </c>
      <c r="H1412" s="13">
        <v>3711.06</v>
      </c>
      <c r="I1412" s="13">
        <f>' car_sales_data 1'!$G1412*0.2</f>
        <v>9406.8</v>
      </c>
      <c r="J1412" s="13" t="str">
        <f>TEXT(' car_sales_data 1'!$A1412,"mmmm")</f>
        <v>April</v>
      </c>
      <c r="K1412" s="13" t="str">
        <f>IF(' car_sales_data 1'!$G1412&gt;40000,"Premium",
 IF(' car_sales_data 1'!$G1412&gt;=20000,"Mid Range","Budget"))</f>
        <v>Premium</v>
      </c>
      <c r="L1412" s="13">
        <f>YEAR(TODAY())-' car_sales_data 1'!$F1412</f>
        <v>8</v>
      </c>
    </row>
    <row r="1413" ht="15.75" customHeight="1">
      <c r="A1413" s="16">
        <v>44805.0</v>
      </c>
      <c r="B1413" s="13" t="s">
        <v>2818</v>
      </c>
      <c r="C1413" s="13" t="s">
        <v>2819</v>
      </c>
      <c r="D1413" s="13" t="s">
        <v>8</v>
      </c>
      <c r="E1413" s="13" t="s">
        <v>57</v>
      </c>
      <c r="F1413" s="13">
        <v>2016.0</v>
      </c>
      <c r="G1413" s="13">
        <v>10783.0</v>
      </c>
      <c r="H1413" s="13">
        <v>1193.75</v>
      </c>
      <c r="I1413" s="13">
        <f>' car_sales_data 1'!$G1413*0.2</f>
        <v>2156.6</v>
      </c>
      <c r="J1413" s="13" t="str">
        <f>TEXT(' car_sales_data 1'!$A1413,"mmmm")</f>
        <v>September</v>
      </c>
      <c r="K1413" s="13" t="str">
        <f>IF(' car_sales_data 1'!$G1413&gt;40000,"Premium",
 IF(' car_sales_data 1'!$G1413&gt;=20000,"Mid Range","Budget"))</f>
        <v>Budget</v>
      </c>
      <c r="L1413" s="13">
        <f>YEAR(TODAY())-' car_sales_data 1'!$F1413</f>
        <v>9</v>
      </c>
    </row>
    <row r="1414" ht="15.75" customHeight="1">
      <c r="A1414" s="16">
        <v>44715.0</v>
      </c>
      <c r="B1414" s="13" t="s">
        <v>2820</v>
      </c>
      <c r="C1414" s="13" t="s">
        <v>2821</v>
      </c>
      <c r="D1414" s="13" t="s">
        <v>12</v>
      </c>
      <c r="E1414" s="13" t="s">
        <v>57</v>
      </c>
      <c r="F1414" s="13">
        <v>2020.0</v>
      </c>
      <c r="G1414" s="13">
        <v>47249.0</v>
      </c>
      <c r="H1414" s="13">
        <v>5632.45</v>
      </c>
      <c r="I1414" s="13">
        <f>' car_sales_data 1'!$G1414*0.2</f>
        <v>9449.8</v>
      </c>
      <c r="J1414" s="13" t="str">
        <f>TEXT(' car_sales_data 1'!$A1414,"mmmm")</f>
        <v>June</v>
      </c>
      <c r="K1414" s="13" t="str">
        <f>IF(' car_sales_data 1'!$G1414&gt;40000,"Premium",
 IF(' car_sales_data 1'!$G1414&gt;=20000,"Mid Range","Budget"))</f>
        <v>Premium</v>
      </c>
      <c r="L1414" s="13">
        <f>YEAR(TODAY())-' car_sales_data 1'!$F1414</f>
        <v>5</v>
      </c>
    </row>
    <row r="1415" ht="15.75" customHeight="1">
      <c r="A1415" s="16">
        <v>44891.0</v>
      </c>
      <c r="B1415" s="13" t="s">
        <v>2822</v>
      </c>
      <c r="C1415" s="13" t="s">
        <v>2823</v>
      </c>
      <c r="D1415" s="13" t="s">
        <v>6</v>
      </c>
      <c r="E1415" s="13" t="s">
        <v>57</v>
      </c>
      <c r="F1415" s="13">
        <v>2021.0</v>
      </c>
      <c r="G1415" s="13">
        <v>30332.0</v>
      </c>
      <c r="H1415" s="13">
        <v>2849.65</v>
      </c>
      <c r="I1415" s="13">
        <f>' car_sales_data 1'!$G1415*0.2</f>
        <v>6066.4</v>
      </c>
      <c r="J1415" s="13" t="str">
        <f>TEXT(' car_sales_data 1'!$A1415,"mmmm")</f>
        <v>November</v>
      </c>
      <c r="K1415" s="13" t="str">
        <f>IF(' car_sales_data 1'!$G1415&gt;40000,"Premium",
 IF(' car_sales_data 1'!$G1415&gt;=20000,"Mid Range","Budget"))</f>
        <v>Mid Range</v>
      </c>
      <c r="L1415" s="13">
        <f>YEAR(TODAY())-' car_sales_data 1'!$F1415</f>
        <v>4</v>
      </c>
    </row>
    <row r="1416" ht="15.75" customHeight="1">
      <c r="A1416" s="16">
        <v>44710.0</v>
      </c>
      <c r="B1416" s="13" t="s">
        <v>2824</v>
      </c>
      <c r="C1416" s="13" t="s">
        <v>2825</v>
      </c>
      <c r="D1416" s="13" t="s">
        <v>8</v>
      </c>
      <c r="E1416" s="13" t="s">
        <v>51</v>
      </c>
      <c r="F1416" s="13">
        <v>2013.0</v>
      </c>
      <c r="G1416" s="13">
        <v>39190.0</v>
      </c>
      <c r="H1416" s="13">
        <v>4086.31</v>
      </c>
      <c r="I1416" s="13">
        <f>' car_sales_data 1'!$G1416*0.2</f>
        <v>7838</v>
      </c>
      <c r="J1416" s="13" t="str">
        <f>TEXT(' car_sales_data 1'!$A1416,"mmmm")</f>
        <v>May</v>
      </c>
      <c r="K1416" s="13" t="str">
        <f>IF(' car_sales_data 1'!$G1416&gt;40000,"Premium",
 IF(' car_sales_data 1'!$G1416&gt;=20000,"Mid Range","Budget"))</f>
        <v>Mid Range</v>
      </c>
      <c r="L1416" s="13">
        <f>YEAR(TODAY())-' car_sales_data 1'!$F1416</f>
        <v>12</v>
      </c>
    </row>
    <row r="1417" ht="15.75" customHeight="1">
      <c r="A1417" s="16">
        <v>44742.0</v>
      </c>
      <c r="B1417" s="13" t="s">
        <v>2826</v>
      </c>
      <c r="C1417" s="13" t="s">
        <v>2827</v>
      </c>
      <c r="D1417" s="13" t="s">
        <v>8</v>
      </c>
      <c r="E1417" s="13" t="s">
        <v>57</v>
      </c>
      <c r="F1417" s="13">
        <v>2021.0</v>
      </c>
      <c r="G1417" s="13">
        <v>10511.0</v>
      </c>
      <c r="H1417" s="13">
        <v>1566.26</v>
      </c>
      <c r="I1417" s="13">
        <f>' car_sales_data 1'!$G1417*0.2</f>
        <v>2102.2</v>
      </c>
      <c r="J1417" s="13" t="str">
        <f>TEXT(' car_sales_data 1'!$A1417,"mmmm")</f>
        <v>June</v>
      </c>
      <c r="K1417" s="13" t="str">
        <f>IF(' car_sales_data 1'!$G1417&gt;40000,"Premium",
 IF(' car_sales_data 1'!$G1417&gt;=20000,"Mid Range","Budget"))</f>
        <v>Budget</v>
      </c>
      <c r="L1417" s="13">
        <f>YEAR(TODAY())-' car_sales_data 1'!$F1417</f>
        <v>4</v>
      </c>
    </row>
    <row r="1418" ht="15.75" customHeight="1">
      <c r="A1418" s="16">
        <v>44820.0</v>
      </c>
      <c r="B1418" s="13" t="s">
        <v>2828</v>
      </c>
      <c r="C1418" s="13" t="s">
        <v>2829</v>
      </c>
      <c r="D1418" s="13" t="s">
        <v>14</v>
      </c>
      <c r="E1418" s="13" t="s">
        <v>57</v>
      </c>
      <c r="F1418" s="13">
        <v>2021.0</v>
      </c>
      <c r="G1418" s="13">
        <v>23367.0</v>
      </c>
      <c r="H1418" s="13">
        <v>3434.21</v>
      </c>
      <c r="I1418" s="13">
        <f>' car_sales_data 1'!$G1418*0.2</f>
        <v>4673.4</v>
      </c>
      <c r="J1418" s="13" t="str">
        <f>TEXT(' car_sales_data 1'!$A1418,"mmmm")</f>
        <v>September</v>
      </c>
      <c r="K1418" s="13" t="str">
        <f>IF(' car_sales_data 1'!$G1418&gt;40000,"Premium",
 IF(' car_sales_data 1'!$G1418&gt;=20000,"Mid Range","Budget"))</f>
        <v>Mid Range</v>
      </c>
      <c r="L1418" s="13">
        <f>YEAR(TODAY())-' car_sales_data 1'!$F1418</f>
        <v>4</v>
      </c>
    </row>
    <row r="1419" ht="15.75" customHeight="1">
      <c r="A1419" s="16">
        <v>44974.0</v>
      </c>
      <c r="B1419" s="13" t="s">
        <v>2830</v>
      </c>
      <c r="C1419" s="13" t="s">
        <v>2831</v>
      </c>
      <c r="D1419" s="13" t="s">
        <v>12</v>
      </c>
      <c r="E1419" s="13" t="s">
        <v>54</v>
      </c>
      <c r="F1419" s="13">
        <v>2021.0</v>
      </c>
      <c r="G1419" s="13">
        <v>29123.0</v>
      </c>
      <c r="H1419" s="13">
        <v>3067.04</v>
      </c>
      <c r="I1419" s="13">
        <f>' car_sales_data 1'!$G1419*0.2</f>
        <v>5824.6</v>
      </c>
      <c r="J1419" s="13" t="str">
        <f>TEXT(' car_sales_data 1'!$A1419,"mmmm")</f>
        <v>February</v>
      </c>
      <c r="K1419" s="13" t="str">
        <f>IF(' car_sales_data 1'!$G1419&gt;40000,"Premium",
 IF(' car_sales_data 1'!$G1419&gt;=20000,"Mid Range","Budget"))</f>
        <v>Mid Range</v>
      </c>
      <c r="L1419" s="13">
        <f>YEAR(TODAY())-' car_sales_data 1'!$F1419</f>
        <v>4</v>
      </c>
    </row>
    <row r="1420" ht="15.75" customHeight="1">
      <c r="A1420" s="16">
        <v>44712.0</v>
      </c>
      <c r="B1420" s="13" t="s">
        <v>2832</v>
      </c>
      <c r="C1420" s="13" t="s">
        <v>2833</v>
      </c>
      <c r="D1420" s="13" t="s">
        <v>8</v>
      </c>
      <c r="E1420" s="13" t="s">
        <v>70</v>
      </c>
      <c r="F1420" s="13">
        <v>2012.0</v>
      </c>
      <c r="G1420" s="13">
        <v>11066.0</v>
      </c>
      <c r="H1420" s="13">
        <v>1533.64</v>
      </c>
      <c r="I1420" s="13">
        <f>' car_sales_data 1'!$G1420*0.2</f>
        <v>2213.2</v>
      </c>
      <c r="J1420" s="13" t="str">
        <f>TEXT(' car_sales_data 1'!$A1420,"mmmm")</f>
        <v>May</v>
      </c>
      <c r="K1420" s="13" t="str">
        <f>IF(' car_sales_data 1'!$G1420&gt;40000,"Premium",
 IF(' car_sales_data 1'!$G1420&gt;=20000,"Mid Range","Budget"))</f>
        <v>Budget</v>
      </c>
      <c r="L1420" s="13">
        <f>YEAR(TODAY())-' car_sales_data 1'!$F1420</f>
        <v>13</v>
      </c>
    </row>
    <row r="1421" ht="15.75" customHeight="1">
      <c r="A1421" s="16">
        <v>44965.0</v>
      </c>
      <c r="B1421" s="13" t="s">
        <v>2834</v>
      </c>
      <c r="C1421" s="13" t="s">
        <v>2835</v>
      </c>
      <c r="D1421" s="13" t="s">
        <v>12</v>
      </c>
      <c r="E1421" s="13" t="s">
        <v>51</v>
      </c>
      <c r="F1421" s="13">
        <v>2017.0</v>
      </c>
      <c r="G1421" s="13">
        <v>27817.0</v>
      </c>
      <c r="H1421" s="13">
        <v>2779.78</v>
      </c>
      <c r="I1421" s="13">
        <f>' car_sales_data 1'!$G1421*0.2</f>
        <v>5563.4</v>
      </c>
      <c r="J1421" s="13" t="str">
        <f>TEXT(' car_sales_data 1'!$A1421,"mmmm")</f>
        <v>February</v>
      </c>
      <c r="K1421" s="13" t="str">
        <f>IF(' car_sales_data 1'!$G1421&gt;40000,"Premium",
 IF(' car_sales_data 1'!$G1421&gt;=20000,"Mid Range","Budget"))</f>
        <v>Mid Range</v>
      </c>
      <c r="L1421" s="13">
        <f>YEAR(TODAY())-' car_sales_data 1'!$F1421</f>
        <v>8</v>
      </c>
    </row>
    <row r="1422" ht="15.75" customHeight="1">
      <c r="A1422" s="16">
        <v>44856.0</v>
      </c>
      <c r="B1422" s="13" t="s">
        <v>2836</v>
      </c>
      <c r="C1422" s="13" t="s">
        <v>2837</v>
      </c>
      <c r="D1422" s="13" t="s">
        <v>10</v>
      </c>
      <c r="E1422" s="13" t="s">
        <v>62</v>
      </c>
      <c r="F1422" s="13">
        <v>2018.0</v>
      </c>
      <c r="G1422" s="13">
        <v>44484.0</v>
      </c>
      <c r="H1422" s="13">
        <v>3562.7</v>
      </c>
      <c r="I1422" s="13">
        <f>' car_sales_data 1'!$G1422*0.2</f>
        <v>8896.8</v>
      </c>
      <c r="J1422" s="13" t="str">
        <f>TEXT(' car_sales_data 1'!$A1422,"mmmm")</f>
        <v>October</v>
      </c>
      <c r="K1422" s="13" t="str">
        <f>IF(' car_sales_data 1'!$G1422&gt;40000,"Premium",
 IF(' car_sales_data 1'!$G1422&gt;=20000,"Mid Range","Budget"))</f>
        <v>Premium</v>
      </c>
      <c r="L1422" s="13">
        <f>YEAR(TODAY())-' car_sales_data 1'!$F1422</f>
        <v>7</v>
      </c>
    </row>
    <row r="1423" ht="15.75" customHeight="1">
      <c r="A1423" s="16">
        <v>45008.0</v>
      </c>
      <c r="B1423" s="13" t="s">
        <v>2838</v>
      </c>
      <c r="C1423" s="13" t="s">
        <v>2839</v>
      </c>
      <c r="D1423" s="13" t="s">
        <v>14</v>
      </c>
      <c r="E1423" s="13" t="s">
        <v>54</v>
      </c>
      <c r="F1423" s="13">
        <v>2015.0</v>
      </c>
      <c r="G1423" s="13">
        <v>24098.0</v>
      </c>
      <c r="H1423" s="13">
        <v>1730.18</v>
      </c>
      <c r="I1423" s="13">
        <f>' car_sales_data 1'!$G1423*0.2</f>
        <v>4819.6</v>
      </c>
      <c r="J1423" s="13" t="str">
        <f>TEXT(' car_sales_data 1'!$A1423,"mmmm")</f>
        <v>March</v>
      </c>
      <c r="K1423" s="13" t="str">
        <f>IF(' car_sales_data 1'!$G1423&gt;40000,"Premium",
 IF(' car_sales_data 1'!$G1423&gt;=20000,"Mid Range","Budget"))</f>
        <v>Mid Range</v>
      </c>
      <c r="L1423" s="13">
        <f>YEAR(TODAY())-' car_sales_data 1'!$F1423</f>
        <v>10</v>
      </c>
    </row>
    <row r="1424" ht="15.75" customHeight="1">
      <c r="A1424" s="16">
        <v>44884.0</v>
      </c>
      <c r="B1424" s="13" t="s">
        <v>2840</v>
      </c>
      <c r="C1424" s="13" t="s">
        <v>2841</v>
      </c>
      <c r="D1424" s="13" t="s">
        <v>10</v>
      </c>
      <c r="E1424" s="13" t="s">
        <v>54</v>
      </c>
      <c r="F1424" s="13">
        <v>2018.0</v>
      </c>
      <c r="G1424" s="13">
        <v>18020.0</v>
      </c>
      <c r="H1424" s="13">
        <v>1394.68</v>
      </c>
      <c r="I1424" s="13">
        <f>' car_sales_data 1'!$G1424*0.2</f>
        <v>3604</v>
      </c>
      <c r="J1424" s="13" t="str">
        <f>TEXT(' car_sales_data 1'!$A1424,"mmmm")</f>
        <v>November</v>
      </c>
      <c r="K1424" s="13" t="str">
        <f>IF(' car_sales_data 1'!$G1424&gt;40000,"Premium",
 IF(' car_sales_data 1'!$G1424&gt;=20000,"Mid Range","Budget"))</f>
        <v>Budget</v>
      </c>
      <c r="L1424" s="13">
        <f>YEAR(TODAY())-' car_sales_data 1'!$F1424</f>
        <v>7</v>
      </c>
    </row>
    <row r="1425" ht="15.75" customHeight="1">
      <c r="A1425" s="16">
        <v>44859.0</v>
      </c>
      <c r="B1425" s="13" t="s">
        <v>2842</v>
      </c>
      <c r="C1425" s="13" t="s">
        <v>2843</v>
      </c>
      <c r="D1425" s="13" t="s">
        <v>6</v>
      </c>
      <c r="E1425" s="13" t="s">
        <v>57</v>
      </c>
      <c r="F1425" s="13">
        <v>2017.0</v>
      </c>
      <c r="G1425" s="13">
        <v>40999.0</v>
      </c>
      <c r="H1425" s="13">
        <v>5706.16</v>
      </c>
      <c r="I1425" s="13">
        <f>' car_sales_data 1'!$G1425*0.2</f>
        <v>8199.8</v>
      </c>
      <c r="J1425" s="13" t="str">
        <f>TEXT(' car_sales_data 1'!$A1425,"mmmm")</f>
        <v>October</v>
      </c>
      <c r="K1425" s="13" t="str">
        <f>IF(' car_sales_data 1'!$G1425&gt;40000,"Premium",
 IF(' car_sales_data 1'!$G1425&gt;=20000,"Mid Range","Budget"))</f>
        <v>Premium</v>
      </c>
      <c r="L1425" s="13">
        <f>YEAR(TODAY())-' car_sales_data 1'!$F1425</f>
        <v>8</v>
      </c>
    </row>
    <row r="1426" ht="15.75" customHeight="1">
      <c r="A1426" s="16">
        <v>44985.0</v>
      </c>
      <c r="B1426" s="13" t="s">
        <v>2844</v>
      </c>
      <c r="C1426" s="13" t="s">
        <v>2845</v>
      </c>
      <c r="D1426" s="13" t="s">
        <v>6</v>
      </c>
      <c r="E1426" s="13" t="s">
        <v>62</v>
      </c>
      <c r="F1426" s="13">
        <v>2016.0</v>
      </c>
      <c r="G1426" s="13">
        <v>34348.0</v>
      </c>
      <c r="H1426" s="13">
        <v>3866.26</v>
      </c>
      <c r="I1426" s="13">
        <f>' car_sales_data 1'!$G1426*0.2</f>
        <v>6869.6</v>
      </c>
      <c r="J1426" s="13" t="str">
        <f>TEXT(' car_sales_data 1'!$A1426,"mmmm")</f>
        <v>February</v>
      </c>
      <c r="K1426" s="13" t="str">
        <f>IF(' car_sales_data 1'!$G1426&gt;40000,"Premium",
 IF(' car_sales_data 1'!$G1426&gt;=20000,"Mid Range","Budget"))</f>
        <v>Mid Range</v>
      </c>
      <c r="L1426" s="13">
        <f>YEAR(TODAY())-' car_sales_data 1'!$F1426</f>
        <v>9</v>
      </c>
    </row>
    <row r="1427" ht="15.75" customHeight="1">
      <c r="A1427" s="16">
        <v>44947.0</v>
      </c>
      <c r="B1427" s="13" t="s">
        <v>2846</v>
      </c>
      <c r="C1427" s="13" t="s">
        <v>2847</v>
      </c>
      <c r="D1427" s="13" t="s">
        <v>10</v>
      </c>
      <c r="E1427" s="13" t="s">
        <v>62</v>
      </c>
      <c r="F1427" s="13">
        <v>2019.0</v>
      </c>
      <c r="G1427" s="13">
        <v>38249.0</v>
      </c>
      <c r="H1427" s="13">
        <v>5126.4</v>
      </c>
      <c r="I1427" s="13">
        <f>' car_sales_data 1'!$G1427*0.2</f>
        <v>7649.8</v>
      </c>
      <c r="J1427" s="13" t="str">
        <f>TEXT(' car_sales_data 1'!$A1427,"mmmm")</f>
        <v>January</v>
      </c>
      <c r="K1427" s="13" t="str">
        <f>IF(' car_sales_data 1'!$G1427&gt;40000,"Premium",
 IF(' car_sales_data 1'!$G1427&gt;=20000,"Mid Range","Budget"))</f>
        <v>Mid Range</v>
      </c>
      <c r="L1427" s="13">
        <f>YEAR(TODAY())-' car_sales_data 1'!$F1427</f>
        <v>6</v>
      </c>
    </row>
    <row r="1428" ht="15.75" customHeight="1">
      <c r="A1428" s="16">
        <v>44726.0</v>
      </c>
      <c r="B1428" s="13" t="s">
        <v>2848</v>
      </c>
      <c r="C1428" s="13" t="s">
        <v>2849</v>
      </c>
      <c r="D1428" s="13" t="s">
        <v>10</v>
      </c>
      <c r="E1428" s="13" t="s">
        <v>54</v>
      </c>
      <c r="F1428" s="13">
        <v>2016.0</v>
      </c>
      <c r="G1428" s="13">
        <v>34349.0</v>
      </c>
      <c r="H1428" s="13">
        <v>1974.39</v>
      </c>
      <c r="I1428" s="13">
        <f>' car_sales_data 1'!$G1428*0.2</f>
        <v>6869.8</v>
      </c>
      <c r="J1428" s="13" t="str">
        <f>TEXT(' car_sales_data 1'!$A1428,"mmmm")</f>
        <v>June</v>
      </c>
      <c r="K1428" s="13" t="str">
        <f>IF(' car_sales_data 1'!$G1428&gt;40000,"Premium",
 IF(' car_sales_data 1'!$G1428&gt;=20000,"Mid Range","Budget"))</f>
        <v>Mid Range</v>
      </c>
      <c r="L1428" s="13">
        <f>YEAR(TODAY())-' car_sales_data 1'!$F1428</f>
        <v>9</v>
      </c>
    </row>
    <row r="1429" ht="15.75" customHeight="1">
      <c r="A1429" s="16">
        <v>44905.0</v>
      </c>
      <c r="B1429" s="13" t="s">
        <v>2850</v>
      </c>
      <c r="C1429" s="13" t="s">
        <v>2851</v>
      </c>
      <c r="D1429" s="13" t="s">
        <v>12</v>
      </c>
      <c r="E1429" s="13" t="s">
        <v>51</v>
      </c>
      <c r="F1429" s="13">
        <v>2021.0</v>
      </c>
      <c r="G1429" s="13">
        <v>49056.0</v>
      </c>
      <c r="H1429" s="13">
        <v>4230.49</v>
      </c>
      <c r="I1429" s="13">
        <f>' car_sales_data 1'!$G1429*0.2</f>
        <v>9811.2</v>
      </c>
      <c r="J1429" s="13" t="str">
        <f>TEXT(' car_sales_data 1'!$A1429,"mmmm")</f>
        <v>December</v>
      </c>
      <c r="K1429" s="13" t="str">
        <f>IF(' car_sales_data 1'!$G1429&gt;40000,"Premium",
 IF(' car_sales_data 1'!$G1429&gt;=20000,"Mid Range","Budget"))</f>
        <v>Premium</v>
      </c>
      <c r="L1429" s="13">
        <f>YEAR(TODAY())-' car_sales_data 1'!$F1429</f>
        <v>4</v>
      </c>
    </row>
    <row r="1430" ht="15.75" customHeight="1">
      <c r="A1430" s="16">
        <v>44973.0</v>
      </c>
      <c r="B1430" s="13" t="s">
        <v>2852</v>
      </c>
      <c r="C1430" s="13" t="s">
        <v>2853</v>
      </c>
      <c r="D1430" s="13" t="s">
        <v>8</v>
      </c>
      <c r="E1430" s="13" t="s">
        <v>62</v>
      </c>
      <c r="F1430" s="13">
        <v>2021.0</v>
      </c>
      <c r="G1430" s="13">
        <v>20813.0</v>
      </c>
      <c r="H1430" s="13">
        <v>1807.19</v>
      </c>
      <c r="I1430" s="13">
        <f>' car_sales_data 1'!$G1430*0.2</f>
        <v>4162.6</v>
      </c>
      <c r="J1430" s="13" t="str">
        <f>TEXT(' car_sales_data 1'!$A1430,"mmmm")</f>
        <v>February</v>
      </c>
      <c r="K1430" s="13" t="str">
        <f>IF(' car_sales_data 1'!$G1430&gt;40000,"Premium",
 IF(' car_sales_data 1'!$G1430&gt;=20000,"Mid Range","Budget"))</f>
        <v>Mid Range</v>
      </c>
      <c r="L1430" s="13">
        <f>YEAR(TODAY())-' car_sales_data 1'!$F1430</f>
        <v>4</v>
      </c>
    </row>
    <row r="1431" ht="15.75" customHeight="1">
      <c r="A1431" s="16">
        <v>44923.0</v>
      </c>
      <c r="B1431" s="13" t="s">
        <v>2854</v>
      </c>
      <c r="C1431" s="13" t="s">
        <v>2855</v>
      </c>
      <c r="D1431" s="13" t="s">
        <v>8</v>
      </c>
      <c r="E1431" s="13" t="s">
        <v>54</v>
      </c>
      <c r="F1431" s="13">
        <v>2022.0</v>
      </c>
      <c r="G1431" s="13">
        <v>48171.0</v>
      </c>
      <c r="H1431" s="13">
        <v>3068.15</v>
      </c>
      <c r="I1431" s="13">
        <f>' car_sales_data 1'!$G1431*0.2</f>
        <v>9634.2</v>
      </c>
      <c r="J1431" s="13" t="str">
        <f>TEXT(' car_sales_data 1'!$A1431,"mmmm")</f>
        <v>December</v>
      </c>
      <c r="K1431" s="13" t="str">
        <f>IF(' car_sales_data 1'!$G1431&gt;40000,"Premium",
 IF(' car_sales_data 1'!$G1431&gt;=20000,"Mid Range","Budget"))</f>
        <v>Premium</v>
      </c>
      <c r="L1431" s="13">
        <f>YEAR(TODAY())-' car_sales_data 1'!$F1431</f>
        <v>3</v>
      </c>
    </row>
    <row r="1432" ht="15.75" customHeight="1">
      <c r="A1432" s="16">
        <v>45014.0</v>
      </c>
      <c r="B1432" s="13" t="s">
        <v>2856</v>
      </c>
      <c r="C1432" s="13" t="s">
        <v>2857</v>
      </c>
      <c r="D1432" s="13" t="s">
        <v>14</v>
      </c>
      <c r="E1432" s="13" t="s">
        <v>54</v>
      </c>
      <c r="F1432" s="13">
        <v>2012.0</v>
      </c>
      <c r="G1432" s="13">
        <v>13206.0</v>
      </c>
      <c r="H1432" s="13">
        <v>886.13</v>
      </c>
      <c r="I1432" s="13">
        <f>' car_sales_data 1'!$G1432*0.2</f>
        <v>2641.2</v>
      </c>
      <c r="J1432" s="13" t="str">
        <f>TEXT(' car_sales_data 1'!$A1432,"mmmm")</f>
        <v>March</v>
      </c>
      <c r="K1432" s="13" t="str">
        <f>IF(' car_sales_data 1'!$G1432&gt;40000,"Premium",
 IF(' car_sales_data 1'!$G1432&gt;=20000,"Mid Range","Budget"))</f>
        <v>Budget</v>
      </c>
      <c r="L1432" s="13">
        <f>YEAR(TODAY())-' car_sales_data 1'!$F1432</f>
        <v>13</v>
      </c>
    </row>
    <row r="1433" ht="15.75" customHeight="1">
      <c r="A1433" s="16">
        <v>45024.0</v>
      </c>
      <c r="B1433" s="13" t="s">
        <v>2858</v>
      </c>
      <c r="C1433" s="13" t="s">
        <v>2859</v>
      </c>
      <c r="D1433" s="13" t="s">
        <v>6</v>
      </c>
      <c r="E1433" s="13" t="s">
        <v>54</v>
      </c>
      <c r="F1433" s="13">
        <v>2022.0</v>
      </c>
      <c r="G1433" s="13">
        <v>30330.0</v>
      </c>
      <c r="H1433" s="13">
        <v>1924.05</v>
      </c>
      <c r="I1433" s="13">
        <f>' car_sales_data 1'!$G1433*0.2</f>
        <v>6066</v>
      </c>
      <c r="J1433" s="13" t="str">
        <f>TEXT(' car_sales_data 1'!$A1433,"mmmm")</f>
        <v>April</v>
      </c>
      <c r="K1433" s="13" t="str">
        <f>IF(' car_sales_data 1'!$G1433&gt;40000,"Premium",
 IF(' car_sales_data 1'!$G1433&gt;=20000,"Mid Range","Budget"))</f>
        <v>Mid Range</v>
      </c>
      <c r="L1433" s="13">
        <f>YEAR(TODAY())-' car_sales_data 1'!$F1433</f>
        <v>3</v>
      </c>
    </row>
    <row r="1434" ht="15.75" customHeight="1">
      <c r="A1434" s="16">
        <v>44790.0</v>
      </c>
      <c r="B1434" s="13" t="s">
        <v>2860</v>
      </c>
      <c r="C1434" s="13" t="s">
        <v>2861</v>
      </c>
      <c r="D1434" s="13" t="s">
        <v>8</v>
      </c>
      <c r="E1434" s="13" t="s">
        <v>54</v>
      </c>
      <c r="F1434" s="13">
        <v>2020.0</v>
      </c>
      <c r="G1434" s="13">
        <v>47272.0</v>
      </c>
      <c r="H1434" s="13">
        <v>6864.38</v>
      </c>
      <c r="I1434" s="13">
        <f>' car_sales_data 1'!$G1434*0.2</f>
        <v>9454.4</v>
      </c>
      <c r="J1434" s="13" t="str">
        <f>TEXT(' car_sales_data 1'!$A1434,"mmmm")</f>
        <v>August</v>
      </c>
      <c r="K1434" s="13" t="str">
        <f>IF(' car_sales_data 1'!$G1434&gt;40000,"Premium",
 IF(' car_sales_data 1'!$G1434&gt;=20000,"Mid Range","Budget"))</f>
        <v>Premium</v>
      </c>
      <c r="L1434" s="13">
        <f>YEAR(TODAY())-' car_sales_data 1'!$F1434</f>
        <v>5</v>
      </c>
    </row>
    <row r="1435" ht="15.75" customHeight="1">
      <c r="A1435" s="16">
        <v>44831.0</v>
      </c>
      <c r="B1435" s="13" t="s">
        <v>2862</v>
      </c>
      <c r="C1435" s="13" t="s">
        <v>2863</v>
      </c>
      <c r="D1435" s="13" t="s">
        <v>6</v>
      </c>
      <c r="E1435" s="13" t="s">
        <v>62</v>
      </c>
      <c r="F1435" s="13">
        <v>2017.0</v>
      </c>
      <c r="G1435" s="13">
        <v>11086.0</v>
      </c>
      <c r="H1435" s="13">
        <v>1125.32</v>
      </c>
      <c r="I1435" s="13">
        <f>' car_sales_data 1'!$G1435*0.2</f>
        <v>2217.2</v>
      </c>
      <c r="J1435" s="13" t="str">
        <f>TEXT(' car_sales_data 1'!$A1435,"mmmm")</f>
        <v>September</v>
      </c>
      <c r="K1435" s="13" t="str">
        <f>IF(' car_sales_data 1'!$G1435&gt;40000,"Premium",
 IF(' car_sales_data 1'!$G1435&gt;=20000,"Mid Range","Budget"))</f>
        <v>Budget</v>
      </c>
      <c r="L1435" s="13">
        <f>YEAR(TODAY())-' car_sales_data 1'!$F1435</f>
        <v>8</v>
      </c>
    </row>
    <row r="1436" ht="15.75" customHeight="1">
      <c r="A1436" s="16">
        <v>44829.0</v>
      </c>
      <c r="B1436" s="13" t="s">
        <v>2864</v>
      </c>
      <c r="C1436" s="13" t="s">
        <v>2865</v>
      </c>
      <c r="D1436" s="13" t="s">
        <v>8</v>
      </c>
      <c r="E1436" s="13" t="s">
        <v>57</v>
      </c>
      <c r="F1436" s="13">
        <v>2021.0</v>
      </c>
      <c r="G1436" s="13">
        <v>47174.0</v>
      </c>
      <c r="H1436" s="13">
        <v>6657.84</v>
      </c>
      <c r="I1436" s="13">
        <f>' car_sales_data 1'!$G1436*0.2</f>
        <v>9434.8</v>
      </c>
      <c r="J1436" s="13" t="str">
        <f>TEXT(' car_sales_data 1'!$A1436,"mmmm")</f>
        <v>September</v>
      </c>
      <c r="K1436" s="13" t="str">
        <f>IF(' car_sales_data 1'!$G1436&gt;40000,"Premium",
 IF(' car_sales_data 1'!$G1436&gt;=20000,"Mid Range","Budget"))</f>
        <v>Premium</v>
      </c>
      <c r="L1436" s="13">
        <f>YEAR(TODAY())-' car_sales_data 1'!$F1436</f>
        <v>4</v>
      </c>
    </row>
    <row r="1437" ht="15.75" customHeight="1">
      <c r="A1437" s="16">
        <v>44773.0</v>
      </c>
      <c r="B1437" s="13" t="s">
        <v>2866</v>
      </c>
      <c r="C1437" s="13" t="s">
        <v>2867</v>
      </c>
      <c r="D1437" s="13" t="s">
        <v>14</v>
      </c>
      <c r="E1437" s="13" t="s">
        <v>54</v>
      </c>
      <c r="F1437" s="13">
        <v>2016.0</v>
      </c>
      <c r="G1437" s="13">
        <v>36319.0</v>
      </c>
      <c r="H1437" s="13">
        <v>5001.89</v>
      </c>
      <c r="I1437" s="13">
        <f>' car_sales_data 1'!$G1437*0.2</f>
        <v>7263.8</v>
      </c>
      <c r="J1437" s="13" t="str">
        <f>TEXT(' car_sales_data 1'!$A1437,"mmmm")</f>
        <v>July</v>
      </c>
      <c r="K1437" s="13" t="str">
        <f>IF(' car_sales_data 1'!$G1437&gt;40000,"Premium",
 IF(' car_sales_data 1'!$G1437&gt;=20000,"Mid Range","Budget"))</f>
        <v>Mid Range</v>
      </c>
      <c r="L1437" s="13">
        <f>YEAR(TODAY())-' car_sales_data 1'!$F1437</f>
        <v>9</v>
      </c>
    </row>
    <row r="1438" ht="15.75" customHeight="1">
      <c r="A1438" s="16">
        <v>44797.0</v>
      </c>
      <c r="B1438" s="13" t="s">
        <v>2868</v>
      </c>
      <c r="C1438" s="13" t="s">
        <v>2869</v>
      </c>
      <c r="D1438" s="13" t="s">
        <v>14</v>
      </c>
      <c r="E1438" s="13" t="s">
        <v>51</v>
      </c>
      <c r="F1438" s="13">
        <v>2019.0</v>
      </c>
      <c r="G1438" s="13">
        <v>42801.0</v>
      </c>
      <c r="H1438" s="13">
        <v>4039.65</v>
      </c>
      <c r="I1438" s="13">
        <f>' car_sales_data 1'!$G1438*0.2</f>
        <v>8560.2</v>
      </c>
      <c r="J1438" s="13" t="str">
        <f>TEXT(' car_sales_data 1'!$A1438,"mmmm")</f>
        <v>August</v>
      </c>
      <c r="K1438" s="13" t="str">
        <f>IF(' car_sales_data 1'!$G1438&gt;40000,"Premium",
 IF(' car_sales_data 1'!$G1438&gt;=20000,"Mid Range","Budget"))</f>
        <v>Premium</v>
      </c>
      <c r="L1438" s="13">
        <f>YEAR(TODAY())-' car_sales_data 1'!$F1438</f>
        <v>6</v>
      </c>
    </row>
    <row r="1439" ht="15.75" customHeight="1">
      <c r="A1439" s="16">
        <v>45046.0</v>
      </c>
      <c r="B1439" s="13" t="s">
        <v>2870</v>
      </c>
      <c r="C1439" s="13" t="s">
        <v>2871</v>
      </c>
      <c r="D1439" s="13" t="s">
        <v>14</v>
      </c>
      <c r="E1439" s="13" t="s">
        <v>70</v>
      </c>
      <c r="F1439" s="13">
        <v>2021.0</v>
      </c>
      <c r="G1439" s="13">
        <v>46857.0</v>
      </c>
      <c r="H1439" s="13">
        <v>2543.83</v>
      </c>
      <c r="I1439" s="13">
        <f>' car_sales_data 1'!$G1439*0.2</f>
        <v>9371.4</v>
      </c>
      <c r="J1439" s="13" t="str">
        <f>TEXT(' car_sales_data 1'!$A1439,"mmmm")</f>
        <v>April</v>
      </c>
      <c r="K1439" s="13" t="str">
        <f>IF(' car_sales_data 1'!$G1439&gt;40000,"Premium",
 IF(' car_sales_data 1'!$G1439&gt;=20000,"Mid Range","Budget"))</f>
        <v>Premium</v>
      </c>
      <c r="L1439" s="13">
        <f>YEAR(TODAY())-' car_sales_data 1'!$F1439</f>
        <v>4</v>
      </c>
    </row>
    <row r="1440" ht="15.75" customHeight="1">
      <c r="A1440" s="16">
        <v>44961.0</v>
      </c>
      <c r="B1440" s="13" t="s">
        <v>2872</v>
      </c>
      <c r="C1440" s="13" t="s">
        <v>2873</v>
      </c>
      <c r="D1440" s="13" t="s">
        <v>14</v>
      </c>
      <c r="E1440" s="13" t="s">
        <v>54</v>
      </c>
      <c r="F1440" s="13">
        <v>2019.0</v>
      </c>
      <c r="G1440" s="13">
        <v>27645.0</v>
      </c>
      <c r="H1440" s="13">
        <v>3323.18</v>
      </c>
      <c r="I1440" s="13">
        <f>' car_sales_data 1'!$G1440*0.2</f>
        <v>5529</v>
      </c>
      <c r="J1440" s="13" t="str">
        <f>TEXT(' car_sales_data 1'!$A1440,"mmmm")</f>
        <v>February</v>
      </c>
      <c r="K1440" s="13" t="str">
        <f>IF(' car_sales_data 1'!$G1440&gt;40000,"Premium",
 IF(' car_sales_data 1'!$G1440&gt;=20000,"Mid Range","Budget"))</f>
        <v>Mid Range</v>
      </c>
      <c r="L1440" s="13">
        <f>YEAR(TODAY())-' car_sales_data 1'!$F1440</f>
        <v>6</v>
      </c>
    </row>
    <row r="1441" ht="15.75" customHeight="1">
      <c r="A1441" s="16">
        <v>44934.0</v>
      </c>
      <c r="B1441" s="13" t="s">
        <v>2874</v>
      </c>
      <c r="C1441" s="13" t="s">
        <v>2875</v>
      </c>
      <c r="D1441" s="13" t="s">
        <v>8</v>
      </c>
      <c r="E1441" s="13" t="s">
        <v>51</v>
      </c>
      <c r="F1441" s="13">
        <v>2011.0</v>
      </c>
      <c r="G1441" s="13">
        <v>16966.0</v>
      </c>
      <c r="H1441" s="13">
        <v>1978.92</v>
      </c>
      <c r="I1441" s="13">
        <f>' car_sales_data 1'!$G1441*0.2</f>
        <v>3393.2</v>
      </c>
      <c r="J1441" s="13" t="str">
        <f>TEXT(' car_sales_data 1'!$A1441,"mmmm")</f>
        <v>January</v>
      </c>
      <c r="K1441" s="13" t="str">
        <f>IF(' car_sales_data 1'!$G1441&gt;40000,"Premium",
 IF(' car_sales_data 1'!$G1441&gt;=20000,"Mid Range","Budget"))</f>
        <v>Budget</v>
      </c>
      <c r="L1441" s="13">
        <f>YEAR(TODAY())-' car_sales_data 1'!$F1441</f>
        <v>14</v>
      </c>
    </row>
    <row r="1442" ht="15.75" customHeight="1">
      <c r="A1442" s="16">
        <v>44698.0</v>
      </c>
      <c r="B1442" s="13" t="s">
        <v>2876</v>
      </c>
      <c r="C1442" s="13" t="s">
        <v>2877</v>
      </c>
      <c r="D1442" s="13" t="s">
        <v>12</v>
      </c>
      <c r="E1442" s="13" t="s">
        <v>70</v>
      </c>
      <c r="F1442" s="13">
        <v>2020.0</v>
      </c>
      <c r="G1442" s="13">
        <v>20458.0</v>
      </c>
      <c r="H1442" s="13">
        <v>1402.52</v>
      </c>
      <c r="I1442" s="13">
        <f>' car_sales_data 1'!$G1442*0.2</f>
        <v>4091.6</v>
      </c>
      <c r="J1442" s="13" t="str">
        <f>TEXT(' car_sales_data 1'!$A1442,"mmmm")</f>
        <v>May</v>
      </c>
      <c r="K1442" s="13" t="str">
        <f>IF(' car_sales_data 1'!$G1442&gt;40000,"Premium",
 IF(' car_sales_data 1'!$G1442&gt;=20000,"Mid Range","Budget"))</f>
        <v>Mid Range</v>
      </c>
      <c r="L1442" s="13">
        <f>YEAR(TODAY())-' car_sales_data 1'!$F1442</f>
        <v>5</v>
      </c>
    </row>
    <row r="1443" ht="15.75" customHeight="1">
      <c r="A1443" s="16">
        <v>44965.0</v>
      </c>
      <c r="B1443" s="13" t="s">
        <v>1443</v>
      </c>
      <c r="C1443" s="13" t="s">
        <v>2878</v>
      </c>
      <c r="D1443" s="13" t="s">
        <v>14</v>
      </c>
      <c r="E1443" s="13" t="s">
        <v>62</v>
      </c>
      <c r="F1443" s="13">
        <v>2011.0</v>
      </c>
      <c r="G1443" s="13">
        <v>32832.0</v>
      </c>
      <c r="H1443" s="13">
        <v>4266.54</v>
      </c>
      <c r="I1443" s="13">
        <f>' car_sales_data 1'!$G1443*0.2</f>
        <v>6566.4</v>
      </c>
      <c r="J1443" s="13" t="str">
        <f>TEXT(' car_sales_data 1'!$A1443,"mmmm")</f>
        <v>February</v>
      </c>
      <c r="K1443" s="13" t="str">
        <f>IF(' car_sales_data 1'!$G1443&gt;40000,"Premium",
 IF(' car_sales_data 1'!$G1443&gt;=20000,"Mid Range","Budget"))</f>
        <v>Mid Range</v>
      </c>
      <c r="L1443" s="13">
        <f>YEAR(TODAY())-' car_sales_data 1'!$F1443</f>
        <v>14</v>
      </c>
    </row>
    <row r="1444" ht="15.75" customHeight="1">
      <c r="A1444" s="16">
        <v>44891.0</v>
      </c>
      <c r="B1444" s="13" t="s">
        <v>2879</v>
      </c>
      <c r="C1444" s="13" t="s">
        <v>2880</v>
      </c>
      <c r="D1444" s="13" t="s">
        <v>12</v>
      </c>
      <c r="E1444" s="13" t="s">
        <v>62</v>
      </c>
      <c r="F1444" s="13">
        <v>2012.0</v>
      </c>
      <c r="G1444" s="13">
        <v>19671.0</v>
      </c>
      <c r="H1444" s="13">
        <v>2827.49</v>
      </c>
      <c r="I1444" s="13">
        <f>' car_sales_data 1'!$G1444*0.2</f>
        <v>3934.2</v>
      </c>
      <c r="J1444" s="13" t="str">
        <f>TEXT(' car_sales_data 1'!$A1444,"mmmm")</f>
        <v>November</v>
      </c>
      <c r="K1444" s="13" t="str">
        <f>IF(' car_sales_data 1'!$G1444&gt;40000,"Premium",
 IF(' car_sales_data 1'!$G1444&gt;=20000,"Mid Range","Budget"))</f>
        <v>Budget</v>
      </c>
      <c r="L1444" s="13">
        <f>YEAR(TODAY())-' car_sales_data 1'!$F1444</f>
        <v>13</v>
      </c>
    </row>
    <row r="1445" ht="15.75" customHeight="1">
      <c r="A1445" s="16">
        <v>44873.0</v>
      </c>
      <c r="B1445" s="13" t="s">
        <v>2881</v>
      </c>
      <c r="C1445" s="13" t="s">
        <v>1631</v>
      </c>
      <c r="D1445" s="13" t="s">
        <v>12</v>
      </c>
      <c r="E1445" s="13" t="s">
        <v>62</v>
      </c>
      <c r="F1445" s="13">
        <v>2022.0</v>
      </c>
      <c r="G1445" s="13">
        <v>19297.0</v>
      </c>
      <c r="H1445" s="13">
        <v>2712.32</v>
      </c>
      <c r="I1445" s="13">
        <f>' car_sales_data 1'!$G1445*0.2</f>
        <v>3859.4</v>
      </c>
      <c r="J1445" s="13" t="str">
        <f>TEXT(' car_sales_data 1'!$A1445,"mmmm")</f>
        <v>November</v>
      </c>
      <c r="K1445" s="13" t="str">
        <f>IF(' car_sales_data 1'!$G1445&gt;40000,"Premium",
 IF(' car_sales_data 1'!$G1445&gt;=20000,"Mid Range","Budget"))</f>
        <v>Budget</v>
      </c>
      <c r="L1445" s="13">
        <f>YEAR(TODAY())-' car_sales_data 1'!$F1445</f>
        <v>3</v>
      </c>
    </row>
    <row r="1446" ht="15.75" customHeight="1">
      <c r="A1446" s="16">
        <v>44858.0</v>
      </c>
      <c r="B1446" s="13" t="s">
        <v>2882</v>
      </c>
      <c r="C1446" s="13" t="s">
        <v>2883</v>
      </c>
      <c r="D1446" s="13" t="s">
        <v>10</v>
      </c>
      <c r="E1446" s="13" t="s">
        <v>70</v>
      </c>
      <c r="F1446" s="13">
        <v>2017.0</v>
      </c>
      <c r="G1446" s="13">
        <v>42328.0</v>
      </c>
      <c r="H1446" s="13">
        <v>3215.85</v>
      </c>
      <c r="I1446" s="13">
        <f>' car_sales_data 1'!$G1446*0.2</f>
        <v>8465.6</v>
      </c>
      <c r="J1446" s="13" t="str">
        <f>TEXT(' car_sales_data 1'!$A1446,"mmmm")</f>
        <v>October</v>
      </c>
      <c r="K1446" s="13" t="str">
        <f>IF(' car_sales_data 1'!$G1446&gt;40000,"Premium",
 IF(' car_sales_data 1'!$G1446&gt;=20000,"Mid Range","Budget"))</f>
        <v>Premium</v>
      </c>
      <c r="L1446" s="13">
        <f>YEAR(TODAY())-' car_sales_data 1'!$F1446</f>
        <v>8</v>
      </c>
    </row>
    <row r="1447" ht="15.75" customHeight="1">
      <c r="A1447" s="16">
        <v>44823.0</v>
      </c>
      <c r="B1447" s="13" t="s">
        <v>2884</v>
      </c>
      <c r="C1447" s="13" t="s">
        <v>2885</v>
      </c>
      <c r="D1447" s="13" t="s">
        <v>14</v>
      </c>
      <c r="E1447" s="13" t="s">
        <v>70</v>
      </c>
      <c r="F1447" s="13">
        <v>2020.0</v>
      </c>
      <c r="G1447" s="13">
        <v>27073.0</v>
      </c>
      <c r="H1447" s="13">
        <v>3803.84</v>
      </c>
      <c r="I1447" s="13">
        <f>' car_sales_data 1'!$G1447*0.2</f>
        <v>5414.6</v>
      </c>
      <c r="J1447" s="13" t="str">
        <f>TEXT(' car_sales_data 1'!$A1447,"mmmm")</f>
        <v>September</v>
      </c>
      <c r="K1447" s="13" t="str">
        <f>IF(' car_sales_data 1'!$G1447&gt;40000,"Premium",
 IF(' car_sales_data 1'!$G1447&gt;=20000,"Mid Range","Budget"))</f>
        <v>Mid Range</v>
      </c>
      <c r="L1447" s="13">
        <f>YEAR(TODAY())-' car_sales_data 1'!$F1447</f>
        <v>5</v>
      </c>
    </row>
    <row r="1448" ht="15.75" customHeight="1">
      <c r="A1448" s="16">
        <v>44749.0</v>
      </c>
      <c r="B1448" s="13" t="s">
        <v>2886</v>
      </c>
      <c r="C1448" s="13" t="s">
        <v>1477</v>
      </c>
      <c r="D1448" s="13" t="s">
        <v>12</v>
      </c>
      <c r="E1448" s="13" t="s">
        <v>57</v>
      </c>
      <c r="F1448" s="13">
        <v>2012.0</v>
      </c>
      <c r="G1448" s="13">
        <v>42749.0</v>
      </c>
      <c r="H1448" s="13">
        <v>5629.62</v>
      </c>
      <c r="I1448" s="13">
        <f>' car_sales_data 1'!$G1448*0.2</f>
        <v>8549.8</v>
      </c>
      <c r="J1448" s="13" t="str">
        <f>TEXT(' car_sales_data 1'!$A1448,"mmmm")</f>
        <v>July</v>
      </c>
      <c r="K1448" s="13" t="str">
        <f>IF(' car_sales_data 1'!$G1448&gt;40000,"Premium",
 IF(' car_sales_data 1'!$G1448&gt;=20000,"Mid Range","Budget"))</f>
        <v>Premium</v>
      </c>
      <c r="L1448" s="13">
        <f>YEAR(TODAY())-' car_sales_data 1'!$F1448</f>
        <v>13</v>
      </c>
    </row>
    <row r="1449" ht="15.75" customHeight="1">
      <c r="A1449" s="16">
        <v>44973.0</v>
      </c>
      <c r="B1449" s="13" t="s">
        <v>2887</v>
      </c>
      <c r="C1449" s="13" t="s">
        <v>2888</v>
      </c>
      <c r="D1449" s="13" t="s">
        <v>14</v>
      </c>
      <c r="E1449" s="13" t="s">
        <v>51</v>
      </c>
      <c r="F1449" s="13">
        <v>2010.0</v>
      </c>
      <c r="G1449" s="13">
        <v>24485.0</v>
      </c>
      <c r="H1449" s="13">
        <v>2597.8</v>
      </c>
      <c r="I1449" s="13">
        <f>' car_sales_data 1'!$G1449*0.2</f>
        <v>4897</v>
      </c>
      <c r="J1449" s="13" t="str">
        <f>TEXT(' car_sales_data 1'!$A1449,"mmmm")</f>
        <v>February</v>
      </c>
      <c r="K1449" s="13" t="str">
        <f>IF(' car_sales_data 1'!$G1449&gt;40000,"Premium",
 IF(' car_sales_data 1'!$G1449&gt;=20000,"Mid Range","Budget"))</f>
        <v>Mid Range</v>
      </c>
      <c r="L1449" s="13">
        <f>YEAR(TODAY())-' car_sales_data 1'!$F1449</f>
        <v>15</v>
      </c>
    </row>
    <row r="1450" ht="15.75" customHeight="1">
      <c r="A1450" s="16">
        <v>44902.0</v>
      </c>
      <c r="B1450" s="13" t="s">
        <v>2889</v>
      </c>
      <c r="C1450" s="13" t="s">
        <v>2890</v>
      </c>
      <c r="D1450" s="13" t="s">
        <v>10</v>
      </c>
      <c r="E1450" s="13" t="s">
        <v>54</v>
      </c>
      <c r="F1450" s="13">
        <v>2013.0</v>
      </c>
      <c r="G1450" s="13">
        <v>15404.0</v>
      </c>
      <c r="H1450" s="13">
        <v>1025.95</v>
      </c>
      <c r="I1450" s="13">
        <f>' car_sales_data 1'!$G1450*0.2</f>
        <v>3080.8</v>
      </c>
      <c r="J1450" s="13" t="str">
        <f>TEXT(' car_sales_data 1'!$A1450,"mmmm")</f>
        <v>December</v>
      </c>
      <c r="K1450" s="13" t="str">
        <f>IF(' car_sales_data 1'!$G1450&gt;40000,"Premium",
 IF(' car_sales_data 1'!$G1450&gt;=20000,"Mid Range","Budget"))</f>
        <v>Budget</v>
      </c>
      <c r="L1450" s="13">
        <f>YEAR(TODAY())-' car_sales_data 1'!$F1450</f>
        <v>12</v>
      </c>
    </row>
    <row r="1451" ht="15.75" customHeight="1">
      <c r="A1451" s="16">
        <v>44941.0</v>
      </c>
      <c r="B1451" s="13" t="s">
        <v>2891</v>
      </c>
      <c r="C1451" s="13" t="s">
        <v>2892</v>
      </c>
      <c r="D1451" s="13" t="s">
        <v>14</v>
      </c>
      <c r="E1451" s="13" t="s">
        <v>57</v>
      </c>
      <c r="F1451" s="13">
        <v>2011.0</v>
      </c>
      <c r="G1451" s="13">
        <v>31442.0</v>
      </c>
      <c r="H1451" s="13">
        <v>1967.93</v>
      </c>
      <c r="I1451" s="13">
        <f>' car_sales_data 1'!$G1451*0.2</f>
        <v>6288.4</v>
      </c>
      <c r="J1451" s="13" t="str">
        <f>TEXT(' car_sales_data 1'!$A1451,"mmmm")</f>
        <v>January</v>
      </c>
      <c r="K1451" s="13" t="str">
        <f>IF(' car_sales_data 1'!$G1451&gt;40000,"Premium",
 IF(' car_sales_data 1'!$G1451&gt;=20000,"Mid Range","Budget"))</f>
        <v>Mid Range</v>
      </c>
      <c r="L1451" s="13">
        <f>YEAR(TODAY())-' car_sales_data 1'!$F1451</f>
        <v>14</v>
      </c>
    </row>
    <row r="1452" ht="15.75" customHeight="1">
      <c r="A1452" s="16">
        <v>44736.0</v>
      </c>
      <c r="B1452" s="13" t="s">
        <v>2893</v>
      </c>
      <c r="C1452" s="13" t="s">
        <v>2894</v>
      </c>
      <c r="D1452" s="13" t="s">
        <v>14</v>
      </c>
      <c r="E1452" s="13" t="s">
        <v>57</v>
      </c>
      <c r="F1452" s="13">
        <v>2012.0</v>
      </c>
      <c r="G1452" s="13">
        <v>47714.0</v>
      </c>
      <c r="H1452" s="13">
        <v>4853.82</v>
      </c>
      <c r="I1452" s="13">
        <f>' car_sales_data 1'!$G1452*0.2</f>
        <v>9542.8</v>
      </c>
      <c r="J1452" s="13" t="str">
        <f>TEXT(' car_sales_data 1'!$A1452,"mmmm")</f>
        <v>June</v>
      </c>
      <c r="K1452" s="13" t="str">
        <f>IF(' car_sales_data 1'!$G1452&gt;40000,"Premium",
 IF(' car_sales_data 1'!$G1452&gt;=20000,"Mid Range","Budget"))</f>
        <v>Premium</v>
      </c>
      <c r="L1452" s="13">
        <f>YEAR(TODAY())-' car_sales_data 1'!$F1452</f>
        <v>13</v>
      </c>
    </row>
    <row r="1453" ht="15.75" customHeight="1">
      <c r="A1453" s="16">
        <v>44969.0</v>
      </c>
      <c r="B1453" s="13" t="s">
        <v>13</v>
      </c>
      <c r="C1453" s="13" t="s">
        <v>2895</v>
      </c>
      <c r="D1453" s="13" t="s">
        <v>6</v>
      </c>
      <c r="E1453" s="13" t="s">
        <v>62</v>
      </c>
      <c r="F1453" s="13">
        <v>2013.0</v>
      </c>
      <c r="G1453" s="13">
        <v>44835.0</v>
      </c>
      <c r="H1453" s="13">
        <v>3018.9</v>
      </c>
      <c r="I1453" s="13">
        <f>' car_sales_data 1'!$G1453*0.2</f>
        <v>8967</v>
      </c>
      <c r="J1453" s="13" t="str">
        <f>TEXT(' car_sales_data 1'!$A1453,"mmmm")</f>
        <v>February</v>
      </c>
      <c r="K1453" s="13" t="str">
        <f>IF(' car_sales_data 1'!$G1453&gt;40000,"Premium",
 IF(' car_sales_data 1'!$G1453&gt;=20000,"Mid Range","Budget"))</f>
        <v>Premium</v>
      </c>
      <c r="L1453" s="13">
        <f>YEAR(TODAY())-' car_sales_data 1'!$F1453</f>
        <v>12</v>
      </c>
    </row>
    <row r="1454" ht="15.75" customHeight="1">
      <c r="A1454" s="16">
        <v>44730.0</v>
      </c>
      <c r="B1454" s="13" t="s">
        <v>2896</v>
      </c>
      <c r="C1454" s="13" t="s">
        <v>2897</v>
      </c>
      <c r="D1454" s="13" t="s">
        <v>10</v>
      </c>
      <c r="E1454" s="13" t="s">
        <v>62</v>
      </c>
      <c r="F1454" s="13">
        <v>2011.0</v>
      </c>
      <c r="G1454" s="13">
        <v>46203.0</v>
      </c>
      <c r="H1454" s="13">
        <v>4817.6</v>
      </c>
      <c r="I1454" s="13">
        <f>' car_sales_data 1'!$G1454*0.2</f>
        <v>9240.6</v>
      </c>
      <c r="J1454" s="13" t="str">
        <f>TEXT(' car_sales_data 1'!$A1454,"mmmm")</f>
        <v>June</v>
      </c>
      <c r="K1454" s="13" t="str">
        <f>IF(' car_sales_data 1'!$G1454&gt;40000,"Premium",
 IF(' car_sales_data 1'!$G1454&gt;=20000,"Mid Range","Budget"))</f>
        <v>Premium</v>
      </c>
      <c r="L1454" s="13">
        <f>YEAR(TODAY())-' car_sales_data 1'!$F1454</f>
        <v>14</v>
      </c>
    </row>
    <row r="1455" ht="15.75" customHeight="1">
      <c r="A1455" s="16">
        <v>44784.0</v>
      </c>
      <c r="B1455" s="13" t="s">
        <v>2898</v>
      </c>
      <c r="C1455" s="13" t="s">
        <v>1837</v>
      </c>
      <c r="D1455" s="13" t="s">
        <v>10</v>
      </c>
      <c r="E1455" s="13" t="s">
        <v>62</v>
      </c>
      <c r="F1455" s="13">
        <v>2021.0</v>
      </c>
      <c r="G1455" s="13">
        <v>15322.0</v>
      </c>
      <c r="H1455" s="13">
        <v>1949.48</v>
      </c>
      <c r="I1455" s="13">
        <f>' car_sales_data 1'!$G1455*0.2</f>
        <v>3064.4</v>
      </c>
      <c r="J1455" s="13" t="str">
        <f>TEXT(' car_sales_data 1'!$A1455,"mmmm")</f>
        <v>August</v>
      </c>
      <c r="K1455" s="13" t="str">
        <f>IF(' car_sales_data 1'!$G1455&gt;40000,"Premium",
 IF(' car_sales_data 1'!$G1455&gt;=20000,"Mid Range","Budget"))</f>
        <v>Budget</v>
      </c>
      <c r="L1455" s="13">
        <f>YEAR(TODAY())-' car_sales_data 1'!$F1455</f>
        <v>4</v>
      </c>
    </row>
    <row r="1456" ht="15.75" customHeight="1">
      <c r="A1456" s="16">
        <v>44703.0</v>
      </c>
      <c r="B1456" s="13" t="s">
        <v>2899</v>
      </c>
      <c r="C1456" s="13" t="s">
        <v>2900</v>
      </c>
      <c r="D1456" s="13" t="s">
        <v>8</v>
      </c>
      <c r="E1456" s="13" t="s">
        <v>70</v>
      </c>
      <c r="F1456" s="13">
        <v>2015.0</v>
      </c>
      <c r="G1456" s="13">
        <v>11593.0</v>
      </c>
      <c r="H1456" s="13">
        <v>1098.5</v>
      </c>
      <c r="I1456" s="13">
        <f>' car_sales_data 1'!$G1456*0.2</f>
        <v>2318.6</v>
      </c>
      <c r="J1456" s="13" t="str">
        <f>TEXT(' car_sales_data 1'!$A1456,"mmmm")</f>
        <v>May</v>
      </c>
      <c r="K1456" s="13" t="str">
        <f>IF(' car_sales_data 1'!$G1456&gt;40000,"Premium",
 IF(' car_sales_data 1'!$G1456&gt;=20000,"Mid Range","Budget"))</f>
        <v>Budget</v>
      </c>
      <c r="L1456" s="13">
        <f>YEAR(TODAY())-' car_sales_data 1'!$F1456</f>
        <v>10</v>
      </c>
    </row>
    <row r="1457" ht="15.75" customHeight="1">
      <c r="A1457" s="16">
        <v>44975.0</v>
      </c>
      <c r="B1457" s="13" t="s">
        <v>1110</v>
      </c>
      <c r="C1457" s="13" t="s">
        <v>2901</v>
      </c>
      <c r="D1457" s="13" t="s">
        <v>10</v>
      </c>
      <c r="E1457" s="13" t="s">
        <v>54</v>
      </c>
      <c r="F1457" s="13">
        <v>2012.0</v>
      </c>
      <c r="G1457" s="13">
        <v>27085.0</v>
      </c>
      <c r="H1457" s="13">
        <v>3684.96</v>
      </c>
      <c r="I1457" s="13">
        <f>' car_sales_data 1'!$G1457*0.2</f>
        <v>5417</v>
      </c>
      <c r="J1457" s="13" t="str">
        <f>TEXT(' car_sales_data 1'!$A1457,"mmmm")</f>
        <v>February</v>
      </c>
      <c r="K1457" s="13" t="str">
        <f>IF(' car_sales_data 1'!$G1457&gt;40000,"Premium",
 IF(' car_sales_data 1'!$G1457&gt;=20000,"Mid Range","Budget"))</f>
        <v>Mid Range</v>
      </c>
      <c r="L1457" s="13">
        <f>YEAR(TODAY())-' car_sales_data 1'!$F1457</f>
        <v>13</v>
      </c>
    </row>
    <row r="1458" ht="15.75" customHeight="1">
      <c r="A1458" s="16">
        <v>44945.0</v>
      </c>
      <c r="B1458" s="13" t="s">
        <v>2902</v>
      </c>
      <c r="C1458" s="13" t="s">
        <v>2903</v>
      </c>
      <c r="D1458" s="13" t="s">
        <v>10</v>
      </c>
      <c r="E1458" s="13" t="s">
        <v>57</v>
      </c>
      <c r="F1458" s="13">
        <v>2021.0</v>
      </c>
      <c r="G1458" s="13">
        <v>21491.0</v>
      </c>
      <c r="H1458" s="13">
        <v>1341.42</v>
      </c>
      <c r="I1458" s="13">
        <f>' car_sales_data 1'!$G1458*0.2</f>
        <v>4298.2</v>
      </c>
      <c r="J1458" s="13" t="str">
        <f>TEXT(' car_sales_data 1'!$A1458,"mmmm")</f>
        <v>January</v>
      </c>
      <c r="K1458" s="13" t="str">
        <f>IF(' car_sales_data 1'!$G1458&gt;40000,"Premium",
 IF(' car_sales_data 1'!$G1458&gt;=20000,"Mid Range","Budget"))</f>
        <v>Mid Range</v>
      </c>
      <c r="L1458" s="13">
        <f>YEAR(TODAY())-' car_sales_data 1'!$F1458</f>
        <v>4</v>
      </c>
    </row>
    <row r="1459" ht="15.75" customHeight="1">
      <c r="A1459" s="16">
        <v>44933.0</v>
      </c>
      <c r="B1459" s="13" t="s">
        <v>2904</v>
      </c>
      <c r="C1459" s="13" t="s">
        <v>2905</v>
      </c>
      <c r="D1459" s="13" t="s">
        <v>8</v>
      </c>
      <c r="E1459" s="13" t="s">
        <v>57</v>
      </c>
      <c r="F1459" s="13">
        <v>2019.0</v>
      </c>
      <c r="G1459" s="13">
        <v>40683.0</v>
      </c>
      <c r="H1459" s="13">
        <v>3307.69</v>
      </c>
      <c r="I1459" s="13">
        <f>' car_sales_data 1'!$G1459*0.2</f>
        <v>8136.6</v>
      </c>
      <c r="J1459" s="13" t="str">
        <f>TEXT(' car_sales_data 1'!$A1459,"mmmm")</f>
        <v>January</v>
      </c>
      <c r="K1459" s="13" t="str">
        <f>IF(' car_sales_data 1'!$G1459&gt;40000,"Premium",
 IF(' car_sales_data 1'!$G1459&gt;=20000,"Mid Range","Budget"))</f>
        <v>Premium</v>
      </c>
      <c r="L1459" s="13">
        <f>YEAR(TODAY())-' car_sales_data 1'!$F1459</f>
        <v>6</v>
      </c>
    </row>
    <row r="1460" ht="15.75" customHeight="1">
      <c r="A1460" s="16">
        <v>44930.0</v>
      </c>
      <c r="B1460" s="13" t="s">
        <v>2906</v>
      </c>
      <c r="C1460" s="13" t="s">
        <v>2907</v>
      </c>
      <c r="D1460" s="13" t="s">
        <v>12</v>
      </c>
      <c r="E1460" s="13" t="s">
        <v>57</v>
      </c>
      <c r="F1460" s="13">
        <v>2020.0</v>
      </c>
      <c r="G1460" s="13">
        <v>20424.0</v>
      </c>
      <c r="H1460" s="13">
        <v>2449.41</v>
      </c>
      <c r="I1460" s="13">
        <f>' car_sales_data 1'!$G1460*0.2</f>
        <v>4084.8</v>
      </c>
      <c r="J1460" s="13" t="str">
        <f>TEXT(' car_sales_data 1'!$A1460,"mmmm")</f>
        <v>January</v>
      </c>
      <c r="K1460" s="13" t="str">
        <f>IF(' car_sales_data 1'!$G1460&gt;40000,"Premium",
 IF(' car_sales_data 1'!$G1460&gt;=20000,"Mid Range","Budget"))</f>
        <v>Mid Range</v>
      </c>
      <c r="L1460" s="13">
        <f>YEAR(TODAY())-' car_sales_data 1'!$F1460</f>
        <v>5</v>
      </c>
    </row>
    <row r="1461" ht="15.75" customHeight="1">
      <c r="A1461" s="16">
        <v>44821.0</v>
      </c>
      <c r="B1461" s="13" t="s">
        <v>2908</v>
      </c>
      <c r="C1461" s="13" t="s">
        <v>2909</v>
      </c>
      <c r="D1461" s="13" t="s">
        <v>14</v>
      </c>
      <c r="E1461" s="13" t="s">
        <v>57</v>
      </c>
      <c r="F1461" s="13">
        <v>2016.0</v>
      </c>
      <c r="G1461" s="13">
        <v>46015.0</v>
      </c>
      <c r="H1461" s="13">
        <v>2939.1</v>
      </c>
      <c r="I1461" s="13">
        <f>' car_sales_data 1'!$G1461*0.2</f>
        <v>9203</v>
      </c>
      <c r="J1461" s="13" t="str">
        <f>TEXT(' car_sales_data 1'!$A1461,"mmmm")</f>
        <v>September</v>
      </c>
      <c r="K1461" s="13" t="str">
        <f>IF(' car_sales_data 1'!$G1461&gt;40000,"Premium",
 IF(' car_sales_data 1'!$G1461&gt;=20000,"Mid Range","Budget"))</f>
        <v>Premium</v>
      </c>
      <c r="L1461" s="13">
        <f>YEAR(TODAY())-' car_sales_data 1'!$F1461</f>
        <v>9</v>
      </c>
    </row>
    <row r="1462" ht="15.75" customHeight="1">
      <c r="A1462" s="16">
        <v>44939.0</v>
      </c>
      <c r="B1462" s="13" t="s">
        <v>2910</v>
      </c>
      <c r="C1462" s="13" t="s">
        <v>2911</v>
      </c>
      <c r="D1462" s="13" t="s">
        <v>6</v>
      </c>
      <c r="E1462" s="13" t="s">
        <v>57</v>
      </c>
      <c r="F1462" s="13">
        <v>2019.0</v>
      </c>
      <c r="G1462" s="13">
        <v>16433.0</v>
      </c>
      <c r="H1462" s="13">
        <v>1440.52</v>
      </c>
      <c r="I1462" s="13">
        <f>' car_sales_data 1'!$G1462*0.2</f>
        <v>3286.6</v>
      </c>
      <c r="J1462" s="13" t="str">
        <f>TEXT(' car_sales_data 1'!$A1462,"mmmm")</f>
        <v>January</v>
      </c>
      <c r="K1462" s="13" t="str">
        <f>IF(' car_sales_data 1'!$G1462&gt;40000,"Premium",
 IF(' car_sales_data 1'!$G1462&gt;=20000,"Mid Range","Budget"))</f>
        <v>Budget</v>
      </c>
      <c r="L1462" s="13">
        <f>YEAR(TODAY())-' car_sales_data 1'!$F1462</f>
        <v>6</v>
      </c>
    </row>
    <row r="1463" ht="15.75" customHeight="1">
      <c r="A1463" s="16">
        <v>44922.0</v>
      </c>
      <c r="B1463" s="13" t="s">
        <v>2912</v>
      </c>
      <c r="C1463" s="13" t="s">
        <v>2913</v>
      </c>
      <c r="D1463" s="13" t="s">
        <v>8</v>
      </c>
      <c r="E1463" s="13" t="s">
        <v>51</v>
      </c>
      <c r="F1463" s="13">
        <v>2018.0</v>
      </c>
      <c r="G1463" s="13">
        <v>10496.0</v>
      </c>
      <c r="H1463" s="13">
        <v>1384.86</v>
      </c>
      <c r="I1463" s="13">
        <f>' car_sales_data 1'!$G1463*0.2</f>
        <v>2099.2</v>
      </c>
      <c r="J1463" s="13" t="str">
        <f>TEXT(' car_sales_data 1'!$A1463,"mmmm")</f>
        <v>December</v>
      </c>
      <c r="K1463" s="13" t="str">
        <f>IF(' car_sales_data 1'!$G1463&gt;40000,"Premium",
 IF(' car_sales_data 1'!$G1463&gt;=20000,"Mid Range","Budget"))</f>
        <v>Budget</v>
      </c>
      <c r="L1463" s="13">
        <f>YEAR(TODAY())-' car_sales_data 1'!$F1463</f>
        <v>7</v>
      </c>
    </row>
    <row r="1464" ht="15.75" customHeight="1">
      <c r="A1464" s="16">
        <v>44778.0</v>
      </c>
      <c r="B1464" s="13" t="s">
        <v>2914</v>
      </c>
      <c r="C1464" s="13" t="s">
        <v>2915</v>
      </c>
      <c r="D1464" s="13" t="s">
        <v>14</v>
      </c>
      <c r="E1464" s="13" t="s">
        <v>70</v>
      </c>
      <c r="F1464" s="13">
        <v>2010.0</v>
      </c>
      <c r="G1464" s="13">
        <v>27005.0</v>
      </c>
      <c r="H1464" s="13">
        <v>1855.74</v>
      </c>
      <c r="I1464" s="13">
        <f>' car_sales_data 1'!$G1464*0.2</f>
        <v>5401</v>
      </c>
      <c r="J1464" s="13" t="str">
        <f>TEXT(' car_sales_data 1'!$A1464,"mmmm")</f>
        <v>August</v>
      </c>
      <c r="K1464" s="13" t="str">
        <f>IF(' car_sales_data 1'!$G1464&gt;40000,"Premium",
 IF(' car_sales_data 1'!$G1464&gt;=20000,"Mid Range","Budget"))</f>
        <v>Mid Range</v>
      </c>
      <c r="L1464" s="13">
        <f>YEAR(TODAY())-' car_sales_data 1'!$F1464</f>
        <v>15</v>
      </c>
    </row>
    <row r="1465" ht="15.75" customHeight="1">
      <c r="A1465" s="16">
        <v>44842.0</v>
      </c>
      <c r="B1465" s="13" t="s">
        <v>2916</v>
      </c>
      <c r="C1465" s="13" t="s">
        <v>2917</v>
      </c>
      <c r="D1465" s="13" t="s">
        <v>12</v>
      </c>
      <c r="E1465" s="13" t="s">
        <v>70</v>
      </c>
      <c r="F1465" s="13">
        <v>2015.0</v>
      </c>
      <c r="G1465" s="13">
        <v>37354.0</v>
      </c>
      <c r="H1465" s="13">
        <v>3528.84</v>
      </c>
      <c r="I1465" s="13">
        <f>' car_sales_data 1'!$G1465*0.2</f>
        <v>7470.8</v>
      </c>
      <c r="J1465" s="13" t="str">
        <f>TEXT(' car_sales_data 1'!$A1465,"mmmm")</f>
        <v>October</v>
      </c>
      <c r="K1465" s="13" t="str">
        <f>IF(' car_sales_data 1'!$G1465&gt;40000,"Premium",
 IF(' car_sales_data 1'!$G1465&gt;=20000,"Mid Range","Budget"))</f>
        <v>Mid Range</v>
      </c>
      <c r="L1465" s="13">
        <f>YEAR(TODAY())-' car_sales_data 1'!$F1465</f>
        <v>10</v>
      </c>
    </row>
    <row r="1466" ht="15.75" customHeight="1">
      <c r="A1466" s="16">
        <v>44936.0</v>
      </c>
      <c r="B1466" s="13" t="s">
        <v>2918</v>
      </c>
      <c r="C1466" s="13" t="s">
        <v>2919</v>
      </c>
      <c r="D1466" s="13" t="s">
        <v>10</v>
      </c>
      <c r="E1466" s="13" t="s">
        <v>62</v>
      </c>
      <c r="F1466" s="13">
        <v>2020.0</v>
      </c>
      <c r="G1466" s="13">
        <v>41291.0</v>
      </c>
      <c r="H1466" s="13">
        <v>4231.03</v>
      </c>
      <c r="I1466" s="13">
        <f>' car_sales_data 1'!$G1466*0.2</f>
        <v>8258.2</v>
      </c>
      <c r="J1466" s="13" t="str">
        <f>TEXT(' car_sales_data 1'!$A1466,"mmmm")</f>
        <v>January</v>
      </c>
      <c r="K1466" s="13" t="str">
        <f>IF(' car_sales_data 1'!$G1466&gt;40000,"Premium",
 IF(' car_sales_data 1'!$G1466&gt;=20000,"Mid Range","Budget"))</f>
        <v>Premium</v>
      </c>
      <c r="L1466" s="13">
        <f>YEAR(TODAY())-' car_sales_data 1'!$F1466</f>
        <v>5</v>
      </c>
    </row>
    <row r="1467" ht="15.75" customHeight="1">
      <c r="A1467" s="16">
        <v>44767.0</v>
      </c>
      <c r="B1467" s="13" t="s">
        <v>2920</v>
      </c>
      <c r="C1467" s="13" t="s">
        <v>2921</v>
      </c>
      <c r="D1467" s="13" t="s">
        <v>14</v>
      </c>
      <c r="E1467" s="13" t="s">
        <v>70</v>
      </c>
      <c r="F1467" s="13">
        <v>2018.0</v>
      </c>
      <c r="G1467" s="13">
        <v>44894.0</v>
      </c>
      <c r="H1467" s="13">
        <v>4692.55</v>
      </c>
      <c r="I1467" s="13">
        <f>' car_sales_data 1'!$G1467*0.2</f>
        <v>8978.8</v>
      </c>
      <c r="J1467" s="13" t="str">
        <f>TEXT(' car_sales_data 1'!$A1467,"mmmm")</f>
        <v>July</v>
      </c>
      <c r="K1467" s="13" t="str">
        <f>IF(' car_sales_data 1'!$G1467&gt;40000,"Premium",
 IF(' car_sales_data 1'!$G1467&gt;=20000,"Mid Range","Budget"))</f>
        <v>Premium</v>
      </c>
      <c r="L1467" s="13">
        <f>YEAR(TODAY())-' car_sales_data 1'!$F1467</f>
        <v>7</v>
      </c>
    </row>
    <row r="1468" ht="15.75" customHeight="1">
      <c r="A1468" s="16">
        <v>44926.0</v>
      </c>
      <c r="B1468" s="13" t="s">
        <v>2922</v>
      </c>
      <c r="C1468" s="13" t="s">
        <v>2923</v>
      </c>
      <c r="D1468" s="13" t="s">
        <v>8</v>
      </c>
      <c r="E1468" s="13" t="s">
        <v>54</v>
      </c>
      <c r="F1468" s="13">
        <v>2012.0</v>
      </c>
      <c r="G1468" s="13">
        <v>35920.0</v>
      </c>
      <c r="H1468" s="13">
        <v>4166.16</v>
      </c>
      <c r="I1468" s="13">
        <f>' car_sales_data 1'!$G1468*0.2</f>
        <v>7184</v>
      </c>
      <c r="J1468" s="13" t="str">
        <f>TEXT(' car_sales_data 1'!$A1468,"mmmm")</f>
        <v>December</v>
      </c>
      <c r="K1468" s="13" t="str">
        <f>IF(' car_sales_data 1'!$G1468&gt;40000,"Premium",
 IF(' car_sales_data 1'!$G1468&gt;=20000,"Mid Range","Budget"))</f>
        <v>Mid Range</v>
      </c>
      <c r="L1468" s="13">
        <f>YEAR(TODAY())-' car_sales_data 1'!$F1468</f>
        <v>13</v>
      </c>
    </row>
    <row r="1469" ht="15.75" customHeight="1">
      <c r="A1469" s="16">
        <v>44759.0</v>
      </c>
      <c r="B1469" s="13" t="s">
        <v>2924</v>
      </c>
      <c r="C1469" s="13" t="s">
        <v>2925</v>
      </c>
      <c r="D1469" s="13" t="s">
        <v>8</v>
      </c>
      <c r="E1469" s="13" t="s">
        <v>70</v>
      </c>
      <c r="F1469" s="13">
        <v>2015.0</v>
      </c>
      <c r="G1469" s="13">
        <v>13070.0</v>
      </c>
      <c r="H1469" s="13">
        <v>1009.42</v>
      </c>
      <c r="I1469" s="13">
        <f>' car_sales_data 1'!$G1469*0.2</f>
        <v>2614</v>
      </c>
      <c r="J1469" s="13" t="str">
        <f>TEXT(' car_sales_data 1'!$A1469,"mmmm")</f>
        <v>July</v>
      </c>
      <c r="K1469" s="13" t="str">
        <f>IF(' car_sales_data 1'!$G1469&gt;40000,"Premium",
 IF(' car_sales_data 1'!$G1469&gt;=20000,"Mid Range","Budget"))</f>
        <v>Budget</v>
      </c>
      <c r="L1469" s="13">
        <f>YEAR(TODAY())-' car_sales_data 1'!$F1469</f>
        <v>10</v>
      </c>
    </row>
    <row r="1470" ht="15.75" customHeight="1">
      <c r="A1470" s="16">
        <v>44702.0</v>
      </c>
      <c r="B1470" s="13" t="s">
        <v>2926</v>
      </c>
      <c r="C1470" s="13" t="s">
        <v>2927</v>
      </c>
      <c r="D1470" s="13" t="s">
        <v>6</v>
      </c>
      <c r="E1470" s="13" t="s">
        <v>57</v>
      </c>
      <c r="F1470" s="13">
        <v>2014.0</v>
      </c>
      <c r="G1470" s="13">
        <v>12204.0</v>
      </c>
      <c r="H1470" s="13">
        <v>984.66</v>
      </c>
      <c r="I1470" s="13">
        <f>' car_sales_data 1'!$G1470*0.2</f>
        <v>2440.8</v>
      </c>
      <c r="J1470" s="13" t="str">
        <f>TEXT(' car_sales_data 1'!$A1470,"mmmm")</f>
        <v>May</v>
      </c>
      <c r="K1470" s="13" t="str">
        <f>IF(' car_sales_data 1'!$G1470&gt;40000,"Premium",
 IF(' car_sales_data 1'!$G1470&gt;=20000,"Mid Range","Budget"))</f>
        <v>Budget</v>
      </c>
      <c r="L1470" s="13">
        <f>YEAR(TODAY())-' car_sales_data 1'!$F1470</f>
        <v>11</v>
      </c>
    </row>
    <row r="1471" ht="15.75" customHeight="1">
      <c r="A1471" s="16">
        <v>44763.0</v>
      </c>
      <c r="B1471" s="13" t="s">
        <v>2928</v>
      </c>
      <c r="C1471" s="13" t="s">
        <v>2929</v>
      </c>
      <c r="D1471" s="13" t="s">
        <v>10</v>
      </c>
      <c r="E1471" s="13" t="s">
        <v>54</v>
      </c>
      <c r="F1471" s="13">
        <v>2018.0</v>
      </c>
      <c r="G1471" s="13">
        <v>31935.0</v>
      </c>
      <c r="H1471" s="13">
        <v>2723.77</v>
      </c>
      <c r="I1471" s="13">
        <f>' car_sales_data 1'!$G1471*0.2</f>
        <v>6387</v>
      </c>
      <c r="J1471" s="13" t="str">
        <f>TEXT(' car_sales_data 1'!$A1471,"mmmm")</f>
        <v>July</v>
      </c>
      <c r="K1471" s="13" t="str">
        <f>IF(' car_sales_data 1'!$G1471&gt;40000,"Premium",
 IF(' car_sales_data 1'!$G1471&gt;=20000,"Mid Range","Budget"))</f>
        <v>Mid Range</v>
      </c>
      <c r="L1471" s="13">
        <f>YEAR(TODAY())-' car_sales_data 1'!$F1471</f>
        <v>7</v>
      </c>
    </row>
    <row r="1472" ht="15.75" customHeight="1">
      <c r="A1472" s="16">
        <v>44760.0</v>
      </c>
      <c r="B1472" s="13" t="s">
        <v>1794</v>
      </c>
      <c r="C1472" s="13" t="s">
        <v>2930</v>
      </c>
      <c r="D1472" s="13" t="s">
        <v>12</v>
      </c>
      <c r="E1472" s="13" t="s">
        <v>51</v>
      </c>
      <c r="F1472" s="13">
        <v>2016.0</v>
      </c>
      <c r="G1472" s="13">
        <v>49893.0</v>
      </c>
      <c r="H1472" s="13">
        <v>5363.66</v>
      </c>
      <c r="I1472" s="13">
        <f>' car_sales_data 1'!$G1472*0.2</f>
        <v>9978.6</v>
      </c>
      <c r="J1472" s="13" t="str">
        <f>TEXT(' car_sales_data 1'!$A1472,"mmmm")</f>
        <v>July</v>
      </c>
      <c r="K1472" s="13" t="str">
        <f>IF(' car_sales_data 1'!$G1472&gt;40000,"Premium",
 IF(' car_sales_data 1'!$G1472&gt;=20000,"Mid Range","Budget"))</f>
        <v>Premium</v>
      </c>
      <c r="L1472" s="13">
        <f>YEAR(TODAY())-' car_sales_data 1'!$F1472</f>
        <v>9</v>
      </c>
    </row>
    <row r="1473" ht="15.75" customHeight="1">
      <c r="A1473" s="16">
        <v>44685.0</v>
      </c>
      <c r="B1473" s="13" t="s">
        <v>2931</v>
      </c>
      <c r="C1473" s="13" t="s">
        <v>2004</v>
      </c>
      <c r="D1473" s="13" t="s">
        <v>8</v>
      </c>
      <c r="E1473" s="13" t="s">
        <v>51</v>
      </c>
      <c r="F1473" s="13">
        <v>2019.0</v>
      </c>
      <c r="G1473" s="13">
        <v>36190.0</v>
      </c>
      <c r="H1473" s="13">
        <v>4179.82</v>
      </c>
      <c r="I1473" s="13">
        <f>' car_sales_data 1'!$G1473*0.2</f>
        <v>7238</v>
      </c>
      <c r="J1473" s="13" t="str">
        <f>TEXT(' car_sales_data 1'!$A1473,"mmmm")</f>
        <v>May</v>
      </c>
      <c r="K1473" s="13" t="str">
        <f>IF(' car_sales_data 1'!$G1473&gt;40000,"Premium",
 IF(' car_sales_data 1'!$G1473&gt;=20000,"Mid Range","Budget"))</f>
        <v>Mid Range</v>
      </c>
      <c r="L1473" s="13">
        <f>YEAR(TODAY())-' car_sales_data 1'!$F1473</f>
        <v>6</v>
      </c>
    </row>
    <row r="1474" ht="15.75" customHeight="1">
      <c r="A1474" s="16">
        <v>44844.0</v>
      </c>
      <c r="B1474" s="13" t="s">
        <v>2932</v>
      </c>
      <c r="C1474" s="13" t="s">
        <v>2933</v>
      </c>
      <c r="D1474" s="13" t="s">
        <v>6</v>
      </c>
      <c r="E1474" s="13" t="s">
        <v>70</v>
      </c>
      <c r="F1474" s="13">
        <v>2015.0</v>
      </c>
      <c r="G1474" s="13">
        <v>49021.0</v>
      </c>
      <c r="H1474" s="13">
        <v>2670.4</v>
      </c>
      <c r="I1474" s="13">
        <f>' car_sales_data 1'!$G1474*0.2</f>
        <v>9804.2</v>
      </c>
      <c r="J1474" s="13" t="str">
        <f>TEXT(' car_sales_data 1'!$A1474,"mmmm")</f>
        <v>October</v>
      </c>
      <c r="K1474" s="13" t="str">
        <f>IF(' car_sales_data 1'!$G1474&gt;40000,"Premium",
 IF(' car_sales_data 1'!$G1474&gt;=20000,"Mid Range","Budget"))</f>
        <v>Premium</v>
      </c>
      <c r="L1474" s="13">
        <f>YEAR(TODAY())-' car_sales_data 1'!$F1474</f>
        <v>10</v>
      </c>
    </row>
    <row r="1475" ht="15.75" customHeight="1">
      <c r="A1475" s="16">
        <v>44938.0</v>
      </c>
      <c r="B1475" s="13" t="s">
        <v>2934</v>
      </c>
      <c r="C1475" s="13" t="s">
        <v>2935</v>
      </c>
      <c r="D1475" s="13" t="s">
        <v>6</v>
      </c>
      <c r="E1475" s="13" t="s">
        <v>70</v>
      </c>
      <c r="F1475" s="13">
        <v>2010.0</v>
      </c>
      <c r="G1475" s="13">
        <v>11295.0</v>
      </c>
      <c r="H1475" s="13">
        <v>792.15</v>
      </c>
      <c r="I1475" s="13">
        <f>' car_sales_data 1'!$G1475*0.2</f>
        <v>2259</v>
      </c>
      <c r="J1475" s="13" t="str">
        <f>TEXT(' car_sales_data 1'!$A1475,"mmmm")</f>
        <v>January</v>
      </c>
      <c r="K1475" s="13" t="str">
        <f>IF(' car_sales_data 1'!$G1475&gt;40000,"Premium",
 IF(' car_sales_data 1'!$G1475&gt;=20000,"Mid Range","Budget"))</f>
        <v>Budget</v>
      </c>
      <c r="L1475" s="13">
        <f>YEAR(TODAY())-' car_sales_data 1'!$F1475</f>
        <v>15</v>
      </c>
    </row>
    <row r="1476" ht="15.75" customHeight="1">
      <c r="A1476" s="16">
        <v>44840.0</v>
      </c>
      <c r="B1476" s="13" t="s">
        <v>2936</v>
      </c>
      <c r="C1476" s="13" t="s">
        <v>2937</v>
      </c>
      <c r="D1476" s="13" t="s">
        <v>10</v>
      </c>
      <c r="E1476" s="13" t="s">
        <v>62</v>
      </c>
      <c r="F1476" s="13">
        <v>2014.0</v>
      </c>
      <c r="G1476" s="13">
        <v>15144.0</v>
      </c>
      <c r="H1476" s="13">
        <v>1582.07</v>
      </c>
      <c r="I1476" s="13">
        <f>' car_sales_data 1'!$G1476*0.2</f>
        <v>3028.8</v>
      </c>
      <c r="J1476" s="13" t="str">
        <f>TEXT(' car_sales_data 1'!$A1476,"mmmm")</f>
        <v>October</v>
      </c>
      <c r="K1476" s="13" t="str">
        <f>IF(' car_sales_data 1'!$G1476&gt;40000,"Premium",
 IF(' car_sales_data 1'!$G1476&gt;=20000,"Mid Range","Budget"))</f>
        <v>Budget</v>
      </c>
      <c r="L1476" s="13">
        <f>YEAR(TODAY())-' car_sales_data 1'!$F1476</f>
        <v>11</v>
      </c>
    </row>
    <row r="1477" ht="15.75" customHeight="1">
      <c r="A1477" s="16">
        <v>44957.0</v>
      </c>
      <c r="B1477" s="13" t="s">
        <v>2938</v>
      </c>
      <c r="C1477" s="13" t="s">
        <v>2939</v>
      </c>
      <c r="D1477" s="13" t="s">
        <v>10</v>
      </c>
      <c r="E1477" s="13" t="s">
        <v>62</v>
      </c>
      <c r="F1477" s="13">
        <v>2012.0</v>
      </c>
      <c r="G1477" s="13">
        <v>12330.0</v>
      </c>
      <c r="H1477" s="13">
        <v>1286.7</v>
      </c>
      <c r="I1477" s="13">
        <f>' car_sales_data 1'!$G1477*0.2</f>
        <v>2466</v>
      </c>
      <c r="J1477" s="13" t="str">
        <f>TEXT(' car_sales_data 1'!$A1477,"mmmm")</f>
        <v>January</v>
      </c>
      <c r="K1477" s="13" t="str">
        <f>IF(' car_sales_data 1'!$G1477&gt;40000,"Premium",
 IF(' car_sales_data 1'!$G1477&gt;=20000,"Mid Range","Budget"))</f>
        <v>Budget</v>
      </c>
      <c r="L1477" s="13">
        <f>YEAR(TODAY())-' car_sales_data 1'!$F1477</f>
        <v>13</v>
      </c>
    </row>
    <row r="1478" ht="15.75" customHeight="1">
      <c r="A1478" s="16">
        <v>44791.0</v>
      </c>
      <c r="B1478" s="13" t="s">
        <v>2940</v>
      </c>
      <c r="C1478" s="13" t="s">
        <v>2941</v>
      </c>
      <c r="D1478" s="13" t="s">
        <v>12</v>
      </c>
      <c r="E1478" s="13" t="s">
        <v>62</v>
      </c>
      <c r="F1478" s="13">
        <v>2013.0</v>
      </c>
      <c r="G1478" s="13">
        <v>48499.0</v>
      </c>
      <c r="H1478" s="13">
        <v>5208.08</v>
      </c>
      <c r="I1478" s="13">
        <f>' car_sales_data 1'!$G1478*0.2</f>
        <v>9699.8</v>
      </c>
      <c r="J1478" s="13" t="str">
        <f>TEXT(' car_sales_data 1'!$A1478,"mmmm")</f>
        <v>August</v>
      </c>
      <c r="K1478" s="13" t="str">
        <f>IF(' car_sales_data 1'!$G1478&gt;40000,"Premium",
 IF(' car_sales_data 1'!$G1478&gt;=20000,"Mid Range","Budget"))</f>
        <v>Premium</v>
      </c>
      <c r="L1478" s="13">
        <f>YEAR(TODAY())-' car_sales_data 1'!$F1478</f>
        <v>12</v>
      </c>
    </row>
    <row r="1479" ht="15.75" customHeight="1">
      <c r="A1479" s="16">
        <v>44960.0</v>
      </c>
      <c r="B1479" s="13" t="s">
        <v>2942</v>
      </c>
      <c r="C1479" s="13" t="s">
        <v>2943</v>
      </c>
      <c r="D1479" s="13" t="s">
        <v>14</v>
      </c>
      <c r="E1479" s="13" t="s">
        <v>57</v>
      </c>
      <c r="F1479" s="13">
        <v>2021.0</v>
      </c>
      <c r="G1479" s="13">
        <v>46692.0</v>
      </c>
      <c r="H1479" s="13">
        <v>2500.51</v>
      </c>
      <c r="I1479" s="13">
        <f>' car_sales_data 1'!$G1479*0.2</f>
        <v>9338.4</v>
      </c>
      <c r="J1479" s="13" t="str">
        <f>TEXT(' car_sales_data 1'!$A1479,"mmmm")</f>
        <v>February</v>
      </c>
      <c r="K1479" s="13" t="str">
        <f>IF(' car_sales_data 1'!$G1479&gt;40000,"Premium",
 IF(' car_sales_data 1'!$G1479&gt;=20000,"Mid Range","Budget"))</f>
        <v>Premium</v>
      </c>
      <c r="L1479" s="13">
        <f>YEAR(TODAY())-' car_sales_data 1'!$F1479</f>
        <v>4</v>
      </c>
    </row>
    <row r="1480" ht="15.75" customHeight="1">
      <c r="A1480" s="16">
        <v>44880.0</v>
      </c>
      <c r="B1480" s="13" t="s">
        <v>2944</v>
      </c>
      <c r="C1480" s="13" t="s">
        <v>2945</v>
      </c>
      <c r="D1480" s="13" t="s">
        <v>8</v>
      </c>
      <c r="E1480" s="13" t="s">
        <v>54</v>
      </c>
      <c r="F1480" s="13">
        <v>2018.0</v>
      </c>
      <c r="G1480" s="13">
        <v>45919.0</v>
      </c>
      <c r="H1480" s="13">
        <v>6318.52</v>
      </c>
      <c r="I1480" s="13">
        <f>' car_sales_data 1'!$G1480*0.2</f>
        <v>9183.8</v>
      </c>
      <c r="J1480" s="13" t="str">
        <f>TEXT(' car_sales_data 1'!$A1480,"mmmm")</f>
        <v>November</v>
      </c>
      <c r="K1480" s="13" t="str">
        <f>IF(' car_sales_data 1'!$G1480&gt;40000,"Premium",
 IF(' car_sales_data 1'!$G1480&gt;=20000,"Mid Range","Budget"))</f>
        <v>Premium</v>
      </c>
      <c r="L1480" s="13">
        <f>YEAR(TODAY())-' car_sales_data 1'!$F1480</f>
        <v>7</v>
      </c>
    </row>
    <row r="1481" ht="15.75" customHeight="1">
      <c r="A1481" s="16">
        <v>44891.0</v>
      </c>
      <c r="B1481" s="13" t="s">
        <v>2946</v>
      </c>
      <c r="C1481" s="13" t="s">
        <v>2947</v>
      </c>
      <c r="D1481" s="13" t="s">
        <v>12</v>
      </c>
      <c r="E1481" s="13" t="s">
        <v>57</v>
      </c>
      <c r="F1481" s="13">
        <v>2014.0</v>
      </c>
      <c r="G1481" s="13">
        <v>46708.0</v>
      </c>
      <c r="H1481" s="13">
        <v>6407.14</v>
      </c>
      <c r="I1481" s="13">
        <f>' car_sales_data 1'!$G1481*0.2</f>
        <v>9341.6</v>
      </c>
      <c r="J1481" s="13" t="str">
        <f>TEXT(' car_sales_data 1'!$A1481,"mmmm")</f>
        <v>November</v>
      </c>
      <c r="K1481" s="13" t="str">
        <f>IF(' car_sales_data 1'!$G1481&gt;40000,"Premium",
 IF(' car_sales_data 1'!$G1481&gt;=20000,"Mid Range","Budget"))</f>
        <v>Premium</v>
      </c>
      <c r="L1481" s="13">
        <f>YEAR(TODAY())-' car_sales_data 1'!$F1481</f>
        <v>11</v>
      </c>
    </row>
    <row r="1482" ht="15.75" customHeight="1">
      <c r="A1482" s="16">
        <v>44891.0</v>
      </c>
      <c r="B1482" s="13" t="s">
        <v>2948</v>
      </c>
      <c r="C1482" s="13" t="s">
        <v>1407</v>
      </c>
      <c r="D1482" s="13" t="s">
        <v>14</v>
      </c>
      <c r="E1482" s="13" t="s">
        <v>62</v>
      </c>
      <c r="F1482" s="13">
        <v>2018.0</v>
      </c>
      <c r="G1482" s="13">
        <v>46257.0</v>
      </c>
      <c r="H1482" s="13">
        <v>4782.67</v>
      </c>
      <c r="I1482" s="13">
        <f>' car_sales_data 1'!$G1482*0.2</f>
        <v>9251.4</v>
      </c>
      <c r="J1482" s="13" t="str">
        <f>TEXT(' car_sales_data 1'!$A1482,"mmmm")</f>
        <v>November</v>
      </c>
      <c r="K1482" s="13" t="str">
        <f>IF(' car_sales_data 1'!$G1482&gt;40000,"Premium",
 IF(' car_sales_data 1'!$G1482&gt;=20000,"Mid Range","Budget"))</f>
        <v>Premium</v>
      </c>
      <c r="L1482" s="13">
        <f>YEAR(TODAY())-' car_sales_data 1'!$F1482</f>
        <v>7</v>
      </c>
    </row>
    <row r="1483" ht="15.75" customHeight="1">
      <c r="A1483" s="16">
        <v>44684.0</v>
      </c>
      <c r="B1483" s="13" t="s">
        <v>2949</v>
      </c>
      <c r="C1483" s="13" t="s">
        <v>2950</v>
      </c>
      <c r="D1483" s="13" t="s">
        <v>10</v>
      </c>
      <c r="E1483" s="13" t="s">
        <v>54</v>
      </c>
      <c r="F1483" s="13">
        <v>2019.0</v>
      </c>
      <c r="G1483" s="13">
        <v>14720.0</v>
      </c>
      <c r="H1483" s="13">
        <v>1645.82</v>
      </c>
      <c r="I1483" s="13">
        <f>' car_sales_data 1'!$G1483*0.2</f>
        <v>2944</v>
      </c>
      <c r="J1483" s="13" t="str">
        <f>TEXT(' car_sales_data 1'!$A1483,"mmmm")</f>
        <v>May</v>
      </c>
      <c r="K1483" s="13" t="str">
        <f>IF(' car_sales_data 1'!$G1483&gt;40000,"Premium",
 IF(' car_sales_data 1'!$G1483&gt;=20000,"Mid Range","Budget"))</f>
        <v>Budget</v>
      </c>
      <c r="L1483" s="13">
        <f>YEAR(TODAY())-' car_sales_data 1'!$F1483</f>
        <v>6</v>
      </c>
    </row>
    <row r="1484" ht="15.75" customHeight="1">
      <c r="A1484" s="16">
        <v>44931.0</v>
      </c>
      <c r="B1484" s="13" t="s">
        <v>2951</v>
      </c>
      <c r="C1484" s="13" t="s">
        <v>2952</v>
      </c>
      <c r="D1484" s="13" t="s">
        <v>10</v>
      </c>
      <c r="E1484" s="13" t="s">
        <v>51</v>
      </c>
      <c r="F1484" s="13">
        <v>2020.0</v>
      </c>
      <c r="G1484" s="13">
        <v>14030.0</v>
      </c>
      <c r="H1484" s="13">
        <v>1236.75</v>
      </c>
      <c r="I1484" s="13">
        <f>' car_sales_data 1'!$G1484*0.2</f>
        <v>2806</v>
      </c>
      <c r="J1484" s="13" t="str">
        <f>TEXT(' car_sales_data 1'!$A1484,"mmmm")</f>
        <v>January</v>
      </c>
      <c r="K1484" s="13" t="str">
        <f>IF(' car_sales_data 1'!$G1484&gt;40000,"Premium",
 IF(' car_sales_data 1'!$G1484&gt;=20000,"Mid Range","Budget"))</f>
        <v>Budget</v>
      </c>
      <c r="L1484" s="13">
        <f>YEAR(TODAY())-' car_sales_data 1'!$F1484</f>
        <v>5</v>
      </c>
    </row>
    <row r="1485" ht="15.75" customHeight="1">
      <c r="A1485" s="16">
        <v>44808.0</v>
      </c>
      <c r="B1485" s="13" t="s">
        <v>2953</v>
      </c>
      <c r="C1485" s="13" t="s">
        <v>2954</v>
      </c>
      <c r="D1485" s="13" t="s">
        <v>10</v>
      </c>
      <c r="E1485" s="13" t="s">
        <v>51</v>
      </c>
      <c r="F1485" s="13">
        <v>2022.0</v>
      </c>
      <c r="G1485" s="13">
        <v>27230.0</v>
      </c>
      <c r="H1485" s="13">
        <v>1742.47</v>
      </c>
      <c r="I1485" s="13">
        <f>' car_sales_data 1'!$G1485*0.2</f>
        <v>5446</v>
      </c>
      <c r="J1485" s="13" t="str">
        <f>TEXT(' car_sales_data 1'!$A1485,"mmmm")</f>
        <v>September</v>
      </c>
      <c r="K1485" s="13" t="str">
        <f>IF(' car_sales_data 1'!$G1485&gt;40000,"Premium",
 IF(' car_sales_data 1'!$G1485&gt;=20000,"Mid Range","Budget"))</f>
        <v>Mid Range</v>
      </c>
      <c r="L1485" s="13">
        <f>YEAR(TODAY())-' car_sales_data 1'!$F1485</f>
        <v>3</v>
      </c>
    </row>
    <row r="1486" ht="15.75" customHeight="1">
      <c r="A1486" s="16">
        <v>44901.0</v>
      </c>
      <c r="B1486" s="13" t="s">
        <v>2955</v>
      </c>
      <c r="C1486" s="13" t="s">
        <v>2956</v>
      </c>
      <c r="D1486" s="13" t="s">
        <v>8</v>
      </c>
      <c r="E1486" s="13" t="s">
        <v>57</v>
      </c>
      <c r="F1486" s="13">
        <v>2018.0</v>
      </c>
      <c r="G1486" s="13">
        <v>20873.0</v>
      </c>
      <c r="H1486" s="13">
        <v>1553.94</v>
      </c>
      <c r="I1486" s="13">
        <f>' car_sales_data 1'!$G1486*0.2</f>
        <v>4174.6</v>
      </c>
      <c r="J1486" s="13" t="str">
        <f>TEXT(' car_sales_data 1'!$A1486,"mmmm")</f>
        <v>December</v>
      </c>
      <c r="K1486" s="13" t="str">
        <f>IF(' car_sales_data 1'!$G1486&gt;40000,"Premium",
 IF(' car_sales_data 1'!$G1486&gt;=20000,"Mid Range","Budget"))</f>
        <v>Mid Range</v>
      </c>
      <c r="L1486" s="13">
        <f>YEAR(TODAY())-' car_sales_data 1'!$F1486</f>
        <v>7</v>
      </c>
    </row>
    <row r="1487" ht="15.75" customHeight="1">
      <c r="A1487" s="16">
        <v>44720.0</v>
      </c>
      <c r="B1487" s="13" t="s">
        <v>2957</v>
      </c>
      <c r="C1487" s="13" t="s">
        <v>2958</v>
      </c>
      <c r="D1487" s="13" t="s">
        <v>10</v>
      </c>
      <c r="E1487" s="13" t="s">
        <v>54</v>
      </c>
      <c r="F1487" s="13">
        <v>2021.0</v>
      </c>
      <c r="G1487" s="13">
        <v>43796.0</v>
      </c>
      <c r="H1487" s="13">
        <v>5674.27</v>
      </c>
      <c r="I1487" s="13">
        <f>' car_sales_data 1'!$G1487*0.2</f>
        <v>8759.2</v>
      </c>
      <c r="J1487" s="13" t="str">
        <f>TEXT(' car_sales_data 1'!$A1487,"mmmm")</f>
        <v>June</v>
      </c>
      <c r="K1487" s="13" t="str">
        <f>IF(' car_sales_data 1'!$G1487&gt;40000,"Premium",
 IF(' car_sales_data 1'!$G1487&gt;=20000,"Mid Range","Budget"))</f>
        <v>Premium</v>
      </c>
      <c r="L1487" s="13">
        <f>YEAR(TODAY())-' car_sales_data 1'!$F1487</f>
        <v>4</v>
      </c>
    </row>
    <row r="1488" ht="15.75" customHeight="1">
      <c r="A1488" s="16">
        <v>44806.0</v>
      </c>
      <c r="B1488" s="13" t="s">
        <v>2959</v>
      </c>
      <c r="C1488" s="13" t="s">
        <v>2960</v>
      </c>
      <c r="D1488" s="13" t="s">
        <v>10</v>
      </c>
      <c r="E1488" s="13" t="s">
        <v>51</v>
      </c>
      <c r="F1488" s="13">
        <v>2015.0</v>
      </c>
      <c r="G1488" s="13">
        <v>29940.0</v>
      </c>
      <c r="H1488" s="13">
        <v>2050.41</v>
      </c>
      <c r="I1488" s="13">
        <f>' car_sales_data 1'!$G1488*0.2</f>
        <v>5988</v>
      </c>
      <c r="J1488" s="13" t="str">
        <f>TEXT(' car_sales_data 1'!$A1488,"mmmm")</f>
        <v>September</v>
      </c>
      <c r="K1488" s="13" t="str">
        <f>IF(' car_sales_data 1'!$G1488&gt;40000,"Premium",
 IF(' car_sales_data 1'!$G1488&gt;=20000,"Mid Range","Budget"))</f>
        <v>Mid Range</v>
      </c>
      <c r="L1488" s="13">
        <f>YEAR(TODAY())-' car_sales_data 1'!$F1488</f>
        <v>10</v>
      </c>
    </row>
    <row r="1489" ht="15.75" customHeight="1">
      <c r="A1489" s="16">
        <v>44778.0</v>
      </c>
      <c r="B1489" s="13" t="s">
        <v>2961</v>
      </c>
      <c r="C1489" s="13" t="s">
        <v>2962</v>
      </c>
      <c r="D1489" s="13" t="s">
        <v>8</v>
      </c>
      <c r="E1489" s="13" t="s">
        <v>70</v>
      </c>
      <c r="F1489" s="13">
        <v>2022.0</v>
      </c>
      <c r="G1489" s="13">
        <v>39435.0</v>
      </c>
      <c r="H1489" s="13">
        <v>4393.91</v>
      </c>
      <c r="I1489" s="13">
        <f>' car_sales_data 1'!$G1489*0.2</f>
        <v>7887</v>
      </c>
      <c r="J1489" s="13" t="str">
        <f>TEXT(' car_sales_data 1'!$A1489,"mmmm")</f>
        <v>August</v>
      </c>
      <c r="K1489" s="13" t="str">
        <f>IF(' car_sales_data 1'!$G1489&gt;40000,"Premium",
 IF(' car_sales_data 1'!$G1489&gt;=20000,"Mid Range","Budget"))</f>
        <v>Mid Range</v>
      </c>
      <c r="L1489" s="13">
        <f>YEAR(TODAY())-' car_sales_data 1'!$F1489</f>
        <v>3</v>
      </c>
    </row>
    <row r="1490" ht="15.75" customHeight="1">
      <c r="A1490" s="16">
        <v>44833.0</v>
      </c>
      <c r="B1490" s="13" t="s">
        <v>1248</v>
      </c>
      <c r="C1490" s="13" t="s">
        <v>2686</v>
      </c>
      <c r="D1490" s="13" t="s">
        <v>10</v>
      </c>
      <c r="E1490" s="13" t="s">
        <v>70</v>
      </c>
      <c r="F1490" s="13">
        <v>2013.0</v>
      </c>
      <c r="G1490" s="13">
        <v>44038.0</v>
      </c>
      <c r="H1490" s="13">
        <v>6084.6</v>
      </c>
      <c r="I1490" s="13">
        <f>' car_sales_data 1'!$G1490*0.2</f>
        <v>8807.6</v>
      </c>
      <c r="J1490" s="13" t="str">
        <f>TEXT(' car_sales_data 1'!$A1490,"mmmm")</f>
        <v>September</v>
      </c>
      <c r="K1490" s="13" t="str">
        <f>IF(' car_sales_data 1'!$G1490&gt;40000,"Premium",
 IF(' car_sales_data 1'!$G1490&gt;=20000,"Mid Range","Budget"))</f>
        <v>Premium</v>
      </c>
      <c r="L1490" s="13">
        <f>YEAR(TODAY())-' car_sales_data 1'!$F1490</f>
        <v>12</v>
      </c>
    </row>
    <row r="1491" ht="15.75" customHeight="1">
      <c r="A1491" s="16">
        <v>44738.0</v>
      </c>
      <c r="B1491" s="13" t="s">
        <v>2963</v>
      </c>
      <c r="C1491" s="13" t="s">
        <v>2964</v>
      </c>
      <c r="D1491" s="13" t="s">
        <v>8</v>
      </c>
      <c r="E1491" s="13" t="s">
        <v>51</v>
      </c>
      <c r="F1491" s="13">
        <v>2011.0</v>
      </c>
      <c r="G1491" s="13">
        <v>31604.0</v>
      </c>
      <c r="H1491" s="13">
        <v>2852.66</v>
      </c>
      <c r="I1491" s="13">
        <f>' car_sales_data 1'!$G1491*0.2</f>
        <v>6320.8</v>
      </c>
      <c r="J1491" s="13" t="str">
        <f>TEXT(' car_sales_data 1'!$A1491,"mmmm")</f>
        <v>June</v>
      </c>
      <c r="K1491" s="13" t="str">
        <f>IF(' car_sales_data 1'!$G1491&gt;40000,"Premium",
 IF(' car_sales_data 1'!$G1491&gt;=20000,"Mid Range","Budget"))</f>
        <v>Mid Range</v>
      </c>
      <c r="L1491" s="13">
        <f>YEAR(TODAY())-' car_sales_data 1'!$F1491</f>
        <v>14</v>
      </c>
    </row>
    <row r="1492" ht="15.75" customHeight="1">
      <c r="A1492" s="16">
        <v>44850.0</v>
      </c>
      <c r="B1492" s="13" t="s">
        <v>2965</v>
      </c>
      <c r="C1492" s="13" t="s">
        <v>2966</v>
      </c>
      <c r="D1492" s="13" t="s">
        <v>10</v>
      </c>
      <c r="E1492" s="13" t="s">
        <v>57</v>
      </c>
      <c r="F1492" s="13">
        <v>2016.0</v>
      </c>
      <c r="G1492" s="13">
        <v>14918.0</v>
      </c>
      <c r="H1492" s="13">
        <v>1544.45</v>
      </c>
      <c r="I1492" s="13">
        <f>' car_sales_data 1'!$G1492*0.2</f>
        <v>2983.6</v>
      </c>
      <c r="J1492" s="13" t="str">
        <f>TEXT(' car_sales_data 1'!$A1492,"mmmm")</f>
        <v>October</v>
      </c>
      <c r="K1492" s="13" t="str">
        <f>IF(' car_sales_data 1'!$G1492&gt;40000,"Premium",
 IF(' car_sales_data 1'!$G1492&gt;=20000,"Mid Range","Budget"))</f>
        <v>Budget</v>
      </c>
      <c r="L1492" s="13">
        <f>YEAR(TODAY())-' car_sales_data 1'!$F1492</f>
        <v>9</v>
      </c>
    </row>
    <row r="1493" ht="15.75" customHeight="1">
      <c r="A1493" s="16">
        <v>44967.0</v>
      </c>
      <c r="B1493" s="13" t="s">
        <v>2967</v>
      </c>
      <c r="C1493" s="13" t="s">
        <v>2968</v>
      </c>
      <c r="D1493" s="13" t="s">
        <v>14</v>
      </c>
      <c r="E1493" s="13" t="s">
        <v>54</v>
      </c>
      <c r="F1493" s="13">
        <v>2018.0</v>
      </c>
      <c r="G1493" s="13">
        <v>11750.0</v>
      </c>
      <c r="H1493" s="13">
        <v>1205.74</v>
      </c>
      <c r="I1493" s="13">
        <f>' car_sales_data 1'!$G1493*0.2</f>
        <v>2350</v>
      </c>
      <c r="J1493" s="13" t="str">
        <f>TEXT(' car_sales_data 1'!$A1493,"mmmm")</f>
        <v>February</v>
      </c>
      <c r="K1493" s="13" t="str">
        <f>IF(' car_sales_data 1'!$G1493&gt;40000,"Premium",
 IF(' car_sales_data 1'!$G1493&gt;=20000,"Mid Range","Budget"))</f>
        <v>Budget</v>
      </c>
      <c r="L1493" s="13">
        <f>YEAR(TODAY())-' car_sales_data 1'!$F1493</f>
        <v>7</v>
      </c>
    </row>
    <row r="1494" ht="15.75" customHeight="1">
      <c r="A1494" s="16">
        <v>44731.0</v>
      </c>
      <c r="B1494" s="13" t="s">
        <v>2969</v>
      </c>
      <c r="C1494" s="13" t="s">
        <v>2970</v>
      </c>
      <c r="D1494" s="13" t="s">
        <v>6</v>
      </c>
      <c r="E1494" s="13" t="s">
        <v>57</v>
      </c>
      <c r="F1494" s="13">
        <v>2010.0</v>
      </c>
      <c r="G1494" s="13">
        <v>37161.0</v>
      </c>
      <c r="H1494" s="13">
        <v>3538.97</v>
      </c>
      <c r="I1494" s="13">
        <f>' car_sales_data 1'!$G1494*0.2</f>
        <v>7432.2</v>
      </c>
      <c r="J1494" s="13" t="str">
        <f>TEXT(' car_sales_data 1'!$A1494,"mmmm")</f>
        <v>June</v>
      </c>
      <c r="K1494" s="13" t="str">
        <f>IF(' car_sales_data 1'!$G1494&gt;40000,"Premium",
 IF(' car_sales_data 1'!$G1494&gt;=20000,"Mid Range","Budget"))</f>
        <v>Mid Range</v>
      </c>
      <c r="L1494" s="13">
        <f>YEAR(TODAY())-' car_sales_data 1'!$F1494</f>
        <v>15</v>
      </c>
    </row>
    <row r="1495" ht="15.75" customHeight="1">
      <c r="A1495" s="16">
        <v>44919.0</v>
      </c>
      <c r="B1495" s="13" t="s">
        <v>2971</v>
      </c>
      <c r="C1495" s="13" t="s">
        <v>2972</v>
      </c>
      <c r="D1495" s="13" t="s">
        <v>6</v>
      </c>
      <c r="E1495" s="13" t="s">
        <v>57</v>
      </c>
      <c r="F1495" s="13">
        <v>2013.0</v>
      </c>
      <c r="G1495" s="13">
        <v>25432.0</v>
      </c>
      <c r="H1495" s="13">
        <v>3635.23</v>
      </c>
      <c r="I1495" s="13">
        <f>' car_sales_data 1'!$G1495*0.2</f>
        <v>5086.4</v>
      </c>
      <c r="J1495" s="13" t="str">
        <f>TEXT(' car_sales_data 1'!$A1495,"mmmm")</f>
        <v>December</v>
      </c>
      <c r="K1495" s="13" t="str">
        <f>IF(' car_sales_data 1'!$G1495&gt;40000,"Premium",
 IF(' car_sales_data 1'!$G1495&gt;=20000,"Mid Range","Budget"))</f>
        <v>Mid Range</v>
      </c>
      <c r="L1495" s="13">
        <f>YEAR(TODAY())-' car_sales_data 1'!$F1495</f>
        <v>12</v>
      </c>
    </row>
    <row r="1496" ht="15.75" customHeight="1">
      <c r="A1496" s="16">
        <v>44991.0</v>
      </c>
      <c r="B1496" s="13" t="s">
        <v>2973</v>
      </c>
      <c r="C1496" s="13" t="s">
        <v>2974</v>
      </c>
      <c r="D1496" s="13" t="s">
        <v>12</v>
      </c>
      <c r="E1496" s="13" t="s">
        <v>51</v>
      </c>
      <c r="F1496" s="13">
        <v>2015.0</v>
      </c>
      <c r="G1496" s="13">
        <v>13145.0</v>
      </c>
      <c r="H1496" s="13">
        <v>1612.95</v>
      </c>
      <c r="I1496" s="13">
        <f>' car_sales_data 1'!$G1496*0.2</f>
        <v>2629</v>
      </c>
      <c r="J1496" s="13" t="str">
        <f>TEXT(' car_sales_data 1'!$A1496,"mmmm")</f>
        <v>March</v>
      </c>
      <c r="K1496" s="13" t="str">
        <f>IF(' car_sales_data 1'!$G1496&gt;40000,"Premium",
 IF(' car_sales_data 1'!$G1496&gt;=20000,"Mid Range","Budget"))</f>
        <v>Budget</v>
      </c>
      <c r="L1496" s="13">
        <f>YEAR(TODAY())-' car_sales_data 1'!$F1496</f>
        <v>10</v>
      </c>
    </row>
    <row r="1497" ht="15.75" customHeight="1">
      <c r="A1497" s="16">
        <v>45046.0</v>
      </c>
      <c r="B1497" s="13" t="s">
        <v>2975</v>
      </c>
      <c r="C1497" s="13" t="s">
        <v>2976</v>
      </c>
      <c r="D1497" s="13" t="s">
        <v>8</v>
      </c>
      <c r="E1497" s="13" t="s">
        <v>70</v>
      </c>
      <c r="F1497" s="13">
        <v>2018.0</v>
      </c>
      <c r="G1497" s="13">
        <v>21797.0</v>
      </c>
      <c r="H1497" s="13">
        <v>1880.91</v>
      </c>
      <c r="I1497" s="13">
        <f>' car_sales_data 1'!$G1497*0.2</f>
        <v>4359.4</v>
      </c>
      <c r="J1497" s="13" t="str">
        <f>TEXT(' car_sales_data 1'!$A1497,"mmmm")</f>
        <v>April</v>
      </c>
      <c r="K1497" s="13" t="str">
        <f>IF(' car_sales_data 1'!$G1497&gt;40000,"Premium",
 IF(' car_sales_data 1'!$G1497&gt;=20000,"Mid Range","Budget"))</f>
        <v>Mid Range</v>
      </c>
      <c r="L1497" s="13">
        <f>YEAR(TODAY())-' car_sales_data 1'!$F1497</f>
        <v>7</v>
      </c>
    </row>
    <row r="1498" ht="15.75" customHeight="1">
      <c r="A1498" s="16">
        <v>44930.0</v>
      </c>
      <c r="B1498" s="13" t="s">
        <v>2977</v>
      </c>
      <c r="C1498" s="13" t="s">
        <v>2978</v>
      </c>
      <c r="D1498" s="13" t="s">
        <v>12</v>
      </c>
      <c r="E1498" s="13" t="s">
        <v>54</v>
      </c>
      <c r="F1498" s="13">
        <v>2021.0</v>
      </c>
      <c r="G1498" s="13">
        <v>34498.0</v>
      </c>
      <c r="H1498" s="13">
        <v>3840.35</v>
      </c>
      <c r="I1498" s="13">
        <f>' car_sales_data 1'!$G1498*0.2</f>
        <v>6899.6</v>
      </c>
      <c r="J1498" s="13" t="str">
        <f>TEXT(' car_sales_data 1'!$A1498,"mmmm")</f>
        <v>January</v>
      </c>
      <c r="K1498" s="13" t="str">
        <f>IF(' car_sales_data 1'!$G1498&gt;40000,"Premium",
 IF(' car_sales_data 1'!$G1498&gt;=20000,"Mid Range","Budget"))</f>
        <v>Mid Range</v>
      </c>
      <c r="L1498" s="13">
        <f>YEAR(TODAY())-' car_sales_data 1'!$F1498</f>
        <v>4</v>
      </c>
    </row>
    <row r="1499" ht="15.75" customHeight="1">
      <c r="A1499" s="16">
        <v>45003.0</v>
      </c>
      <c r="B1499" s="13" t="s">
        <v>2979</v>
      </c>
      <c r="C1499" s="13" t="s">
        <v>2980</v>
      </c>
      <c r="D1499" s="13" t="s">
        <v>10</v>
      </c>
      <c r="E1499" s="13" t="s">
        <v>70</v>
      </c>
      <c r="F1499" s="13">
        <v>2020.0</v>
      </c>
      <c r="G1499" s="13">
        <v>41986.0</v>
      </c>
      <c r="H1499" s="13">
        <v>3964.29</v>
      </c>
      <c r="I1499" s="13">
        <f>' car_sales_data 1'!$G1499*0.2</f>
        <v>8397.2</v>
      </c>
      <c r="J1499" s="13" t="str">
        <f>TEXT(' car_sales_data 1'!$A1499,"mmmm")</f>
        <v>March</v>
      </c>
      <c r="K1499" s="13" t="str">
        <f>IF(' car_sales_data 1'!$G1499&gt;40000,"Premium",
 IF(' car_sales_data 1'!$G1499&gt;=20000,"Mid Range","Budget"))</f>
        <v>Premium</v>
      </c>
      <c r="L1499" s="13">
        <f>YEAR(TODAY())-' car_sales_data 1'!$F1499</f>
        <v>5</v>
      </c>
    </row>
    <row r="1500" ht="15.75" customHeight="1">
      <c r="A1500" s="16">
        <v>44876.0</v>
      </c>
      <c r="B1500" s="13" t="s">
        <v>2981</v>
      </c>
      <c r="C1500" s="13" t="s">
        <v>2982</v>
      </c>
      <c r="D1500" s="13" t="s">
        <v>12</v>
      </c>
      <c r="E1500" s="13" t="s">
        <v>54</v>
      </c>
      <c r="F1500" s="13">
        <v>2013.0</v>
      </c>
      <c r="G1500" s="13">
        <v>21340.0</v>
      </c>
      <c r="H1500" s="13">
        <v>1563.84</v>
      </c>
      <c r="I1500" s="13">
        <f>' car_sales_data 1'!$G1500*0.2</f>
        <v>4268</v>
      </c>
      <c r="J1500" s="13" t="str">
        <f>TEXT(' car_sales_data 1'!$A1500,"mmmm")</f>
        <v>November</v>
      </c>
      <c r="K1500" s="13" t="str">
        <f>IF(' car_sales_data 1'!$G1500&gt;40000,"Premium",
 IF(' car_sales_data 1'!$G1500&gt;=20000,"Mid Range","Budget"))</f>
        <v>Mid Range</v>
      </c>
      <c r="L1500" s="13">
        <f>YEAR(TODAY())-' car_sales_data 1'!$F1500</f>
        <v>12</v>
      </c>
    </row>
    <row r="1501" ht="15.75" customHeight="1">
      <c r="A1501" s="16">
        <v>44961.0</v>
      </c>
      <c r="B1501" s="13" t="s">
        <v>2983</v>
      </c>
      <c r="C1501" s="13" t="s">
        <v>2984</v>
      </c>
      <c r="D1501" s="13" t="s">
        <v>6</v>
      </c>
      <c r="E1501" s="13" t="s">
        <v>54</v>
      </c>
      <c r="F1501" s="13">
        <v>2019.0</v>
      </c>
      <c r="G1501" s="13">
        <v>30341.0</v>
      </c>
      <c r="H1501" s="13">
        <v>2846.54</v>
      </c>
      <c r="I1501" s="13">
        <f>' car_sales_data 1'!$G1501*0.2</f>
        <v>6068.2</v>
      </c>
      <c r="J1501" s="13" t="str">
        <f>TEXT(' car_sales_data 1'!$A1501,"mmmm")</f>
        <v>February</v>
      </c>
      <c r="K1501" s="13" t="str">
        <f>IF(' car_sales_data 1'!$G1501&gt;40000,"Premium",
 IF(' car_sales_data 1'!$G1501&gt;=20000,"Mid Range","Budget"))</f>
        <v>Mid Range</v>
      </c>
      <c r="L1501" s="13">
        <f>YEAR(TODAY())-' car_sales_data 1'!$F1501</f>
        <v>6</v>
      </c>
    </row>
    <row r="1502" ht="15.75" customHeight="1">
      <c r="A1502" s="16">
        <v>44934.0</v>
      </c>
      <c r="B1502" s="13" t="s">
        <v>2985</v>
      </c>
      <c r="C1502" s="13" t="s">
        <v>2986</v>
      </c>
      <c r="D1502" s="13" t="s">
        <v>10</v>
      </c>
      <c r="E1502" s="13" t="s">
        <v>51</v>
      </c>
      <c r="F1502" s="13">
        <v>2017.0</v>
      </c>
      <c r="G1502" s="13">
        <v>22894.0</v>
      </c>
      <c r="H1502" s="13">
        <v>1511.0</v>
      </c>
      <c r="I1502" s="13">
        <f>' car_sales_data 1'!$G1502*0.2</f>
        <v>4578.8</v>
      </c>
      <c r="J1502" s="13" t="str">
        <f>TEXT(' car_sales_data 1'!$A1502,"mmmm")</f>
        <v>January</v>
      </c>
      <c r="K1502" s="13" t="str">
        <f>IF(' car_sales_data 1'!$G1502&gt;40000,"Premium",
 IF(' car_sales_data 1'!$G1502&gt;=20000,"Mid Range","Budget"))</f>
        <v>Mid Range</v>
      </c>
      <c r="L1502" s="13">
        <f>YEAR(TODAY())-' car_sales_data 1'!$F1502</f>
        <v>8</v>
      </c>
    </row>
    <row r="1503" ht="15.75" customHeight="1">
      <c r="A1503" s="16">
        <v>44707.0</v>
      </c>
      <c r="B1503" s="13" t="s">
        <v>1405</v>
      </c>
      <c r="C1503" s="13" t="s">
        <v>322</v>
      </c>
      <c r="D1503" s="13" t="s">
        <v>12</v>
      </c>
      <c r="E1503" s="13" t="s">
        <v>57</v>
      </c>
      <c r="F1503" s="13">
        <v>2016.0</v>
      </c>
      <c r="G1503" s="13">
        <v>12616.0</v>
      </c>
      <c r="H1503" s="13">
        <v>1764.46</v>
      </c>
      <c r="I1503" s="13">
        <f>' car_sales_data 1'!$G1503*0.2</f>
        <v>2523.2</v>
      </c>
      <c r="J1503" s="13" t="str">
        <f>TEXT(' car_sales_data 1'!$A1503,"mmmm")</f>
        <v>May</v>
      </c>
      <c r="K1503" s="13" t="str">
        <f>IF(' car_sales_data 1'!$G1503&gt;40000,"Premium",
 IF(' car_sales_data 1'!$G1503&gt;=20000,"Mid Range","Budget"))</f>
        <v>Budget</v>
      </c>
      <c r="L1503" s="13">
        <f>YEAR(TODAY())-' car_sales_data 1'!$F1503</f>
        <v>9</v>
      </c>
    </row>
    <row r="1504" ht="15.75" customHeight="1">
      <c r="A1504" s="16">
        <v>44774.0</v>
      </c>
      <c r="B1504" s="13" t="s">
        <v>2987</v>
      </c>
      <c r="C1504" s="13" t="s">
        <v>2988</v>
      </c>
      <c r="D1504" s="13" t="s">
        <v>14</v>
      </c>
      <c r="E1504" s="13" t="s">
        <v>70</v>
      </c>
      <c r="F1504" s="13">
        <v>2017.0</v>
      </c>
      <c r="G1504" s="13">
        <v>14676.0</v>
      </c>
      <c r="H1504" s="13">
        <v>1901.34</v>
      </c>
      <c r="I1504" s="13">
        <f>' car_sales_data 1'!$G1504*0.2</f>
        <v>2935.2</v>
      </c>
      <c r="J1504" s="13" t="str">
        <f>TEXT(' car_sales_data 1'!$A1504,"mmmm")</f>
        <v>August</v>
      </c>
      <c r="K1504" s="13" t="str">
        <f>IF(' car_sales_data 1'!$G1504&gt;40000,"Premium",
 IF(' car_sales_data 1'!$G1504&gt;=20000,"Mid Range","Budget"))</f>
        <v>Budget</v>
      </c>
      <c r="L1504" s="13">
        <f>YEAR(TODAY())-' car_sales_data 1'!$F1504</f>
        <v>8</v>
      </c>
    </row>
    <row r="1505" ht="15.75" customHeight="1">
      <c r="A1505" s="16">
        <v>44880.0</v>
      </c>
      <c r="B1505" s="13" t="s">
        <v>2989</v>
      </c>
      <c r="C1505" s="13" t="s">
        <v>2990</v>
      </c>
      <c r="D1505" s="13" t="s">
        <v>8</v>
      </c>
      <c r="E1505" s="13" t="s">
        <v>70</v>
      </c>
      <c r="F1505" s="13">
        <v>2014.0</v>
      </c>
      <c r="G1505" s="13">
        <v>19694.0</v>
      </c>
      <c r="H1505" s="13">
        <v>1064.32</v>
      </c>
      <c r="I1505" s="13">
        <f>' car_sales_data 1'!$G1505*0.2</f>
        <v>3938.8</v>
      </c>
      <c r="J1505" s="13" t="str">
        <f>TEXT(' car_sales_data 1'!$A1505,"mmmm")</f>
        <v>November</v>
      </c>
      <c r="K1505" s="13" t="str">
        <f>IF(' car_sales_data 1'!$G1505&gt;40000,"Premium",
 IF(' car_sales_data 1'!$G1505&gt;=20000,"Mid Range","Budget"))</f>
        <v>Budget</v>
      </c>
      <c r="L1505" s="13">
        <f>YEAR(TODAY())-' car_sales_data 1'!$F1505</f>
        <v>11</v>
      </c>
    </row>
    <row r="1506" ht="15.75" customHeight="1">
      <c r="A1506" s="16">
        <v>44965.0</v>
      </c>
      <c r="B1506" s="13" t="s">
        <v>2991</v>
      </c>
      <c r="C1506" s="13" t="s">
        <v>2992</v>
      </c>
      <c r="D1506" s="13" t="s">
        <v>8</v>
      </c>
      <c r="E1506" s="13" t="s">
        <v>54</v>
      </c>
      <c r="F1506" s="13">
        <v>2010.0</v>
      </c>
      <c r="G1506" s="13">
        <v>32423.0</v>
      </c>
      <c r="H1506" s="13">
        <v>4836.75</v>
      </c>
      <c r="I1506" s="13">
        <f>' car_sales_data 1'!$G1506*0.2</f>
        <v>6484.6</v>
      </c>
      <c r="J1506" s="13" t="str">
        <f>TEXT(' car_sales_data 1'!$A1506,"mmmm")</f>
        <v>February</v>
      </c>
      <c r="K1506" s="13" t="str">
        <f>IF(' car_sales_data 1'!$G1506&gt;40000,"Premium",
 IF(' car_sales_data 1'!$G1506&gt;=20000,"Mid Range","Budget"))</f>
        <v>Mid Range</v>
      </c>
      <c r="L1506" s="13">
        <f>YEAR(TODAY())-' car_sales_data 1'!$F1506</f>
        <v>15</v>
      </c>
    </row>
    <row r="1507" ht="15.75" customHeight="1">
      <c r="A1507" s="16">
        <v>44785.0</v>
      </c>
      <c r="B1507" s="13" t="s">
        <v>2993</v>
      </c>
      <c r="C1507" s="13" t="s">
        <v>2994</v>
      </c>
      <c r="D1507" s="13" t="s">
        <v>6</v>
      </c>
      <c r="E1507" s="13" t="s">
        <v>54</v>
      </c>
      <c r="F1507" s="13">
        <v>2019.0</v>
      </c>
      <c r="G1507" s="13">
        <v>48962.0</v>
      </c>
      <c r="H1507" s="13">
        <v>6047.22</v>
      </c>
      <c r="I1507" s="13">
        <f>' car_sales_data 1'!$G1507*0.2</f>
        <v>9792.4</v>
      </c>
      <c r="J1507" s="13" t="str">
        <f>TEXT(' car_sales_data 1'!$A1507,"mmmm")</f>
        <v>August</v>
      </c>
      <c r="K1507" s="13" t="str">
        <f>IF(' car_sales_data 1'!$G1507&gt;40000,"Premium",
 IF(' car_sales_data 1'!$G1507&gt;=20000,"Mid Range","Budget"))</f>
        <v>Premium</v>
      </c>
      <c r="L1507" s="13">
        <f>YEAR(TODAY())-' car_sales_data 1'!$F1507</f>
        <v>6</v>
      </c>
    </row>
    <row r="1508" ht="15.75" customHeight="1">
      <c r="A1508" s="16">
        <v>44994.0</v>
      </c>
      <c r="B1508" s="13" t="s">
        <v>2995</v>
      </c>
      <c r="C1508" s="13" t="s">
        <v>2996</v>
      </c>
      <c r="D1508" s="13" t="s">
        <v>6</v>
      </c>
      <c r="E1508" s="13" t="s">
        <v>54</v>
      </c>
      <c r="F1508" s="13">
        <v>2016.0</v>
      </c>
      <c r="G1508" s="13">
        <v>29172.0</v>
      </c>
      <c r="H1508" s="13">
        <v>1883.53</v>
      </c>
      <c r="I1508" s="13">
        <f>' car_sales_data 1'!$G1508*0.2</f>
        <v>5834.4</v>
      </c>
      <c r="J1508" s="13" t="str">
        <f>TEXT(' car_sales_data 1'!$A1508,"mmmm")</f>
        <v>March</v>
      </c>
      <c r="K1508" s="13" t="str">
        <f>IF(' car_sales_data 1'!$G1508&gt;40000,"Premium",
 IF(' car_sales_data 1'!$G1508&gt;=20000,"Mid Range","Budget"))</f>
        <v>Mid Range</v>
      </c>
      <c r="L1508" s="13">
        <f>YEAR(TODAY())-' car_sales_data 1'!$F1508</f>
        <v>9</v>
      </c>
    </row>
    <row r="1509" ht="15.75" customHeight="1">
      <c r="A1509" s="16">
        <v>44829.0</v>
      </c>
      <c r="B1509" s="13" t="s">
        <v>2997</v>
      </c>
      <c r="C1509" s="13" t="s">
        <v>2998</v>
      </c>
      <c r="D1509" s="13" t="s">
        <v>8</v>
      </c>
      <c r="E1509" s="13" t="s">
        <v>57</v>
      </c>
      <c r="F1509" s="13">
        <v>2022.0</v>
      </c>
      <c r="G1509" s="13">
        <v>41886.0</v>
      </c>
      <c r="H1509" s="13">
        <v>5133.75</v>
      </c>
      <c r="I1509" s="13">
        <f>' car_sales_data 1'!$G1509*0.2</f>
        <v>8377.2</v>
      </c>
      <c r="J1509" s="13" t="str">
        <f>TEXT(' car_sales_data 1'!$A1509,"mmmm")</f>
        <v>September</v>
      </c>
      <c r="K1509" s="13" t="str">
        <f>IF(' car_sales_data 1'!$G1509&gt;40000,"Premium",
 IF(' car_sales_data 1'!$G1509&gt;=20000,"Mid Range","Budget"))</f>
        <v>Premium</v>
      </c>
      <c r="L1509" s="13">
        <f>YEAR(TODAY())-' car_sales_data 1'!$F1509</f>
        <v>3</v>
      </c>
    </row>
    <row r="1510" ht="15.75" customHeight="1">
      <c r="A1510" s="16">
        <v>45044.0</v>
      </c>
      <c r="B1510" s="13" t="s">
        <v>2999</v>
      </c>
      <c r="C1510" s="13" t="s">
        <v>3000</v>
      </c>
      <c r="D1510" s="13" t="s">
        <v>10</v>
      </c>
      <c r="E1510" s="13" t="s">
        <v>57</v>
      </c>
      <c r="F1510" s="13">
        <v>2011.0</v>
      </c>
      <c r="G1510" s="13">
        <v>23425.0</v>
      </c>
      <c r="H1510" s="13">
        <v>1501.6</v>
      </c>
      <c r="I1510" s="13">
        <f>' car_sales_data 1'!$G1510*0.2</f>
        <v>4685</v>
      </c>
      <c r="J1510" s="13" t="str">
        <f>TEXT(' car_sales_data 1'!$A1510,"mmmm")</f>
        <v>April</v>
      </c>
      <c r="K1510" s="13" t="str">
        <f>IF(' car_sales_data 1'!$G1510&gt;40000,"Premium",
 IF(' car_sales_data 1'!$G1510&gt;=20000,"Mid Range","Budget"))</f>
        <v>Mid Range</v>
      </c>
      <c r="L1510" s="13">
        <f>YEAR(TODAY())-' car_sales_data 1'!$F1510</f>
        <v>14</v>
      </c>
    </row>
    <row r="1511" ht="15.75" customHeight="1">
      <c r="A1511" s="16">
        <v>44761.0</v>
      </c>
      <c r="B1511" s="13" t="s">
        <v>3001</v>
      </c>
      <c r="C1511" s="13" t="s">
        <v>3002</v>
      </c>
      <c r="D1511" s="13" t="s">
        <v>8</v>
      </c>
      <c r="E1511" s="13" t="s">
        <v>54</v>
      </c>
      <c r="F1511" s="13">
        <v>2010.0</v>
      </c>
      <c r="G1511" s="13">
        <v>14840.0</v>
      </c>
      <c r="H1511" s="13">
        <v>2008.26</v>
      </c>
      <c r="I1511" s="13">
        <f>' car_sales_data 1'!$G1511*0.2</f>
        <v>2968</v>
      </c>
      <c r="J1511" s="13" t="str">
        <f>TEXT(' car_sales_data 1'!$A1511,"mmmm")</f>
        <v>July</v>
      </c>
      <c r="K1511" s="13" t="str">
        <f>IF(' car_sales_data 1'!$G1511&gt;40000,"Premium",
 IF(' car_sales_data 1'!$G1511&gt;=20000,"Mid Range","Budget"))</f>
        <v>Budget</v>
      </c>
      <c r="L1511" s="13">
        <f>YEAR(TODAY())-' car_sales_data 1'!$F1511</f>
        <v>15</v>
      </c>
    </row>
    <row r="1512" ht="15.75" customHeight="1">
      <c r="A1512" s="16">
        <v>44870.0</v>
      </c>
      <c r="B1512" s="13" t="s">
        <v>3003</v>
      </c>
      <c r="C1512" s="13" t="s">
        <v>3004</v>
      </c>
      <c r="D1512" s="13" t="s">
        <v>10</v>
      </c>
      <c r="E1512" s="13" t="s">
        <v>57</v>
      </c>
      <c r="F1512" s="13">
        <v>2020.0</v>
      </c>
      <c r="G1512" s="13">
        <v>13438.0</v>
      </c>
      <c r="H1512" s="13">
        <v>1441.32</v>
      </c>
      <c r="I1512" s="13">
        <f>' car_sales_data 1'!$G1512*0.2</f>
        <v>2687.6</v>
      </c>
      <c r="J1512" s="13" t="str">
        <f>TEXT(' car_sales_data 1'!$A1512,"mmmm")</f>
        <v>November</v>
      </c>
      <c r="K1512" s="13" t="str">
        <f>IF(' car_sales_data 1'!$G1512&gt;40000,"Premium",
 IF(' car_sales_data 1'!$G1512&gt;=20000,"Mid Range","Budget"))</f>
        <v>Budget</v>
      </c>
      <c r="L1512" s="13">
        <f>YEAR(TODAY())-' car_sales_data 1'!$F1512</f>
        <v>5</v>
      </c>
    </row>
    <row r="1513" ht="15.75" customHeight="1">
      <c r="A1513" s="16">
        <v>44985.0</v>
      </c>
      <c r="B1513" s="13" t="s">
        <v>3005</v>
      </c>
      <c r="C1513" s="13" t="s">
        <v>482</v>
      </c>
      <c r="D1513" s="13" t="s">
        <v>12</v>
      </c>
      <c r="E1513" s="13" t="s">
        <v>57</v>
      </c>
      <c r="F1513" s="13">
        <v>2010.0</v>
      </c>
      <c r="G1513" s="13">
        <v>49638.0</v>
      </c>
      <c r="H1513" s="13">
        <v>7311.31</v>
      </c>
      <c r="I1513" s="13">
        <f>' car_sales_data 1'!$G1513*0.2</f>
        <v>9927.6</v>
      </c>
      <c r="J1513" s="13" t="str">
        <f>TEXT(' car_sales_data 1'!$A1513,"mmmm")</f>
        <v>February</v>
      </c>
      <c r="K1513" s="13" t="str">
        <f>IF(' car_sales_data 1'!$G1513&gt;40000,"Premium",
 IF(' car_sales_data 1'!$G1513&gt;=20000,"Mid Range","Budget"))</f>
        <v>Premium</v>
      </c>
      <c r="L1513" s="13">
        <f>YEAR(TODAY())-' car_sales_data 1'!$F1513</f>
        <v>15</v>
      </c>
    </row>
    <row r="1514" ht="15.75" customHeight="1">
      <c r="A1514" s="16">
        <v>44864.0</v>
      </c>
      <c r="B1514" s="13" t="s">
        <v>3006</v>
      </c>
      <c r="C1514" s="13" t="s">
        <v>3007</v>
      </c>
      <c r="D1514" s="13" t="s">
        <v>14</v>
      </c>
      <c r="E1514" s="13" t="s">
        <v>62</v>
      </c>
      <c r="F1514" s="13">
        <v>2020.0</v>
      </c>
      <c r="G1514" s="13">
        <v>19572.0</v>
      </c>
      <c r="H1514" s="13">
        <v>1578.09</v>
      </c>
      <c r="I1514" s="13">
        <f>' car_sales_data 1'!$G1514*0.2</f>
        <v>3914.4</v>
      </c>
      <c r="J1514" s="13" t="str">
        <f>TEXT(' car_sales_data 1'!$A1514,"mmmm")</f>
        <v>October</v>
      </c>
      <c r="K1514" s="13" t="str">
        <f>IF(' car_sales_data 1'!$G1514&gt;40000,"Premium",
 IF(' car_sales_data 1'!$G1514&gt;=20000,"Mid Range","Budget"))</f>
        <v>Budget</v>
      </c>
      <c r="L1514" s="13">
        <f>YEAR(TODAY())-' car_sales_data 1'!$F1514</f>
        <v>5</v>
      </c>
    </row>
    <row r="1515" ht="15.75" customHeight="1">
      <c r="A1515" s="16">
        <v>45042.0</v>
      </c>
      <c r="B1515" s="13" t="s">
        <v>3008</v>
      </c>
      <c r="C1515" s="13" t="s">
        <v>238</v>
      </c>
      <c r="D1515" s="13" t="s">
        <v>12</v>
      </c>
      <c r="E1515" s="13" t="s">
        <v>62</v>
      </c>
      <c r="F1515" s="13">
        <v>2017.0</v>
      </c>
      <c r="G1515" s="13">
        <v>23175.0</v>
      </c>
      <c r="H1515" s="13">
        <v>2569.55</v>
      </c>
      <c r="I1515" s="13">
        <f>' car_sales_data 1'!$G1515*0.2</f>
        <v>4635</v>
      </c>
      <c r="J1515" s="13" t="str">
        <f>TEXT(' car_sales_data 1'!$A1515,"mmmm")</f>
        <v>April</v>
      </c>
      <c r="K1515" s="13" t="str">
        <f>IF(' car_sales_data 1'!$G1515&gt;40000,"Premium",
 IF(' car_sales_data 1'!$G1515&gt;=20000,"Mid Range","Budget"))</f>
        <v>Mid Range</v>
      </c>
      <c r="L1515" s="13">
        <f>YEAR(TODAY())-' car_sales_data 1'!$F1515</f>
        <v>8</v>
      </c>
    </row>
    <row r="1516" ht="15.75" customHeight="1">
      <c r="A1516" s="16">
        <v>44915.0</v>
      </c>
      <c r="B1516" s="13" t="s">
        <v>3009</v>
      </c>
      <c r="C1516" s="13" t="s">
        <v>3010</v>
      </c>
      <c r="D1516" s="13" t="s">
        <v>12</v>
      </c>
      <c r="E1516" s="13" t="s">
        <v>57</v>
      </c>
      <c r="F1516" s="13">
        <v>2017.0</v>
      </c>
      <c r="G1516" s="13">
        <v>34109.0</v>
      </c>
      <c r="H1516" s="13">
        <v>4653.05</v>
      </c>
      <c r="I1516" s="13">
        <f>' car_sales_data 1'!$G1516*0.2</f>
        <v>6821.8</v>
      </c>
      <c r="J1516" s="13" t="str">
        <f>TEXT(' car_sales_data 1'!$A1516,"mmmm")</f>
        <v>December</v>
      </c>
      <c r="K1516" s="13" t="str">
        <f>IF(' car_sales_data 1'!$G1516&gt;40000,"Premium",
 IF(' car_sales_data 1'!$G1516&gt;=20000,"Mid Range","Budget"))</f>
        <v>Mid Range</v>
      </c>
      <c r="L1516" s="13">
        <f>YEAR(TODAY())-' car_sales_data 1'!$F1516</f>
        <v>8</v>
      </c>
    </row>
    <row r="1517" ht="15.75" customHeight="1">
      <c r="A1517" s="16">
        <v>44771.0</v>
      </c>
      <c r="B1517" s="13" t="s">
        <v>3011</v>
      </c>
      <c r="C1517" s="13" t="s">
        <v>3012</v>
      </c>
      <c r="D1517" s="13" t="s">
        <v>14</v>
      </c>
      <c r="E1517" s="13" t="s">
        <v>54</v>
      </c>
      <c r="F1517" s="13">
        <v>2018.0</v>
      </c>
      <c r="G1517" s="13">
        <v>15272.0</v>
      </c>
      <c r="H1517" s="13">
        <v>951.32</v>
      </c>
      <c r="I1517" s="13">
        <f>' car_sales_data 1'!$G1517*0.2</f>
        <v>3054.4</v>
      </c>
      <c r="J1517" s="13" t="str">
        <f>TEXT(' car_sales_data 1'!$A1517,"mmmm")</f>
        <v>July</v>
      </c>
      <c r="K1517" s="13" t="str">
        <f>IF(' car_sales_data 1'!$G1517&gt;40000,"Premium",
 IF(' car_sales_data 1'!$G1517&gt;=20000,"Mid Range","Budget"))</f>
        <v>Budget</v>
      </c>
      <c r="L1517" s="13">
        <f>YEAR(TODAY())-' car_sales_data 1'!$F1517</f>
        <v>7</v>
      </c>
    </row>
    <row r="1518" ht="15.75" customHeight="1">
      <c r="A1518" s="16">
        <v>44922.0</v>
      </c>
      <c r="B1518" s="13" t="s">
        <v>3013</v>
      </c>
      <c r="C1518" s="13" t="s">
        <v>3014</v>
      </c>
      <c r="D1518" s="13" t="s">
        <v>6</v>
      </c>
      <c r="E1518" s="13" t="s">
        <v>70</v>
      </c>
      <c r="F1518" s="13">
        <v>2018.0</v>
      </c>
      <c r="G1518" s="13">
        <v>23348.0</v>
      </c>
      <c r="H1518" s="13">
        <v>1519.62</v>
      </c>
      <c r="I1518" s="13">
        <f>' car_sales_data 1'!$G1518*0.2</f>
        <v>4669.6</v>
      </c>
      <c r="J1518" s="13" t="str">
        <f>TEXT(' car_sales_data 1'!$A1518,"mmmm")</f>
        <v>December</v>
      </c>
      <c r="K1518" s="13" t="str">
        <f>IF(' car_sales_data 1'!$G1518&gt;40000,"Premium",
 IF(' car_sales_data 1'!$G1518&gt;=20000,"Mid Range","Budget"))</f>
        <v>Mid Range</v>
      </c>
      <c r="L1518" s="13">
        <f>YEAR(TODAY())-' car_sales_data 1'!$F1518</f>
        <v>7</v>
      </c>
    </row>
    <row r="1519" ht="15.75" customHeight="1">
      <c r="A1519" s="16">
        <v>44990.0</v>
      </c>
      <c r="B1519" s="13" t="s">
        <v>3015</v>
      </c>
      <c r="C1519" s="13" t="s">
        <v>3016</v>
      </c>
      <c r="D1519" s="13" t="s">
        <v>8</v>
      </c>
      <c r="E1519" s="13" t="s">
        <v>62</v>
      </c>
      <c r="F1519" s="13">
        <v>2016.0</v>
      </c>
      <c r="G1519" s="13">
        <v>25435.0</v>
      </c>
      <c r="H1519" s="13">
        <v>2185.47</v>
      </c>
      <c r="I1519" s="13">
        <f>' car_sales_data 1'!$G1519*0.2</f>
        <v>5087</v>
      </c>
      <c r="J1519" s="13" t="str">
        <f>TEXT(' car_sales_data 1'!$A1519,"mmmm")</f>
        <v>March</v>
      </c>
      <c r="K1519" s="13" t="str">
        <f>IF(' car_sales_data 1'!$G1519&gt;40000,"Premium",
 IF(' car_sales_data 1'!$G1519&gt;=20000,"Mid Range","Budget"))</f>
        <v>Mid Range</v>
      </c>
      <c r="L1519" s="13">
        <f>YEAR(TODAY())-' car_sales_data 1'!$F1519</f>
        <v>9</v>
      </c>
    </row>
    <row r="1520" ht="15.75" customHeight="1">
      <c r="A1520" s="16">
        <v>44697.0</v>
      </c>
      <c r="B1520" s="13" t="s">
        <v>3017</v>
      </c>
      <c r="C1520" s="13" t="s">
        <v>3018</v>
      </c>
      <c r="D1520" s="13" t="s">
        <v>14</v>
      </c>
      <c r="E1520" s="13" t="s">
        <v>54</v>
      </c>
      <c r="F1520" s="13">
        <v>2018.0</v>
      </c>
      <c r="G1520" s="13">
        <v>41360.0</v>
      </c>
      <c r="H1520" s="13">
        <v>4083.53</v>
      </c>
      <c r="I1520" s="13">
        <f>' car_sales_data 1'!$G1520*0.2</f>
        <v>8272</v>
      </c>
      <c r="J1520" s="13" t="str">
        <f>TEXT(' car_sales_data 1'!$A1520,"mmmm")</f>
        <v>May</v>
      </c>
      <c r="K1520" s="13" t="str">
        <f>IF(' car_sales_data 1'!$G1520&gt;40000,"Premium",
 IF(' car_sales_data 1'!$G1520&gt;=20000,"Mid Range","Budget"))</f>
        <v>Premium</v>
      </c>
      <c r="L1520" s="13">
        <f>YEAR(TODAY())-' car_sales_data 1'!$F1520</f>
        <v>7</v>
      </c>
    </row>
    <row r="1521" ht="15.75" customHeight="1">
      <c r="A1521" s="16">
        <v>44878.0</v>
      </c>
      <c r="B1521" s="13" t="s">
        <v>3019</v>
      </c>
      <c r="C1521" s="13" t="s">
        <v>718</v>
      </c>
      <c r="D1521" s="13" t="s">
        <v>8</v>
      </c>
      <c r="E1521" s="13" t="s">
        <v>54</v>
      </c>
      <c r="F1521" s="13">
        <v>2010.0</v>
      </c>
      <c r="G1521" s="13">
        <v>39527.0</v>
      </c>
      <c r="H1521" s="13">
        <v>5443.63</v>
      </c>
      <c r="I1521" s="13">
        <f>' car_sales_data 1'!$G1521*0.2</f>
        <v>7905.4</v>
      </c>
      <c r="J1521" s="13" t="str">
        <f>TEXT(' car_sales_data 1'!$A1521,"mmmm")</f>
        <v>November</v>
      </c>
      <c r="K1521" s="13" t="str">
        <f>IF(' car_sales_data 1'!$G1521&gt;40000,"Premium",
 IF(' car_sales_data 1'!$G1521&gt;=20000,"Mid Range","Budget"))</f>
        <v>Mid Range</v>
      </c>
      <c r="L1521" s="13">
        <f>YEAR(TODAY())-' car_sales_data 1'!$F1521</f>
        <v>15</v>
      </c>
    </row>
    <row r="1522" ht="15.75" customHeight="1">
      <c r="A1522" s="16">
        <v>45011.0</v>
      </c>
      <c r="B1522" s="13" t="s">
        <v>3020</v>
      </c>
      <c r="C1522" s="13" t="s">
        <v>788</v>
      </c>
      <c r="D1522" s="13" t="s">
        <v>8</v>
      </c>
      <c r="E1522" s="13" t="s">
        <v>70</v>
      </c>
      <c r="F1522" s="13">
        <v>2018.0</v>
      </c>
      <c r="G1522" s="13">
        <v>10702.0</v>
      </c>
      <c r="H1522" s="13">
        <v>880.21</v>
      </c>
      <c r="I1522" s="13">
        <f>' car_sales_data 1'!$G1522*0.2</f>
        <v>2140.4</v>
      </c>
      <c r="J1522" s="13" t="str">
        <f>TEXT(' car_sales_data 1'!$A1522,"mmmm")</f>
        <v>March</v>
      </c>
      <c r="K1522" s="13" t="str">
        <f>IF(' car_sales_data 1'!$G1522&gt;40000,"Premium",
 IF(' car_sales_data 1'!$G1522&gt;=20000,"Mid Range","Budget"))</f>
        <v>Budget</v>
      </c>
      <c r="L1522" s="13">
        <f>YEAR(TODAY())-' car_sales_data 1'!$F1522</f>
        <v>7</v>
      </c>
    </row>
    <row r="1523" ht="15.75" customHeight="1">
      <c r="A1523" s="16">
        <v>45005.0</v>
      </c>
      <c r="B1523" s="13" t="s">
        <v>3021</v>
      </c>
      <c r="C1523" s="13" t="s">
        <v>3022</v>
      </c>
      <c r="D1523" s="13" t="s">
        <v>14</v>
      </c>
      <c r="E1523" s="13" t="s">
        <v>51</v>
      </c>
      <c r="F1523" s="13">
        <v>2010.0</v>
      </c>
      <c r="G1523" s="13">
        <v>28498.0</v>
      </c>
      <c r="H1523" s="13">
        <v>2663.08</v>
      </c>
      <c r="I1523" s="13">
        <f>' car_sales_data 1'!$G1523*0.2</f>
        <v>5699.6</v>
      </c>
      <c r="J1523" s="13" t="str">
        <f>TEXT(' car_sales_data 1'!$A1523,"mmmm")</f>
        <v>March</v>
      </c>
      <c r="K1523" s="13" t="str">
        <f>IF(' car_sales_data 1'!$G1523&gt;40000,"Premium",
 IF(' car_sales_data 1'!$G1523&gt;=20000,"Mid Range","Budget"))</f>
        <v>Mid Range</v>
      </c>
      <c r="L1523" s="13">
        <f>YEAR(TODAY())-' car_sales_data 1'!$F1523</f>
        <v>15</v>
      </c>
    </row>
    <row r="1524" ht="15.75" customHeight="1">
      <c r="A1524" s="16">
        <v>44736.0</v>
      </c>
      <c r="B1524" s="13" t="s">
        <v>3023</v>
      </c>
      <c r="C1524" s="13" t="s">
        <v>3024</v>
      </c>
      <c r="D1524" s="13" t="s">
        <v>14</v>
      </c>
      <c r="E1524" s="13" t="s">
        <v>62</v>
      </c>
      <c r="F1524" s="13">
        <v>2013.0</v>
      </c>
      <c r="G1524" s="13">
        <v>23377.0</v>
      </c>
      <c r="H1524" s="13">
        <v>2130.26</v>
      </c>
      <c r="I1524" s="13">
        <f>' car_sales_data 1'!$G1524*0.2</f>
        <v>4675.4</v>
      </c>
      <c r="J1524" s="13" t="str">
        <f>TEXT(' car_sales_data 1'!$A1524,"mmmm")</f>
        <v>June</v>
      </c>
      <c r="K1524" s="13" t="str">
        <f>IF(' car_sales_data 1'!$G1524&gt;40000,"Premium",
 IF(' car_sales_data 1'!$G1524&gt;=20000,"Mid Range","Budget"))</f>
        <v>Mid Range</v>
      </c>
      <c r="L1524" s="13">
        <f>YEAR(TODAY())-' car_sales_data 1'!$F1524</f>
        <v>12</v>
      </c>
    </row>
    <row r="1525" ht="15.75" customHeight="1">
      <c r="A1525" s="16">
        <v>44939.0</v>
      </c>
      <c r="B1525" s="13" t="s">
        <v>3025</v>
      </c>
      <c r="C1525" s="13" t="s">
        <v>3026</v>
      </c>
      <c r="D1525" s="13" t="s">
        <v>6</v>
      </c>
      <c r="E1525" s="13" t="s">
        <v>54</v>
      </c>
      <c r="F1525" s="13">
        <v>2016.0</v>
      </c>
      <c r="G1525" s="13">
        <v>11275.0</v>
      </c>
      <c r="H1525" s="13">
        <v>1062.2</v>
      </c>
      <c r="I1525" s="13">
        <f>' car_sales_data 1'!$G1525*0.2</f>
        <v>2255</v>
      </c>
      <c r="J1525" s="13" t="str">
        <f>TEXT(' car_sales_data 1'!$A1525,"mmmm")</f>
        <v>January</v>
      </c>
      <c r="K1525" s="13" t="str">
        <f>IF(' car_sales_data 1'!$G1525&gt;40000,"Premium",
 IF(' car_sales_data 1'!$G1525&gt;=20000,"Mid Range","Budget"))</f>
        <v>Budget</v>
      </c>
      <c r="L1525" s="13">
        <f>YEAR(TODAY())-' car_sales_data 1'!$F1525</f>
        <v>9</v>
      </c>
    </row>
    <row r="1526" ht="15.75" customHeight="1">
      <c r="A1526" s="16">
        <v>45000.0</v>
      </c>
      <c r="B1526" s="13" t="s">
        <v>3027</v>
      </c>
      <c r="C1526" s="13" t="s">
        <v>3028</v>
      </c>
      <c r="D1526" s="13" t="s">
        <v>8</v>
      </c>
      <c r="E1526" s="13" t="s">
        <v>54</v>
      </c>
      <c r="F1526" s="13">
        <v>2011.0</v>
      </c>
      <c r="G1526" s="13">
        <v>20133.0</v>
      </c>
      <c r="H1526" s="13">
        <v>1040.4</v>
      </c>
      <c r="I1526" s="13">
        <f>' car_sales_data 1'!$G1526*0.2</f>
        <v>4026.6</v>
      </c>
      <c r="J1526" s="13" t="str">
        <f>TEXT(' car_sales_data 1'!$A1526,"mmmm")</f>
        <v>March</v>
      </c>
      <c r="K1526" s="13" t="str">
        <f>IF(' car_sales_data 1'!$G1526&gt;40000,"Premium",
 IF(' car_sales_data 1'!$G1526&gt;=20000,"Mid Range","Budget"))</f>
        <v>Mid Range</v>
      </c>
      <c r="L1526" s="13">
        <f>YEAR(TODAY())-' car_sales_data 1'!$F1526</f>
        <v>14</v>
      </c>
    </row>
    <row r="1527" ht="15.75" customHeight="1">
      <c r="A1527" s="16">
        <v>45035.0</v>
      </c>
      <c r="B1527" s="13" t="s">
        <v>3029</v>
      </c>
      <c r="C1527" s="13" t="s">
        <v>3030</v>
      </c>
      <c r="D1527" s="13" t="s">
        <v>12</v>
      </c>
      <c r="E1527" s="13" t="s">
        <v>57</v>
      </c>
      <c r="F1527" s="13">
        <v>2017.0</v>
      </c>
      <c r="G1527" s="13">
        <v>45966.0</v>
      </c>
      <c r="H1527" s="13">
        <v>3341.38</v>
      </c>
      <c r="I1527" s="13">
        <f>' car_sales_data 1'!$G1527*0.2</f>
        <v>9193.2</v>
      </c>
      <c r="J1527" s="13" t="str">
        <f>TEXT(' car_sales_data 1'!$A1527,"mmmm")</f>
        <v>April</v>
      </c>
      <c r="K1527" s="13" t="str">
        <f>IF(' car_sales_data 1'!$G1527&gt;40000,"Premium",
 IF(' car_sales_data 1'!$G1527&gt;=20000,"Mid Range","Budget"))</f>
        <v>Premium</v>
      </c>
      <c r="L1527" s="13">
        <f>YEAR(TODAY())-' car_sales_data 1'!$F1527</f>
        <v>8</v>
      </c>
    </row>
    <row r="1528" ht="15.75" customHeight="1">
      <c r="A1528" s="16">
        <v>44884.0</v>
      </c>
      <c r="B1528" s="13" t="s">
        <v>3031</v>
      </c>
      <c r="C1528" s="13" t="s">
        <v>3032</v>
      </c>
      <c r="D1528" s="13" t="s">
        <v>10</v>
      </c>
      <c r="E1528" s="13" t="s">
        <v>70</v>
      </c>
      <c r="F1528" s="13">
        <v>2020.0</v>
      </c>
      <c r="G1528" s="13">
        <v>26683.0</v>
      </c>
      <c r="H1528" s="13">
        <v>2303.86</v>
      </c>
      <c r="I1528" s="13">
        <f>' car_sales_data 1'!$G1528*0.2</f>
        <v>5336.6</v>
      </c>
      <c r="J1528" s="13" t="str">
        <f>TEXT(' car_sales_data 1'!$A1528,"mmmm")</f>
        <v>November</v>
      </c>
      <c r="K1528" s="13" t="str">
        <f>IF(' car_sales_data 1'!$G1528&gt;40000,"Premium",
 IF(' car_sales_data 1'!$G1528&gt;=20000,"Mid Range","Budget"))</f>
        <v>Mid Range</v>
      </c>
      <c r="L1528" s="13">
        <f>YEAR(TODAY())-' car_sales_data 1'!$F1528</f>
        <v>5</v>
      </c>
    </row>
    <row r="1529" ht="15.75" customHeight="1">
      <c r="A1529" s="16">
        <v>44813.0</v>
      </c>
      <c r="B1529" s="13" t="s">
        <v>3033</v>
      </c>
      <c r="C1529" s="13" t="s">
        <v>3034</v>
      </c>
      <c r="D1529" s="13" t="s">
        <v>14</v>
      </c>
      <c r="E1529" s="13" t="s">
        <v>57</v>
      </c>
      <c r="F1529" s="13">
        <v>2012.0</v>
      </c>
      <c r="G1529" s="13">
        <v>15862.0</v>
      </c>
      <c r="H1529" s="13">
        <v>1823.76</v>
      </c>
      <c r="I1529" s="13">
        <f>' car_sales_data 1'!$G1529*0.2</f>
        <v>3172.4</v>
      </c>
      <c r="J1529" s="13" t="str">
        <f>TEXT(' car_sales_data 1'!$A1529,"mmmm")</f>
        <v>September</v>
      </c>
      <c r="K1529" s="13" t="str">
        <f>IF(' car_sales_data 1'!$G1529&gt;40000,"Premium",
 IF(' car_sales_data 1'!$G1529&gt;=20000,"Mid Range","Budget"))</f>
        <v>Budget</v>
      </c>
      <c r="L1529" s="13">
        <f>YEAR(TODAY())-' car_sales_data 1'!$F1529</f>
        <v>13</v>
      </c>
    </row>
    <row r="1530" ht="15.75" customHeight="1">
      <c r="A1530" s="16">
        <v>44793.0</v>
      </c>
      <c r="B1530" s="13" t="s">
        <v>3035</v>
      </c>
      <c r="C1530" s="13" t="s">
        <v>3036</v>
      </c>
      <c r="D1530" s="13" t="s">
        <v>6</v>
      </c>
      <c r="E1530" s="13" t="s">
        <v>57</v>
      </c>
      <c r="F1530" s="13">
        <v>2014.0</v>
      </c>
      <c r="G1530" s="13">
        <v>19211.0</v>
      </c>
      <c r="H1530" s="13">
        <v>1784.44</v>
      </c>
      <c r="I1530" s="13">
        <f>' car_sales_data 1'!$G1530*0.2</f>
        <v>3842.2</v>
      </c>
      <c r="J1530" s="13" t="str">
        <f>TEXT(' car_sales_data 1'!$A1530,"mmmm")</f>
        <v>August</v>
      </c>
      <c r="K1530" s="13" t="str">
        <f>IF(' car_sales_data 1'!$G1530&gt;40000,"Premium",
 IF(' car_sales_data 1'!$G1530&gt;=20000,"Mid Range","Budget"))</f>
        <v>Budget</v>
      </c>
      <c r="L1530" s="13">
        <f>YEAR(TODAY())-' car_sales_data 1'!$F1530</f>
        <v>11</v>
      </c>
    </row>
    <row r="1531" ht="15.75" customHeight="1">
      <c r="A1531" s="16">
        <v>45031.0</v>
      </c>
      <c r="B1531" s="13" t="s">
        <v>3037</v>
      </c>
      <c r="C1531" s="13" t="s">
        <v>3038</v>
      </c>
      <c r="D1531" s="13" t="s">
        <v>10</v>
      </c>
      <c r="E1531" s="13" t="s">
        <v>70</v>
      </c>
      <c r="F1531" s="13">
        <v>2016.0</v>
      </c>
      <c r="G1531" s="13">
        <v>17984.0</v>
      </c>
      <c r="H1531" s="13">
        <v>2238.44</v>
      </c>
      <c r="I1531" s="13">
        <f>' car_sales_data 1'!$G1531*0.2</f>
        <v>3596.8</v>
      </c>
      <c r="J1531" s="13" t="str">
        <f>TEXT(' car_sales_data 1'!$A1531,"mmmm")</f>
        <v>April</v>
      </c>
      <c r="K1531" s="13" t="str">
        <f>IF(' car_sales_data 1'!$G1531&gt;40000,"Premium",
 IF(' car_sales_data 1'!$G1531&gt;=20000,"Mid Range","Budget"))</f>
        <v>Budget</v>
      </c>
      <c r="L1531" s="13">
        <f>YEAR(TODAY())-' car_sales_data 1'!$F1531</f>
        <v>9</v>
      </c>
    </row>
    <row r="1532" ht="15.75" customHeight="1">
      <c r="A1532" s="16">
        <v>44942.0</v>
      </c>
      <c r="B1532" s="13" t="s">
        <v>3039</v>
      </c>
      <c r="C1532" s="13" t="s">
        <v>3040</v>
      </c>
      <c r="D1532" s="13" t="s">
        <v>14</v>
      </c>
      <c r="E1532" s="13" t="s">
        <v>70</v>
      </c>
      <c r="F1532" s="13">
        <v>2012.0</v>
      </c>
      <c r="G1532" s="13">
        <v>12097.0</v>
      </c>
      <c r="H1532" s="13">
        <v>1736.42</v>
      </c>
      <c r="I1532" s="13">
        <f>' car_sales_data 1'!$G1532*0.2</f>
        <v>2419.4</v>
      </c>
      <c r="J1532" s="13" t="str">
        <f>TEXT(' car_sales_data 1'!$A1532,"mmmm")</f>
        <v>January</v>
      </c>
      <c r="K1532" s="13" t="str">
        <f>IF(' car_sales_data 1'!$G1532&gt;40000,"Premium",
 IF(' car_sales_data 1'!$G1532&gt;=20000,"Mid Range","Budget"))</f>
        <v>Budget</v>
      </c>
      <c r="L1532" s="13">
        <f>YEAR(TODAY())-' car_sales_data 1'!$F1532</f>
        <v>13</v>
      </c>
    </row>
    <row r="1533" ht="15.75" customHeight="1">
      <c r="A1533" s="16">
        <v>44863.0</v>
      </c>
      <c r="B1533" s="13" t="s">
        <v>3041</v>
      </c>
      <c r="C1533" s="13" t="s">
        <v>3042</v>
      </c>
      <c r="D1533" s="13" t="s">
        <v>6</v>
      </c>
      <c r="E1533" s="13" t="s">
        <v>54</v>
      </c>
      <c r="F1533" s="13">
        <v>2017.0</v>
      </c>
      <c r="G1533" s="13">
        <v>35872.0</v>
      </c>
      <c r="H1533" s="13">
        <v>1979.53</v>
      </c>
      <c r="I1533" s="13">
        <f>' car_sales_data 1'!$G1533*0.2</f>
        <v>7174.4</v>
      </c>
      <c r="J1533" s="13" t="str">
        <f>TEXT(' car_sales_data 1'!$A1533,"mmmm")</f>
        <v>October</v>
      </c>
      <c r="K1533" s="13" t="str">
        <f>IF(' car_sales_data 1'!$G1533&gt;40000,"Premium",
 IF(' car_sales_data 1'!$G1533&gt;=20000,"Mid Range","Budget"))</f>
        <v>Mid Range</v>
      </c>
      <c r="L1533" s="13">
        <f>YEAR(TODAY())-' car_sales_data 1'!$F1533</f>
        <v>8</v>
      </c>
    </row>
    <row r="1534" ht="15.75" customHeight="1">
      <c r="A1534" s="16">
        <v>44897.0</v>
      </c>
      <c r="B1534" s="13" t="s">
        <v>3043</v>
      </c>
      <c r="C1534" s="13" t="s">
        <v>3044</v>
      </c>
      <c r="D1534" s="13" t="s">
        <v>6</v>
      </c>
      <c r="E1534" s="13" t="s">
        <v>57</v>
      </c>
      <c r="F1534" s="13">
        <v>2013.0</v>
      </c>
      <c r="G1534" s="13">
        <v>42559.0</v>
      </c>
      <c r="H1534" s="13">
        <v>3381.28</v>
      </c>
      <c r="I1534" s="13">
        <f>' car_sales_data 1'!$G1534*0.2</f>
        <v>8511.8</v>
      </c>
      <c r="J1534" s="13" t="str">
        <f>TEXT(' car_sales_data 1'!$A1534,"mmmm")</f>
        <v>December</v>
      </c>
      <c r="K1534" s="13" t="str">
        <f>IF(' car_sales_data 1'!$G1534&gt;40000,"Premium",
 IF(' car_sales_data 1'!$G1534&gt;=20000,"Mid Range","Budget"))</f>
        <v>Premium</v>
      </c>
      <c r="L1534" s="13">
        <f>YEAR(TODAY())-' car_sales_data 1'!$F1534</f>
        <v>12</v>
      </c>
    </row>
    <row r="1535" ht="15.75" customHeight="1">
      <c r="A1535" s="16">
        <v>44899.0</v>
      </c>
      <c r="B1535" s="13" t="s">
        <v>3045</v>
      </c>
      <c r="C1535" s="13" t="s">
        <v>3046</v>
      </c>
      <c r="D1535" s="13" t="s">
        <v>6</v>
      </c>
      <c r="E1535" s="13" t="s">
        <v>62</v>
      </c>
      <c r="F1535" s="13">
        <v>2019.0</v>
      </c>
      <c r="G1535" s="13">
        <v>43476.0</v>
      </c>
      <c r="H1535" s="13">
        <v>2916.97</v>
      </c>
      <c r="I1535" s="13">
        <f>' car_sales_data 1'!$G1535*0.2</f>
        <v>8695.2</v>
      </c>
      <c r="J1535" s="13" t="str">
        <f>TEXT(' car_sales_data 1'!$A1535,"mmmm")</f>
        <v>December</v>
      </c>
      <c r="K1535" s="13" t="str">
        <f>IF(' car_sales_data 1'!$G1535&gt;40000,"Premium",
 IF(' car_sales_data 1'!$G1535&gt;=20000,"Mid Range","Budget"))</f>
        <v>Premium</v>
      </c>
      <c r="L1535" s="13">
        <f>YEAR(TODAY())-' car_sales_data 1'!$F1535</f>
        <v>6</v>
      </c>
    </row>
    <row r="1536" ht="15.75" customHeight="1">
      <c r="A1536" s="16">
        <v>44924.0</v>
      </c>
      <c r="B1536" s="13" t="s">
        <v>466</v>
      </c>
      <c r="C1536" s="13" t="s">
        <v>3047</v>
      </c>
      <c r="D1536" s="13" t="s">
        <v>10</v>
      </c>
      <c r="E1536" s="13" t="s">
        <v>57</v>
      </c>
      <c r="F1536" s="13">
        <v>2011.0</v>
      </c>
      <c r="G1536" s="13">
        <v>48767.0</v>
      </c>
      <c r="H1536" s="13">
        <v>3601.58</v>
      </c>
      <c r="I1536" s="13">
        <f>' car_sales_data 1'!$G1536*0.2</f>
        <v>9753.4</v>
      </c>
      <c r="J1536" s="13" t="str">
        <f>TEXT(' car_sales_data 1'!$A1536,"mmmm")</f>
        <v>December</v>
      </c>
      <c r="K1536" s="13" t="str">
        <f>IF(' car_sales_data 1'!$G1536&gt;40000,"Premium",
 IF(' car_sales_data 1'!$G1536&gt;=20000,"Mid Range","Budget"))</f>
        <v>Premium</v>
      </c>
      <c r="L1536" s="13">
        <f>YEAR(TODAY())-' car_sales_data 1'!$F1536</f>
        <v>14</v>
      </c>
    </row>
    <row r="1537" ht="15.75" customHeight="1">
      <c r="A1537" s="16">
        <v>44751.0</v>
      </c>
      <c r="B1537" s="13" t="s">
        <v>1433</v>
      </c>
      <c r="C1537" s="13" t="s">
        <v>3048</v>
      </c>
      <c r="D1537" s="13" t="s">
        <v>10</v>
      </c>
      <c r="E1537" s="13" t="s">
        <v>51</v>
      </c>
      <c r="F1537" s="13">
        <v>2019.0</v>
      </c>
      <c r="G1537" s="13">
        <v>20234.0</v>
      </c>
      <c r="H1537" s="13">
        <v>2706.85</v>
      </c>
      <c r="I1537" s="13">
        <f>' car_sales_data 1'!$G1537*0.2</f>
        <v>4046.8</v>
      </c>
      <c r="J1537" s="13" t="str">
        <f>TEXT(' car_sales_data 1'!$A1537,"mmmm")</f>
        <v>July</v>
      </c>
      <c r="K1537" s="13" t="str">
        <f>IF(' car_sales_data 1'!$G1537&gt;40000,"Premium",
 IF(' car_sales_data 1'!$G1537&gt;=20000,"Mid Range","Budget"))</f>
        <v>Mid Range</v>
      </c>
      <c r="L1537" s="13">
        <f>YEAR(TODAY())-' car_sales_data 1'!$F1537</f>
        <v>6</v>
      </c>
    </row>
    <row r="1538" ht="15.75" customHeight="1">
      <c r="A1538" s="16">
        <v>44853.0</v>
      </c>
      <c r="B1538" s="13" t="s">
        <v>1610</v>
      </c>
      <c r="C1538" s="13" t="s">
        <v>3049</v>
      </c>
      <c r="D1538" s="13" t="s">
        <v>6</v>
      </c>
      <c r="E1538" s="13" t="s">
        <v>62</v>
      </c>
      <c r="F1538" s="13">
        <v>2020.0</v>
      </c>
      <c r="G1538" s="13">
        <v>16791.0</v>
      </c>
      <c r="H1538" s="13">
        <v>1587.91</v>
      </c>
      <c r="I1538" s="13">
        <f>' car_sales_data 1'!$G1538*0.2</f>
        <v>3358.2</v>
      </c>
      <c r="J1538" s="13" t="str">
        <f>TEXT(' car_sales_data 1'!$A1538,"mmmm")</f>
        <v>October</v>
      </c>
      <c r="K1538" s="13" t="str">
        <f>IF(' car_sales_data 1'!$G1538&gt;40000,"Premium",
 IF(' car_sales_data 1'!$G1538&gt;=20000,"Mid Range","Budget"))</f>
        <v>Budget</v>
      </c>
      <c r="L1538" s="13">
        <f>YEAR(TODAY())-' car_sales_data 1'!$F1538</f>
        <v>5</v>
      </c>
    </row>
    <row r="1539" ht="15.75" customHeight="1">
      <c r="A1539" s="16">
        <v>44752.0</v>
      </c>
      <c r="B1539" s="13" t="s">
        <v>3050</v>
      </c>
      <c r="C1539" s="13" t="s">
        <v>3051</v>
      </c>
      <c r="D1539" s="13" t="s">
        <v>14</v>
      </c>
      <c r="E1539" s="13" t="s">
        <v>54</v>
      </c>
      <c r="F1539" s="13">
        <v>2017.0</v>
      </c>
      <c r="G1539" s="13">
        <v>26711.0</v>
      </c>
      <c r="H1539" s="13">
        <v>3451.1</v>
      </c>
      <c r="I1539" s="13">
        <f>' car_sales_data 1'!$G1539*0.2</f>
        <v>5342.2</v>
      </c>
      <c r="J1539" s="13" t="str">
        <f>TEXT(' car_sales_data 1'!$A1539,"mmmm")</f>
        <v>July</v>
      </c>
      <c r="K1539" s="13" t="str">
        <f>IF(' car_sales_data 1'!$G1539&gt;40000,"Premium",
 IF(' car_sales_data 1'!$G1539&gt;=20000,"Mid Range","Budget"))</f>
        <v>Mid Range</v>
      </c>
      <c r="L1539" s="13">
        <f>YEAR(TODAY())-' car_sales_data 1'!$F1539</f>
        <v>8</v>
      </c>
    </row>
    <row r="1540" ht="15.75" customHeight="1">
      <c r="A1540" s="16">
        <v>44891.0</v>
      </c>
      <c r="B1540" s="13" t="s">
        <v>3052</v>
      </c>
      <c r="C1540" s="13" t="s">
        <v>3053</v>
      </c>
      <c r="D1540" s="13" t="s">
        <v>8</v>
      </c>
      <c r="E1540" s="13" t="s">
        <v>70</v>
      </c>
      <c r="F1540" s="13">
        <v>2014.0</v>
      </c>
      <c r="G1540" s="13">
        <v>18624.0</v>
      </c>
      <c r="H1540" s="13">
        <v>1045.46</v>
      </c>
      <c r="I1540" s="13">
        <f>' car_sales_data 1'!$G1540*0.2</f>
        <v>3724.8</v>
      </c>
      <c r="J1540" s="13" t="str">
        <f>TEXT(' car_sales_data 1'!$A1540,"mmmm")</f>
        <v>November</v>
      </c>
      <c r="K1540" s="13" t="str">
        <f>IF(' car_sales_data 1'!$G1540&gt;40000,"Premium",
 IF(' car_sales_data 1'!$G1540&gt;=20000,"Mid Range","Budget"))</f>
        <v>Budget</v>
      </c>
      <c r="L1540" s="13">
        <f>YEAR(TODAY())-' car_sales_data 1'!$F1540</f>
        <v>11</v>
      </c>
    </row>
    <row r="1541" ht="15.75" customHeight="1">
      <c r="A1541" s="16">
        <v>44845.0</v>
      </c>
      <c r="B1541" s="13" t="s">
        <v>3054</v>
      </c>
      <c r="C1541" s="13" t="s">
        <v>3055</v>
      </c>
      <c r="D1541" s="13" t="s">
        <v>12</v>
      </c>
      <c r="E1541" s="13" t="s">
        <v>62</v>
      </c>
      <c r="F1541" s="13">
        <v>2016.0</v>
      </c>
      <c r="G1541" s="13">
        <v>12585.0</v>
      </c>
      <c r="H1541" s="13">
        <v>930.13</v>
      </c>
      <c r="I1541" s="13">
        <f>' car_sales_data 1'!$G1541*0.2</f>
        <v>2517</v>
      </c>
      <c r="J1541" s="13" t="str">
        <f>TEXT(' car_sales_data 1'!$A1541,"mmmm")</f>
        <v>October</v>
      </c>
      <c r="K1541" s="13" t="str">
        <f>IF(' car_sales_data 1'!$G1541&gt;40000,"Premium",
 IF(' car_sales_data 1'!$G1541&gt;=20000,"Mid Range","Budget"))</f>
        <v>Budget</v>
      </c>
      <c r="L1541" s="13">
        <f>YEAR(TODAY())-' car_sales_data 1'!$F1541</f>
        <v>9</v>
      </c>
    </row>
    <row r="1542" ht="15.75" customHeight="1">
      <c r="A1542" s="16">
        <v>44689.0</v>
      </c>
      <c r="B1542" s="13" t="s">
        <v>3056</v>
      </c>
      <c r="C1542" s="13" t="s">
        <v>3057</v>
      </c>
      <c r="D1542" s="13" t="s">
        <v>14</v>
      </c>
      <c r="E1542" s="13" t="s">
        <v>51</v>
      </c>
      <c r="F1542" s="13">
        <v>2020.0</v>
      </c>
      <c r="G1542" s="13">
        <v>18894.0</v>
      </c>
      <c r="H1542" s="13">
        <v>1306.46</v>
      </c>
      <c r="I1542" s="13">
        <f>' car_sales_data 1'!$G1542*0.2</f>
        <v>3778.8</v>
      </c>
      <c r="J1542" s="13" t="str">
        <f>TEXT(' car_sales_data 1'!$A1542,"mmmm")</f>
        <v>May</v>
      </c>
      <c r="K1542" s="13" t="str">
        <f>IF(' car_sales_data 1'!$G1542&gt;40000,"Premium",
 IF(' car_sales_data 1'!$G1542&gt;=20000,"Mid Range","Budget"))</f>
        <v>Budget</v>
      </c>
      <c r="L1542" s="13">
        <f>YEAR(TODAY())-' car_sales_data 1'!$F1542</f>
        <v>5</v>
      </c>
    </row>
    <row r="1543" ht="15.75" customHeight="1">
      <c r="A1543" s="16">
        <v>44913.0</v>
      </c>
      <c r="B1543" s="13" t="s">
        <v>3058</v>
      </c>
      <c r="C1543" s="13" t="s">
        <v>3059</v>
      </c>
      <c r="D1543" s="13" t="s">
        <v>8</v>
      </c>
      <c r="E1543" s="13" t="s">
        <v>57</v>
      </c>
      <c r="F1543" s="13">
        <v>2019.0</v>
      </c>
      <c r="G1543" s="13">
        <v>28686.0</v>
      </c>
      <c r="H1543" s="13">
        <v>2476.07</v>
      </c>
      <c r="I1543" s="13">
        <f>' car_sales_data 1'!$G1543*0.2</f>
        <v>5737.2</v>
      </c>
      <c r="J1543" s="13" t="str">
        <f>TEXT(' car_sales_data 1'!$A1543,"mmmm")</f>
        <v>December</v>
      </c>
      <c r="K1543" s="13" t="str">
        <f>IF(' car_sales_data 1'!$G1543&gt;40000,"Premium",
 IF(' car_sales_data 1'!$G1543&gt;=20000,"Mid Range","Budget"))</f>
        <v>Mid Range</v>
      </c>
      <c r="L1543" s="13">
        <f>YEAR(TODAY())-' car_sales_data 1'!$F1543</f>
        <v>6</v>
      </c>
    </row>
    <row r="1544" ht="15.75" customHeight="1">
      <c r="A1544" s="16">
        <v>45035.0</v>
      </c>
      <c r="B1544" s="13" t="s">
        <v>3060</v>
      </c>
      <c r="C1544" s="13" t="s">
        <v>3061</v>
      </c>
      <c r="D1544" s="13" t="s">
        <v>14</v>
      </c>
      <c r="E1544" s="13" t="s">
        <v>51</v>
      </c>
      <c r="F1544" s="13">
        <v>2019.0</v>
      </c>
      <c r="G1544" s="13">
        <v>32775.0</v>
      </c>
      <c r="H1544" s="13">
        <v>4650.01</v>
      </c>
      <c r="I1544" s="13">
        <f>' car_sales_data 1'!$G1544*0.2</f>
        <v>6555</v>
      </c>
      <c r="J1544" s="13" t="str">
        <f>TEXT(' car_sales_data 1'!$A1544,"mmmm")</f>
        <v>April</v>
      </c>
      <c r="K1544" s="13" t="str">
        <f>IF(' car_sales_data 1'!$G1544&gt;40000,"Premium",
 IF(' car_sales_data 1'!$G1544&gt;=20000,"Mid Range","Budget"))</f>
        <v>Mid Range</v>
      </c>
      <c r="L1544" s="13">
        <f>YEAR(TODAY())-' car_sales_data 1'!$F1544</f>
        <v>6</v>
      </c>
    </row>
    <row r="1545" ht="15.75" customHeight="1">
      <c r="A1545" s="16">
        <v>44744.0</v>
      </c>
      <c r="B1545" s="13" t="s">
        <v>3062</v>
      </c>
      <c r="C1545" s="13" t="s">
        <v>3063</v>
      </c>
      <c r="D1545" s="13" t="s">
        <v>10</v>
      </c>
      <c r="E1545" s="13" t="s">
        <v>62</v>
      </c>
      <c r="F1545" s="13">
        <v>2014.0</v>
      </c>
      <c r="G1545" s="13">
        <v>20776.0</v>
      </c>
      <c r="H1545" s="13">
        <v>2119.57</v>
      </c>
      <c r="I1545" s="13">
        <f>' car_sales_data 1'!$G1545*0.2</f>
        <v>4155.2</v>
      </c>
      <c r="J1545" s="13" t="str">
        <f>TEXT(' car_sales_data 1'!$A1545,"mmmm")</f>
        <v>July</v>
      </c>
      <c r="K1545" s="13" t="str">
        <f>IF(' car_sales_data 1'!$G1545&gt;40000,"Premium",
 IF(' car_sales_data 1'!$G1545&gt;=20000,"Mid Range","Budget"))</f>
        <v>Mid Range</v>
      </c>
      <c r="L1545" s="13">
        <f>YEAR(TODAY())-' car_sales_data 1'!$F1545</f>
        <v>11</v>
      </c>
    </row>
    <row r="1546" ht="15.75" customHeight="1">
      <c r="A1546" s="16">
        <v>44976.0</v>
      </c>
      <c r="B1546" s="13" t="s">
        <v>3064</v>
      </c>
      <c r="C1546" s="13" t="s">
        <v>3065</v>
      </c>
      <c r="D1546" s="13" t="s">
        <v>8</v>
      </c>
      <c r="E1546" s="13" t="s">
        <v>51</v>
      </c>
      <c r="F1546" s="13">
        <v>2021.0</v>
      </c>
      <c r="G1546" s="13">
        <v>35662.0</v>
      </c>
      <c r="H1546" s="13">
        <v>2589.43</v>
      </c>
      <c r="I1546" s="13">
        <f>' car_sales_data 1'!$G1546*0.2</f>
        <v>7132.4</v>
      </c>
      <c r="J1546" s="13" t="str">
        <f>TEXT(' car_sales_data 1'!$A1546,"mmmm")</f>
        <v>February</v>
      </c>
      <c r="K1546" s="13" t="str">
        <f>IF(' car_sales_data 1'!$G1546&gt;40000,"Premium",
 IF(' car_sales_data 1'!$G1546&gt;=20000,"Mid Range","Budget"))</f>
        <v>Mid Range</v>
      </c>
      <c r="L1546" s="13">
        <f>YEAR(TODAY())-' car_sales_data 1'!$F1546</f>
        <v>4</v>
      </c>
    </row>
    <row r="1547" ht="15.75" customHeight="1">
      <c r="A1547" s="16">
        <v>44816.0</v>
      </c>
      <c r="B1547" s="13" t="s">
        <v>3066</v>
      </c>
      <c r="C1547" s="13" t="s">
        <v>3067</v>
      </c>
      <c r="D1547" s="13" t="s">
        <v>12</v>
      </c>
      <c r="E1547" s="13" t="s">
        <v>57</v>
      </c>
      <c r="F1547" s="13">
        <v>2021.0</v>
      </c>
      <c r="G1547" s="13">
        <v>28884.0</v>
      </c>
      <c r="H1547" s="13">
        <v>4088.54</v>
      </c>
      <c r="I1547" s="13">
        <f>' car_sales_data 1'!$G1547*0.2</f>
        <v>5776.8</v>
      </c>
      <c r="J1547" s="13" t="str">
        <f>TEXT(' car_sales_data 1'!$A1547,"mmmm")</f>
        <v>September</v>
      </c>
      <c r="K1547" s="13" t="str">
        <f>IF(' car_sales_data 1'!$G1547&gt;40000,"Premium",
 IF(' car_sales_data 1'!$G1547&gt;=20000,"Mid Range","Budget"))</f>
        <v>Mid Range</v>
      </c>
      <c r="L1547" s="13">
        <f>YEAR(TODAY())-' car_sales_data 1'!$F1547</f>
        <v>4</v>
      </c>
    </row>
    <row r="1548" ht="15.75" customHeight="1">
      <c r="A1548" s="16">
        <v>44854.0</v>
      </c>
      <c r="B1548" s="13" t="s">
        <v>3068</v>
      </c>
      <c r="C1548" s="13" t="s">
        <v>3069</v>
      </c>
      <c r="D1548" s="13" t="s">
        <v>8</v>
      </c>
      <c r="E1548" s="13" t="s">
        <v>62</v>
      </c>
      <c r="F1548" s="13">
        <v>2011.0</v>
      </c>
      <c r="G1548" s="13">
        <v>15433.0</v>
      </c>
      <c r="H1548" s="13">
        <v>1187.68</v>
      </c>
      <c r="I1548" s="13">
        <f>' car_sales_data 1'!$G1548*0.2</f>
        <v>3086.6</v>
      </c>
      <c r="J1548" s="13" t="str">
        <f>TEXT(' car_sales_data 1'!$A1548,"mmmm")</f>
        <v>October</v>
      </c>
      <c r="K1548" s="13" t="str">
        <f>IF(' car_sales_data 1'!$G1548&gt;40000,"Premium",
 IF(' car_sales_data 1'!$G1548&gt;=20000,"Mid Range","Budget"))</f>
        <v>Budget</v>
      </c>
      <c r="L1548" s="13">
        <f>YEAR(TODAY())-' car_sales_data 1'!$F1548</f>
        <v>14</v>
      </c>
    </row>
    <row r="1549" ht="15.75" customHeight="1">
      <c r="A1549" s="16">
        <v>44896.0</v>
      </c>
      <c r="B1549" s="13" t="s">
        <v>3070</v>
      </c>
      <c r="C1549" s="13" t="s">
        <v>3071</v>
      </c>
      <c r="D1549" s="13" t="s">
        <v>8</v>
      </c>
      <c r="E1549" s="13" t="s">
        <v>51</v>
      </c>
      <c r="F1549" s="13">
        <v>2018.0</v>
      </c>
      <c r="G1549" s="13">
        <v>27192.0</v>
      </c>
      <c r="H1549" s="13">
        <v>2025.18</v>
      </c>
      <c r="I1549" s="13">
        <f>' car_sales_data 1'!$G1549*0.2</f>
        <v>5438.4</v>
      </c>
      <c r="J1549" s="13" t="str">
        <f>TEXT(' car_sales_data 1'!$A1549,"mmmm")</f>
        <v>December</v>
      </c>
      <c r="K1549" s="13" t="str">
        <f>IF(' car_sales_data 1'!$G1549&gt;40000,"Premium",
 IF(' car_sales_data 1'!$G1549&gt;=20000,"Mid Range","Budget"))</f>
        <v>Mid Range</v>
      </c>
      <c r="L1549" s="13">
        <f>YEAR(TODAY())-' car_sales_data 1'!$F1549</f>
        <v>7</v>
      </c>
    </row>
    <row r="1550" ht="15.75" customHeight="1">
      <c r="A1550" s="16">
        <v>45040.0</v>
      </c>
      <c r="B1550" s="13" t="s">
        <v>3072</v>
      </c>
      <c r="C1550" s="13" t="s">
        <v>3073</v>
      </c>
      <c r="D1550" s="13" t="s">
        <v>14</v>
      </c>
      <c r="E1550" s="13" t="s">
        <v>57</v>
      </c>
      <c r="F1550" s="13">
        <v>2012.0</v>
      </c>
      <c r="G1550" s="13">
        <v>37914.0</v>
      </c>
      <c r="H1550" s="13">
        <v>4014.34</v>
      </c>
      <c r="I1550" s="13">
        <f>' car_sales_data 1'!$G1550*0.2</f>
        <v>7582.8</v>
      </c>
      <c r="J1550" s="13" t="str">
        <f>TEXT(' car_sales_data 1'!$A1550,"mmmm")</f>
        <v>April</v>
      </c>
      <c r="K1550" s="13" t="str">
        <f>IF(' car_sales_data 1'!$G1550&gt;40000,"Premium",
 IF(' car_sales_data 1'!$G1550&gt;=20000,"Mid Range","Budget"))</f>
        <v>Mid Range</v>
      </c>
      <c r="L1550" s="13">
        <f>YEAR(TODAY())-' car_sales_data 1'!$F1550</f>
        <v>13</v>
      </c>
    </row>
    <row r="1551" ht="15.75" customHeight="1">
      <c r="A1551" s="16">
        <v>44819.0</v>
      </c>
      <c r="B1551" s="13" t="s">
        <v>3074</v>
      </c>
      <c r="C1551" s="13" t="s">
        <v>3075</v>
      </c>
      <c r="D1551" s="13" t="s">
        <v>12</v>
      </c>
      <c r="E1551" s="13" t="s">
        <v>54</v>
      </c>
      <c r="F1551" s="13">
        <v>2018.0</v>
      </c>
      <c r="G1551" s="13">
        <v>16070.0</v>
      </c>
      <c r="H1551" s="13">
        <v>1708.27</v>
      </c>
      <c r="I1551" s="13">
        <f>' car_sales_data 1'!$G1551*0.2</f>
        <v>3214</v>
      </c>
      <c r="J1551" s="13" t="str">
        <f>TEXT(' car_sales_data 1'!$A1551,"mmmm")</f>
        <v>September</v>
      </c>
      <c r="K1551" s="13" t="str">
        <f>IF(' car_sales_data 1'!$G1551&gt;40000,"Premium",
 IF(' car_sales_data 1'!$G1551&gt;=20000,"Mid Range","Budget"))</f>
        <v>Budget</v>
      </c>
      <c r="L1551" s="13">
        <f>YEAR(TODAY())-' car_sales_data 1'!$F1551</f>
        <v>7</v>
      </c>
    </row>
    <row r="1552" ht="15.75" customHeight="1">
      <c r="A1552" s="16">
        <v>44955.0</v>
      </c>
      <c r="B1552" s="13" t="s">
        <v>3076</v>
      </c>
      <c r="C1552" s="13" t="s">
        <v>3077</v>
      </c>
      <c r="D1552" s="13" t="s">
        <v>12</v>
      </c>
      <c r="E1552" s="13" t="s">
        <v>51</v>
      </c>
      <c r="F1552" s="13">
        <v>2016.0</v>
      </c>
      <c r="G1552" s="13">
        <v>36208.0</v>
      </c>
      <c r="H1552" s="13">
        <v>5143.2</v>
      </c>
      <c r="I1552" s="13">
        <f>' car_sales_data 1'!$G1552*0.2</f>
        <v>7241.6</v>
      </c>
      <c r="J1552" s="13" t="str">
        <f>TEXT(' car_sales_data 1'!$A1552,"mmmm")</f>
        <v>January</v>
      </c>
      <c r="K1552" s="13" t="str">
        <f>IF(' car_sales_data 1'!$G1552&gt;40000,"Premium",
 IF(' car_sales_data 1'!$G1552&gt;=20000,"Mid Range","Budget"))</f>
        <v>Mid Range</v>
      </c>
      <c r="L1552" s="13">
        <f>YEAR(TODAY())-' car_sales_data 1'!$F1552</f>
        <v>9</v>
      </c>
    </row>
    <row r="1553" ht="15.75" customHeight="1">
      <c r="A1553" s="16">
        <v>44723.0</v>
      </c>
      <c r="B1553" s="13" t="s">
        <v>3078</v>
      </c>
      <c r="C1553" s="13" t="s">
        <v>3079</v>
      </c>
      <c r="D1553" s="13" t="s">
        <v>10</v>
      </c>
      <c r="E1553" s="13" t="s">
        <v>70</v>
      </c>
      <c r="F1553" s="13">
        <v>2013.0</v>
      </c>
      <c r="G1553" s="13">
        <v>35586.0</v>
      </c>
      <c r="H1553" s="13">
        <v>2271.69</v>
      </c>
      <c r="I1553" s="13">
        <f>' car_sales_data 1'!$G1553*0.2</f>
        <v>7117.2</v>
      </c>
      <c r="J1553" s="13" t="str">
        <f>TEXT(' car_sales_data 1'!$A1553,"mmmm")</f>
        <v>June</v>
      </c>
      <c r="K1553" s="13" t="str">
        <f>IF(' car_sales_data 1'!$G1553&gt;40000,"Premium",
 IF(' car_sales_data 1'!$G1553&gt;=20000,"Mid Range","Budget"))</f>
        <v>Mid Range</v>
      </c>
      <c r="L1553" s="13">
        <f>YEAR(TODAY())-' car_sales_data 1'!$F1553</f>
        <v>12</v>
      </c>
    </row>
    <row r="1554" ht="15.75" customHeight="1">
      <c r="A1554" s="16">
        <v>44775.0</v>
      </c>
      <c r="B1554" s="13" t="s">
        <v>3080</v>
      </c>
      <c r="C1554" s="13" t="s">
        <v>3081</v>
      </c>
      <c r="D1554" s="13" t="s">
        <v>14</v>
      </c>
      <c r="E1554" s="13" t="s">
        <v>51</v>
      </c>
      <c r="F1554" s="13">
        <v>2022.0</v>
      </c>
      <c r="G1554" s="13">
        <v>31426.0</v>
      </c>
      <c r="H1554" s="13">
        <v>4701.78</v>
      </c>
      <c r="I1554" s="13">
        <f>' car_sales_data 1'!$G1554*0.2</f>
        <v>6285.2</v>
      </c>
      <c r="J1554" s="13" t="str">
        <f>TEXT(' car_sales_data 1'!$A1554,"mmmm")</f>
        <v>August</v>
      </c>
      <c r="K1554" s="13" t="str">
        <f>IF(' car_sales_data 1'!$G1554&gt;40000,"Premium",
 IF(' car_sales_data 1'!$G1554&gt;=20000,"Mid Range","Budget"))</f>
        <v>Mid Range</v>
      </c>
      <c r="L1554" s="13">
        <f>YEAR(TODAY())-' car_sales_data 1'!$F1554</f>
        <v>3</v>
      </c>
    </row>
    <row r="1555" ht="15.75" customHeight="1">
      <c r="A1555" s="16">
        <v>44915.0</v>
      </c>
      <c r="B1555" s="13" t="s">
        <v>3082</v>
      </c>
      <c r="C1555" s="13" t="s">
        <v>3083</v>
      </c>
      <c r="D1555" s="13" t="s">
        <v>10</v>
      </c>
      <c r="E1555" s="13" t="s">
        <v>51</v>
      </c>
      <c r="F1555" s="13">
        <v>2019.0</v>
      </c>
      <c r="G1555" s="13">
        <v>29073.0</v>
      </c>
      <c r="H1555" s="13">
        <v>1458.07</v>
      </c>
      <c r="I1555" s="13">
        <f>' car_sales_data 1'!$G1555*0.2</f>
        <v>5814.6</v>
      </c>
      <c r="J1555" s="13" t="str">
        <f>TEXT(' car_sales_data 1'!$A1555,"mmmm")</f>
        <v>December</v>
      </c>
      <c r="K1555" s="13" t="str">
        <f>IF(' car_sales_data 1'!$G1555&gt;40000,"Premium",
 IF(' car_sales_data 1'!$G1555&gt;=20000,"Mid Range","Budget"))</f>
        <v>Mid Range</v>
      </c>
      <c r="L1555" s="13">
        <f>YEAR(TODAY())-' car_sales_data 1'!$F1555</f>
        <v>6</v>
      </c>
    </row>
    <row r="1556" ht="15.75" customHeight="1">
      <c r="A1556" s="16">
        <v>44816.0</v>
      </c>
      <c r="B1556" s="13" t="s">
        <v>3084</v>
      </c>
      <c r="C1556" s="13" t="s">
        <v>3085</v>
      </c>
      <c r="D1556" s="13" t="s">
        <v>14</v>
      </c>
      <c r="E1556" s="13" t="s">
        <v>54</v>
      </c>
      <c r="F1556" s="13">
        <v>2016.0</v>
      </c>
      <c r="G1556" s="13">
        <v>26114.0</v>
      </c>
      <c r="H1556" s="13">
        <v>1843.81</v>
      </c>
      <c r="I1556" s="13">
        <f>' car_sales_data 1'!$G1556*0.2</f>
        <v>5222.8</v>
      </c>
      <c r="J1556" s="13" t="str">
        <f>TEXT(' car_sales_data 1'!$A1556,"mmmm")</f>
        <v>September</v>
      </c>
      <c r="K1556" s="13" t="str">
        <f>IF(' car_sales_data 1'!$G1556&gt;40000,"Premium",
 IF(' car_sales_data 1'!$G1556&gt;=20000,"Mid Range","Budget"))</f>
        <v>Mid Range</v>
      </c>
      <c r="L1556" s="13">
        <f>YEAR(TODAY())-' car_sales_data 1'!$F1556</f>
        <v>9</v>
      </c>
    </row>
    <row r="1557" ht="15.75" customHeight="1">
      <c r="A1557" s="16">
        <v>44995.0</v>
      </c>
      <c r="B1557" s="13" t="s">
        <v>3086</v>
      </c>
      <c r="C1557" s="13" t="s">
        <v>3087</v>
      </c>
      <c r="D1557" s="13" t="s">
        <v>12</v>
      </c>
      <c r="E1557" s="13" t="s">
        <v>54</v>
      </c>
      <c r="F1557" s="13">
        <v>2014.0</v>
      </c>
      <c r="G1557" s="13">
        <v>38376.0</v>
      </c>
      <c r="H1557" s="13">
        <v>4899.9</v>
      </c>
      <c r="I1557" s="13">
        <f>' car_sales_data 1'!$G1557*0.2</f>
        <v>7675.2</v>
      </c>
      <c r="J1557" s="13" t="str">
        <f>TEXT(' car_sales_data 1'!$A1557,"mmmm")</f>
        <v>March</v>
      </c>
      <c r="K1557" s="13" t="str">
        <f>IF(' car_sales_data 1'!$G1557&gt;40000,"Premium",
 IF(' car_sales_data 1'!$G1557&gt;=20000,"Mid Range","Budget"))</f>
        <v>Mid Range</v>
      </c>
      <c r="L1557" s="13">
        <f>YEAR(TODAY())-' car_sales_data 1'!$F1557</f>
        <v>11</v>
      </c>
    </row>
    <row r="1558" ht="15.75" customHeight="1">
      <c r="A1558" s="16">
        <v>45028.0</v>
      </c>
      <c r="B1558" s="13" t="s">
        <v>3088</v>
      </c>
      <c r="C1558" s="13" t="s">
        <v>3089</v>
      </c>
      <c r="D1558" s="13" t="s">
        <v>12</v>
      </c>
      <c r="E1558" s="13" t="s">
        <v>57</v>
      </c>
      <c r="F1558" s="13">
        <v>2013.0</v>
      </c>
      <c r="G1558" s="13">
        <v>45307.0</v>
      </c>
      <c r="H1558" s="13">
        <v>6094.11</v>
      </c>
      <c r="I1558" s="13">
        <f>' car_sales_data 1'!$G1558*0.2</f>
        <v>9061.4</v>
      </c>
      <c r="J1558" s="13" t="str">
        <f>TEXT(' car_sales_data 1'!$A1558,"mmmm")</f>
        <v>April</v>
      </c>
      <c r="K1558" s="13" t="str">
        <f>IF(' car_sales_data 1'!$G1558&gt;40000,"Premium",
 IF(' car_sales_data 1'!$G1558&gt;=20000,"Mid Range","Budget"))</f>
        <v>Premium</v>
      </c>
      <c r="L1558" s="13">
        <f>YEAR(TODAY())-' car_sales_data 1'!$F1558</f>
        <v>12</v>
      </c>
    </row>
    <row r="1559" ht="15.75" customHeight="1">
      <c r="A1559" s="16">
        <v>44744.0</v>
      </c>
      <c r="B1559" s="13" t="s">
        <v>3090</v>
      </c>
      <c r="C1559" s="13" t="s">
        <v>3091</v>
      </c>
      <c r="D1559" s="13" t="s">
        <v>12</v>
      </c>
      <c r="E1559" s="13" t="s">
        <v>57</v>
      </c>
      <c r="F1559" s="13">
        <v>2019.0</v>
      </c>
      <c r="G1559" s="13">
        <v>37593.0</v>
      </c>
      <c r="H1559" s="13">
        <v>4738.55</v>
      </c>
      <c r="I1559" s="13">
        <f>' car_sales_data 1'!$G1559*0.2</f>
        <v>7518.6</v>
      </c>
      <c r="J1559" s="13" t="str">
        <f>TEXT(' car_sales_data 1'!$A1559,"mmmm")</f>
        <v>July</v>
      </c>
      <c r="K1559" s="13" t="str">
        <f>IF(' car_sales_data 1'!$G1559&gt;40000,"Premium",
 IF(' car_sales_data 1'!$G1559&gt;=20000,"Mid Range","Budget"))</f>
        <v>Mid Range</v>
      </c>
      <c r="L1559" s="13">
        <f>YEAR(TODAY())-' car_sales_data 1'!$F1559</f>
        <v>6</v>
      </c>
    </row>
    <row r="1560" ht="15.75" customHeight="1">
      <c r="A1560" s="16">
        <v>44751.0</v>
      </c>
      <c r="B1560" s="13" t="s">
        <v>3092</v>
      </c>
      <c r="C1560" s="13" t="s">
        <v>3093</v>
      </c>
      <c r="D1560" s="13" t="s">
        <v>12</v>
      </c>
      <c r="E1560" s="13" t="s">
        <v>57</v>
      </c>
      <c r="F1560" s="13">
        <v>2022.0</v>
      </c>
      <c r="G1560" s="13">
        <v>42061.0</v>
      </c>
      <c r="H1560" s="13">
        <v>5994.28</v>
      </c>
      <c r="I1560" s="13">
        <f>' car_sales_data 1'!$G1560*0.2</f>
        <v>8412.2</v>
      </c>
      <c r="J1560" s="13" t="str">
        <f>TEXT(' car_sales_data 1'!$A1560,"mmmm")</f>
        <v>July</v>
      </c>
      <c r="K1560" s="13" t="str">
        <f>IF(' car_sales_data 1'!$G1560&gt;40000,"Premium",
 IF(' car_sales_data 1'!$G1560&gt;=20000,"Mid Range","Budget"))</f>
        <v>Premium</v>
      </c>
      <c r="L1560" s="13">
        <f>YEAR(TODAY())-' car_sales_data 1'!$F1560</f>
        <v>3</v>
      </c>
    </row>
    <row r="1561" ht="15.75" customHeight="1">
      <c r="A1561" s="16">
        <v>44844.0</v>
      </c>
      <c r="B1561" s="13" t="s">
        <v>3094</v>
      </c>
      <c r="C1561" s="13" t="s">
        <v>3095</v>
      </c>
      <c r="D1561" s="13" t="s">
        <v>6</v>
      </c>
      <c r="E1561" s="13" t="s">
        <v>54</v>
      </c>
      <c r="F1561" s="13">
        <v>2020.0</v>
      </c>
      <c r="G1561" s="13">
        <v>28696.0</v>
      </c>
      <c r="H1561" s="13">
        <v>3375.57</v>
      </c>
      <c r="I1561" s="13">
        <f>' car_sales_data 1'!$G1561*0.2</f>
        <v>5739.2</v>
      </c>
      <c r="J1561" s="13" t="str">
        <f>TEXT(' car_sales_data 1'!$A1561,"mmmm")</f>
        <v>October</v>
      </c>
      <c r="K1561" s="13" t="str">
        <f>IF(' car_sales_data 1'!$G1561&gt;40000,"Premium",
 IF(' car_sales_data 1'!$G1561&gt;=20000,"Mid Range","Budget"))</f>
        <v>Mid Range</v>
      </c>
      <c r="L1561" s="13">
        <f>YEAR(TODAY())-' car_sales_data 1'!$F1561</f>
        <v>5</v>
      </c>
    </row>
    <row r="1562" ht="15.75" customHeight="1">
      <c r="A1562" s="16">
        <v>44837.0</v>
      </c>
      <c r="B1562" s="13" t="s">
        <v>3096</v>
      </c>
      <c r="C1562" s="13" t="s">
        <v>3097</v>
      </c>
      <c r="D1562" s="13" t="s">
        <v>14</v>
      </c>
      <c r="E1562" s="13" t="s">
        <v>70</v>
      </c>
      <c r="F1562" s="13">
        <v>2015.0</v>
      </c>
      <c r="G1562" s="13">
        <v>27586.0</v>
      </c>
      <c r="H1562" s="13">
        <v>3850.89</v>
      </c>
      <c r="I1562" s="13">
        <f>' car_sales_data 1'!$G1562*0.2</f>
        <v>5517.2</v>
      </c>
      <c r="J1562" s="13" t="str">
        <f>TEXT(' car_sales_data 1'!$A1562,"mmmm")</f>
        <v>October</v>
      </c>
      <c r="K1562" s="13" t="str">
        <f>IF(' car_sales_data 1'!$G1562&gt;40000,"Premium",
 IF(' car_sales_data 1'!$G1562&gt;=20000,"Mid Range","Budget"))</f>
        <v>Mid Range</v>
      </c>
      <c r="L1562" s="13">
        <f>YEAR(TODAY())-' car_sales_data 1'!$F1562</f>
        <v>10</v>
      </c>
    </row>
    <row r="1563" ht="15.75" customHeight="1">
      <c r="A1563" s="16">
        <v>44714.0</v>
      </c>
      <c r="B1563" s="13" t="s">
        <v>3098</v>
      </c>
      <c r="C1563" s="13" t="s">
        <v>3099</v>
      </c>
      <c r="D1563" s="13" t="s">
        <v>6</v>
      </c>
      <c r="E1563" s="13" t="s">
        <v>57</v>
      </c>
      <c r="F1563" s="13">
        <v>2010.0</v>
      </c>
      <c r="G1563" s="13">
        <v>33560.0</v>
      </c>
      <c r="H1563" s="13">
        <v>4941.07</v>
      </c>
      <c r="I1563" s="13">
        <f>' car_sales_data 1'!$G1563*0.2</f>
        <v>6712</v>
      </c>
      <c r="J1563" s="13" t="str">
        <f>TEXT(' car_sales_data 1'!$A1563,"mmmm")</f>
        <v>June</v>
      </c>
      <c r="K1563" s="13" t="str">
        <f>IF(' car_sales_data 1'!$G1563&gt;40000,"Premium",
 IF(' car_sales_data 1'!$G1563&gt;=20000,"Mid Range","Budget"))</f>
        <v>Mid Range</v>
      </c>
      <c r="L1563" s="13">
        <f>YEAR(TODAY())-' car_sales_data 1'!$F1563</f>
        <v>15</v>
      </c>
    </row>
    <row r="1564" ht="15.75" customHeight="1">
      <c r="A1564" s="16">
        <v>44838.0</v>
      </c>
      <c r="B1564" s="13" t="s">
        <v>656</v>
      </c>
      <c r="C1564" s="13" t="s">
        <v>3100</v>
      </c>
      <c r="D1564" s="13" t="s">
        <v>8</v>
      </c>
      <c r="E1564" s="13" t="s">
        <v>51</v>
      </c>
      <c r="F1564" s="13">
        <v>2019.0</v>
      </c>
      <c r="G1564" s="13">
        <v>23141.0</v>
      </c>
      <c r="H1564" s="13">
        <v>1207.4</v>
      </c>
      <c r="I1564" s="13">
        <f>' car_sales_data 1'!$G1564*0.2</f>
        <v>4628.2</v>
      </c>
      <c r="J1564" s="13" t="str">
        <f>TEXT(' car_sales_data 1'!$A1564,"mmmm")</f>
        <v>October</v>
      </c>
      <c r="K1564" s="13" t="str">
        <f>IF(' car_sales_data 1'!$G1564&gt;40000,"Premium",
 IF(' car_sales_data 1'!$G1564&gt;=20000,"Mid Range","Budget"))</f>
        <v>Mid Range</v>
      </c>
      <c r="L1564" s="13">
        <f>YEAR(TODAY())-' car_sales_data 1'!$F1564</f>
        <v>6</v>
      </c>
    </row>
    <row r="1565" ht="15.75" customHeight="1">
      <c r="A1565" s="16">
        <v>44953.0</v>
      </c>
      <c r="B1565" s="13" t="s">
        <v>3101</v>
      </c>
      <c r="C1565" s="13" t="s">
        <v>3102</v>
      </c>
      <c r="D1565" s="13" t="s">
        <v>10</v>
      </c>
      <c r="E1565" s="13" t="s">
        <v>54</v>
      </c>
      <c r="F1565" s="13">
        <v>2018.0</v>
      </c>
      <c r="G1565" s="13">
        <v>41143.0</v>
      </c>
      <c r="H1565" s="13">
        <v>4020.33</v>
      </c>
      <c r="I1565" s="13">
        <f>' car_sales_data 1'!$G1565*0.2</f>
        <v>8228.6</v>
      </c>
      <c r="J1565" s="13" t="str">
        <f>TEXT(' car_sales_data 1'!$A1565,"mmmm")</f>
        <v>January</v>
      </c>
      <c r="K1565" s="13" t="str">
        <f>IF(' car_sales_data 1'!$G1565&gt;40000,"Premium",
 IF(' car_sales_data 1'!$G1565&gt;=20000,"Mid Range","Budget"))</f>
        <v>Premium</v>
      </c>
      <c r="L1565" s="13">
        <f>YEAR(TODAY())-' car_sales_data 1'!$F1565</f>
        <v>7</v>
      </c>
    </row>
    <row r="1566" ht="15.75" customHeight="1">
      <c r="A1566" s="16">
        <v>45044.0</v>
      </c>
      <c r="B1566" s="13" t="s">
        <v>3103</v>
      </c>
      <c r="C1566" s="13" t="s">
        <v>3104</v>
      </c>
      <c r="D1566" s="13" t="s">
        <v>12</v>
      </c>
      <c r="E1566" s="13" t="s">
        <v>62</v>
      </c>
      <c r="F1566" s="13">
        <v>2012.0</v>
      </c>
      <c r="G1566" s="13">
        <v>26275.0</v>
      </c>
      <c r="H1566" s="13">
        <v>2962.32</v>
      </c>
      <c r="I1566" s="13">
        <f>' car_sales_data 1'!$G1566*0.2</f>
        <v>5255</v>
      </c>
      <c r="J1566" s="13" t="str">
        <f>TEXT(' car_sales_data 1'!$A1566,"mmmm")</f>
        <v>April</v>
      </c>
      <c r="K1566" s="13" t="str">
        <f>IF(' car_sales_data 1'!$G1566&gt;40000,"Premium",
 IF(' car_sales_data 1'!$G1566&gt;=20000,"Mid Range","Budget"))</f>
        <v>Mid Range</v>
      </c>
      <c r="L1566" s="13">
        <f>YEAR(TODAY())-' car_sales_data 1'!$F1566</f>
        <v>13</v>
      </c>
    </row>
    <row r="1567" ht="15.75" customHeight="1">
      <c r="A1567" s="16">
        <v>44935.0</v>
      </c>
      <c r="B1567" s="13" t="s">
        <v>3105</v>
      </c>
      <c r="C1567" s="13" t="s">
        <v>3106</v>
      </c>
      <c r="D1567" s="13" t="s">
        <v>6</v>
      </c>
      <c r="E1567" s="13" t="s">
        <v>57</v>
      </c>
      <c r="F1567" s="13">
        <v>2014.0</v>
      </c>
      <c r="G1567" s="13">
        <v>14142.0</v>
      </c>
      <c r="H1567" s="13">
        <v>894.5</v>
      </c>
      <c r="I1567" s="13">
        <f>' car_sales_data 1'!$G1567*0.2</f>
        <v>2828.4</v>
      </c>
      <c r="J1567" s="13" t="str">
        <f>TEXT(' car_sales_data 1'!$A1567,"mmmm")</f>
        <v>January</v>
      </c>
      <c r="K1567" s="13" t="str">
        <f>IF(' car_sales_data 1'!$G1567&gt;40000,"Premium",
 IF(' car_sales_data 1'!$G1567&gt;=20000,"Mid Range","Budget"))</f>
        <v>Budget</v>
      </c>
      <c r="L1567" s="13">
        <f>YEAR(TODAY())-' car_sales_data 1'!$F1567</f>
        <v>11</v>
      </c>
    </row>
    <row r="1568" ht="15.75" customHeight="1">
      <c r="A1568" s="16">
        <v>44808.0</v>
      </c>
      <c r="B1568" s="13" t="s">
        <v>3107</v>
      </c>
      <c r="C1568" s="13" t="s">
        <v>3108</v>
      </c>
      <c r="D1568" s="13" t="s">
        <v>12</v>
      </c>
      <c r="E1568" s="13" t="s">
        <v>54</v>
      </c>
      <c r="F1568" s="13">
        <v>2022.0</v>
      </c>
      <c r="G1568" s="13">
        <v>41088.0</v>
      </c>
      <c r="H1568" s="13">
        <v>2333.34</v>
      </c>
      <c r="I1568" s="13">
        <f>' car_sales_data 1'!$G1568*0.2</f>
        <v>8217.6</v>
      </c>
      <c r="J1568" s="13" t="str">
        <f>TEXT(' car_sales_data 1'!$A1568,"mmmm")</f>
        <v>September</v>
      </c>
      <c r="K1568" s="13" t="str">
        <f>IF(' car_sales_data 1'!$G1568&gt;40000,"Premium",
 IF(' car_sales_data 1'!$G1568&gt;=20000,"Mid Range","Budget"))</f>
        <v>Premium</v>
      </c>
      <c r="L1568" s="13">
        <f>YEAR(TODAY())-' car_sales_data 1'!$F1568</f>
        <v>3</v>
      </c>
    </row>
    <row r="1569" ht="15.75" customHeight="1">
      <c r="A1569" s="16">
        <v>44855.0</v>
      </c>
      <c r="B1569" s="13" t="s">
        <v>3109</v>
      </c>
      <c r="C1569" s="13" t="s">
        <v>3110</v>
      </c>
      <c r="D1569" s="13" t="s">
        <v>14</v>
      </c>
      <c r="E1569" s="13" t="s">
        <v>57</v>
      </c>
      <c r="F1569" s="13">
        <v>2018.0</v>
      </c>
      <c r="G1569" s="13">
        <v>35515.0</v>
      </c>
      <c r="H1569" s="13">
        <v>4612.5</v>
      </c>
      <c r="I1569" s="13">
        <f>' car_sales_data 1'!$G1569*0.2</f>
        <v>7103</v>
      </c>
      <c r="J1569" s="13" t="str">
        <f>TEXT(' car_sales_data 1'!$A1569,"mmmm")</f>
        <v>October</v>
      </c>
      <c r="K1569" s="13" t="str">
        <f>IF(' car_sales_data 1'!$G1569&gt;40000,"Premium",
 IF(' car_sales_data 1'!$G1569&gt;=20000,"Mid Range","Budget"))</f>
        <v>Mid Range</v>
      </c>
      <c r="L1569" s="13">
        <f>YEAR(TODAY())-' car_sales_data 1'!$F1569</f>
        <v>7</v>
      </c>
    </row>
    <row r="1570" ht="15.75" customHeight="1">
      <c r="A1570" s="16">
        <v>44951.0</v>
      </c>
      <c r="B1570" s="13" t="s">
        <v>3111</v>
      </c>
      <c r="C1570" s="13" t="s">
        <v>3112</v>
      </c>
      <c r="D1570" s="13" t="s">
        <v>6</v>
      </c>
      <c r="E1570" s="13" t="s">
        <v>70</v>
      </c>
      <c r="F1570" s="13">
        <v>2012.0</v>
      </c>
      <c r="G1570" s="13">
        <v>11372.0</v>
      </c>
      <c r="H1570" s="13">
        <v>1370.84</v>
      </c>
      <c r="I1570" s="13">
        <f>' car_sales_data 1'!$G1570*0.2</f>
        <v>2274.4</v>
      </c>
      <c r="J1570" s="13" t="str">
        <f>TEXT(' car_sales_data 1'!$A1570,"mmmm")</f>
        <v>January</v>
      </c>
      <c r="K1570" s="13" t="str">
        <f>IF(' car_sales_data 1'!$G1570&gt;40000,"Premium",
 IF(' car_sales_data 1'!$G1570&gt;=20000,"Mid Range","Budget"))</f>
        <v>Budget</v>
      </c>
      <c r="L1570" s="13">
        <f>YEAR(TODAY())-' car_sales_data 1'!$F1570</f>
        <v>13</v>
      </c>
    </row>
    <row r="1571" ht="15.75" customHeight="1">
      <c r="A1571" s="16">
        <v>44715.0</v>
      </c>
      <c r="B1571" s="13" t="s">
        <v>3113</v>
      </c>
      <c r="C1571" s="13" t="s">
        <v>2304</v>
      </c>
      <c r="D1571" s="13" t="s">
        <v>14</v>
      </c>
      <c r="E1571" s="13" t="s">
        <v>57</v>
      </c>
      <c r="F1571" s="13">
        <v>2020.0</v>
      </c>
      <c r="G1571" s="13">
        <v>38716.0</v>
      </c>
      <c r="H1571" s="13">
        <v>2195.13</v>
      </c>
      <c r="I1571" s="13">
        <f>' car_sales_data 1'!$G1571*0.2</f>
        <v>7743.2</v>
      </c>
      <c r="J1571" s="13" t="str">
        <f>TEXT(' car_sales_data 1'!$A1571,"mmmm")</f>
        <v>June</v>
      </c>
      <c r="K1571" s="13" t="str">
        <f>IF(' car_sales_data 1'!$G1571&gt;40000,"Premium",
 IF(' car_sales_data 1'!$G1571&gt;=20000,"Mid Range","Budget"))</f>
        <v>Mid Range</v>
      </c>
      <c r="L1571" s="13">
        <f>YEAR(TODAY())-' car_sales_data 1'!$F1571</f>
        <v>5</v>
      </c>
    </row>
    <row r="1572" ht="15.75" customHeight="1">
      <c r="A1572" s="16">
        <v>44786.0</v>
      </c>
      <c r="B1572" s="13" t="s">
        <v>3114</v>
      </c>
      <c r="C1572" s="13" t="s">
        <v>3115</v>
      </c>
      <c r="D1572" s="13" t="s">
        <v>10</v>
      </c>
      <c r="E1572" s="13" t="s">
        <v>57</v>
      </c>
      <c r="F1572" s="13">
        <v>2010.0</v>
      </c>
      <c r="G1572" s="13">
        <v>25613.0</v>
      </c>
      <c r="H1572" s="13">
        <v>1755.65</v>
      </c>
      <c r="I1572" s="13">
        <f>' car_sales_data 1'!$G1572*0.2</f>
        <v>5122.6</v>
      </c>
      <c r="J1572" s="13" t="str">
        <f>TEXT(' car_sales_data 1'!$A1572,"mmmm")</f>
        <v>August</v>
      </c>
      <c r="K1572" s="13" t="str">
        <f>IF(' car_sales_data 1'!$G1572&gt;40000,"Premium",
 IF(' car_sales_data 1'!$G1572&gt;=20000,"Mid Range","Budget"))</f>
        <v>Mid Range</v>
      </c>
      <c r="L1572" s="13">
        <f>YEAR(TODAY())-' car_sales_data 1'!$F1572</f>
        <v>15</v>
      </c>
    </row>
    <row r="1573" ht="15.75" customHeight="1">
      <c r="A1573" s="16">
        <v>45028.0</v>
      </c>
      <c r="B1573" s="13" t="s">
        <v>3116</v>
      </c>
      <c r="C1573" s="13" t="s">
        <v>3117</v>
      </c>
      <c r="D1573" s="13" t="s">
        <v>14</v>
      </c>
      <c r="E1573" s="13" t="s">
        <v>54</v>
      </c>
      <c r="F1573" s="13">
        <v>2010.0</v>
      </c>
      <c r="G1573" s="13">
        <v>34536.0</v>
      </c>
      <c r="H1573" s="13">
        <v>5035.07</v>
      </c>
      <c r="I1573" s="13">
        <f>' car_sales_data 1'!$G1573*0.2</f>
        <v>6907.2</v>
      </c>
      <c r="J1573" s="13" t="str">
        <f>TEXT(' car_sales_data 1'!$A1573,"mmmm")</f>
        <v>April</v>
      </c>
      <c r="K1573" s="13" t="str">
        <f>IF(' car_sales_data 1'!$G1573&gt;40000,"Premium",
 IF(' car_sales_data 1'!$G1573&gt;=20000,"Mid Range","Budget"))</f>
        <v>Mid Range</v>
      </c>
      <c r="L1573" s="13">
        <f>YEAR(TODAY())-' car_sales_data 1'!$F1573</f>
        <v>15</v>
      </c>
    </row>
    <row r="1574" ht="15.75" customHeight="1">
      <c r="A1574" s="16">
        <v>44970.0</v>
      </c>
      <c r="B1574" s="13" t="s">
        <v>3118</v>
      </c>
      <c r="C1574" s="13" t="s">
        <v>3119</v>
      </c>
      <c r="D1574" s="13" t="s">
        <v>14</v>
      </c>
      <c r="E1574" s="13" t="s">
        <v>62</v>
      </c>
      <c r="F1574" s="13">
        <v>2019.0</v>
      </c>
      <c r="G1574" s="13">
        <v>31684.0</v>
      </c>
      <c r="H1574" s="13">
        <v>1932.1</v>
      </c>
      <c r="I1574" s="13">
        <f>' car_sales_data 1'!$G1574*0.2</f>
        <v>6336.8</v>
      </c>
      <c r="J1574" s="13" t="str">
        <f>TEXT(' car_sales_data 1'!$A1574,"mmmm")</f>
        <v>February</v>
      </c>
      <c r="K1574" s="13" t="str">
        <f>IF(' car_sales_data 1'!$G1574&gt;40000,"Premium",
 IF(' car_sales_data 1'!$G1574&gt;=20000,"Mid Range","Budget"))</f>
        <v>Mid Range</v>
      </c>
      <c r="L1574" s="13">
        <f>YEAR(TODAY())-' car_sales_data 1'!$F1574</f>
        <v>6</v>
      </c>
    </row>
    <row r="1575" ht="15.75" customHeight="1">
      <c r="A1575" s="16">
        <v>45029.0</v>
      </c>
      <c r="B1575" s="13" t="s">
        <v>3120</v>
      </c>
      <c r="C1575" s="13" t="s">
        <v>3121</v>
      </c>
      <c r="D1575" s="13" t="s">
        <v>14</v>
      </c>
      <c r="E1575" s="13" t="s">
        <v>57</v>
      </c>
      <c r="F1575" s="13">
        <v>2020.0</v>
      </c>
      <c r="G1575" s="13">
        <v>44116.0</v>
      </c>
      <c r="H1575" s="13">
        <v>3732.17</v>
      </c>
      <c r="I1575" s="13">
        <f>' car_sales_data 1'!$G1575*0.2</f>
        <v>8823.2</v>
      </c>
      <c r="J1575" s="13" t="str">
        <f>TEXT(' car_sales_data 1'!$A1575,"mmmm")</f>
        <v>April</v>
      </c>
      <c r="K1575" s="13" t="str">
        <f>IF(' car_sales_data 1'!$G1575&gt;40000,"Premium",
 IF(' car_sales_data 1'!$G1575&gt;=20000,"Mid Range","Budget"))</f>
        <v>Premium</v>
      </c>
      <c r="L1575" s="13">
        <f>YEAR(TODAY())-' car_sales_data 1'!$F1575</f>
        <v>5</v>
      </c>
    </row>
    <row r="1576" ht="15.75" customHeight="1">
      <c r="A1576" s="16">
        <v>45034.0</v>
      </c>
      <c r="B1576" s="13" t="s">
        <v>3122</v>
      </c>
      <c r="C1576" s="13" t="s">
        <v>3123</v>
      </c>
      <c r="D1576" s="13" t="s">
        <v>8</v>
      </c>
      <c r="E1576" s="13" t="s">
        <v>62</v>
      </c>
      <c r="F1576" s="13">
        <v>2014.0</v>
      </c>
      <c r="G1576" s="13">
        <v>11307.0</v>
      </c>
      <c r="H1576" s="13">
        <v>975.53</v>
      </c>
      <c r="I1576" s="13">
        <f>' car_sales_data 1'!$G1576*0.2</f>
        <v>2261.4</v>
      </c>
      <c r="J1576" s="13" t="str">
        <f>TEXT(' car_sales_data 1'!$A1576,"mmmm")</f>
        <v>April</v>
      </c>
      <c r="K1576" s="13" t="str">
        <f>IF(' car_sales_data 1'!$G1576&gt;40000,"Premium",
 IF(' car_sales_data 1'!$G1576&gt;=20000,"Mid Range","Budget"))</f>
        <v>Budget</v>
      </c>
      <c r="L1576" s="13">
        <f>YEAR(TODAY())-' car_sales_data 1'!$F1576</f>
        <v>11</v>
      </c>
    </row>
    <row r="1577" ht="15.75" customHeight="1">
      <c r="A1577" s="16">
        <v>44684.0</v>
      </c>
      <c r="B1577" s="13" t="s">
        <v>3124</v>
      </c>
      <c r="C1577" s="13" t="s">
        <v>3125</v>
      </c>
      <c r="D1577" s="13" t="s">
        <v>10</v>
      </c>
      <c r="E1577" s="13" t="s">
        <v>62</v>
      </c>
      <c r="F1577" s="13">
        <v>2012.0</v>
      </c>
      <c r="G1577" s="13">
        <v>11764.0</v>
      </c>
      <c r="H1577" s="13">
        <v>980.32</v>
      </c>
      <c r="I1577" s="13">
        <f>' car_sales_data 1'!$G1577*0.2</f>
        <v>2352.8</v>
      </c>
      <c r="J1577" s="13" t="str">
        <f>TEXT(' car_sales_data 1'!$A1577,"mmmm")</f>
        <v>May</v>
      </c>
      <c r="K1577" s="13" t="str">
        <f>IF(' car_sales_data 1'!$G1577&gt;40000,"Premium",
 IF(' car_sales_data 1'!$G1577&gt;=20000,"Mid Range","Budget"))</f>
        <v>Budget</v>
      </c>
      <c r="L1577" s="13">
        <f>YEAR(TODAY())-' car_sales_data 1'!$F1577</f>
        <v>13</v>
      </c>
    </row>
    <row r="1578" ht="15.75" customHeight="1">
      <c r="A1578" s="16">
        <v>44963.0</v>
      </c>
      <c r="B1578" s="13" t="s">
        <v>3126</v>
      </c>
      <c r="C1578" s="13" t="s">
        <v>3127</v>
      </c>
      <c r="D1578" s="13" t="s">
        <v>14</v>
      </c>
      <c r="E1578" s="13" t="s">
        <v>57</v>
      </c>
      <c r="F1578" s="13">
        <v>2020.0</v>
      </c>
      <c r="G1578" s="13">
        <v>34739.0</v>
      </c>
      <c r="H1578" s="13">
        <v>3319.97</v>
      </c>
      <c r="I1578" s="13">
        <f>' car_sales_data 1'!$G1578*0.2</f>
        <v>6947.8</v>
      </c>
      <c r="J1578" s="13" t="str">
        <f>TEXT(' car_sales_data 1'!$A1578,"mmmm")</f>
        <v>February</v>
      </c>
      <c r="K1578" s="13" t="str">
        <f>IF(' car_sales_data 1'!$G1578&gt;40000,"Premium",
 IF(' car_sales_data 1'!$G1578&gt;=20000,"Mid Range","Budget"))</f>
        <v>Mid Range</v>
      </c>
      <c r="L1578" s="13">
        <f>YEAR(TODAY())-' car_sales_data 1'!$F1578</f>
        <v>5</v>
      </c>
    </row>
    <row r="1579" ht="15.75" customHeight="1">
      <c r="A1579" s="16">
        <v>44981.0</v>
      </c>
      <c r="B1579" s="13" t="s">
        <v>3128</v>
      </c>
      <c r="C1579" s="13" t="s">
        <v>3129</v>
      </c>
      <c r="D1579" s="13" t="s">
        <v>10</v>
      </c>
      <c r="E1579" s="13" t="s">
        <v>57</v>
      </c>
      <c r="F1579" s="13">
        <v>2014.0</v>
      </c>
      <c r="G1579" s="13">
        <v>22849.0</v>
      </c>
      <c r="H1579" s="13">
        <v>2762.97</v>
      </c>
      <c r="I1579" s="13">
        <f>' car_sales_data 1'!$G1579*0.2</f>
        <v>4569.8</v>
      </c>
      <c r="J1579" s="13" t="str">
        <f>TEXT(' car_sales_data 1'!$A1579,"mmmm")</f>
        <v>February</v>
      </c>
      <c r="K1579" s="13" t="str">
        <f>IF(' car_sales_data 1'!$G1579&gt;40000,"Premium",
 IF(' car_sales_data 1'!$G1579&gt;=20000,"Mid Range","Budget"))</f>
        <v>Mid Range</v>
      </c>
      <c r="L1579" s="13">
        <f>YEAR(TODAY())-' car_sales_data 1'!$F1579</f>
        <v>11</v>
      </c>
    </row>
    <row r="1580" ht="15.75" customHeight="1">
      <c r="A1580" s="16">
        <v>44993.0</v>
      </c>
      <c r="B1580" s="13" t="s">
        <v>3130</v>
      </c>
      <c r="C1580" s="13" t="s">
        <v>3131</v>
      </c>
      <c r="D1580" s="13" t="s">
        <v>14</v>
      </c>
      <c r="E1580" s="13" t="s">
        <v>51</v>
      </c>
      <c r="F1580" s="13">
        <v>2022.0</v>
      </c>
      <c r="G1580" s="13">
        <v>36142.0</v>
      </c>
      <c r="H1580" s="13">
        <v>4516.14</v>
      </c>
      <c r="I1580" s="13">
        <f>' car_sales_data 1'!$G1580*0.2</f>
        <v>7228.4</v>
      </c>
      <c r="J1580" s="13" t="str">
        <f>TEXT(' car_sales_data 1'!$A1580,"mmmm")</f>
        <v>March</v>
      </c>
      <c r="K1580" s="13" t="str">
        <f>IF(' car_sales_data 1'!$G1580&gt;40000,"Premium",
 IF(' car_sales_data 1'!$G1580&gt;=20000,"Mid Range","Budget"))</f>
        <v>Mid Range</v>
      </c>
      <c r="L1580" s="13">
        <f>YEAR(TODAY())-' car_sales_data 1'!$F1580</f>
        <v>3</v>
      </c>
    </row>
    <row r="1581" ht="15.75" customHeight="1">
      <c r="A1581" s="16">
        <v>44948.0</v>
      </c>
      <c r="B1581" s="13" t="s">
        <v>3132</v>
      </c>
      <c r="C1581" s="13" t="s">
        <v>3133</v>
      </c>
      <c r="D1581" s="13" t="s">
        <v>12</v>
      </c>
      <c r="E1581" s="13" t="s">
        <v>70</v>
      </c>
      <c r="F1581" s="13">
        <v>2015.0</v>
      </c>
      <c r="G1581" s="13">
        <v>35625.0</v>
      </c>
      <c r="H1581" s="13">
        <v>4367.92</v>
      </c>
      <c r="I1581" s="13">
        <f>' car_sales_data 1'!$G1581*0.2</f>
        <v>7125</v>
      </c>
      <c r="J1581" s="13" t="str">
        <f>TEXT(' car_sales_data 1'!$A1581,"mmmm")</f>
        <v>January</v>
      </c>
      <c r="K1581" s="13" t="str">
        <f>IF(' car_sales_data 1'!$G1581&gt;40000,"Premium",
 IF(' car_sales_data 1'!$G1581&gt;=20000,"Mid Range","Budget"))</f>
        <v>Mid Range</v>
      </c>
      <c r="L1581" s="13">
        <f>YEAR(TODAY())-' car_sales_data 1'!$F1581</f>
        <v>10</v>
      </c>
    </row>
    <row r="1582" ht="15.75" customHeight="1">
      <c r="A1582" s="16">
        <v>44957.0</v>
      </c>
      <c r="B1582" s="13" t="s">
        <v>3134</v>
      </c>
      <c r="C1582" s="13" t="s">
        <v>3135</v>
      </c>
      <c r="D1582" s="13" t="s">
        <v>14</v>
      </c>
      <c r="E1582" s="13" t="s">
        <v>51</v>
      </c>
      <c r="F1582" s="13">
        <v>2015.0</v>
      </c>
      <c r="G1582" s="13">
        <v>36029.0</v>
      </c>
      <c r="H1582" s="13">
        <v>3646.06</v>
      </c>
      <c r="I1582" s="13">
        <f>' car_sales_data 1'!$G1582*0.2</f>
        <v>7205.8</v>
      </c>
      <c r="J1582" s="13" t="str">
        <f>TEXT(' car_sales_data 1'!$A1582,"mmmm")</f>
        <v>January</v>
      </c>
      <c r="K1582" s="13" t="str">
        <f>IF(' car_sales_data 1'!$G1582&gt;40000,"Premium",
 IF(' car_sales_data 1'!$G1582&gt;=20000,"Mid Range","Budget"))</f>
        <v>Mid Range</v>
      </c>
      <c r="L1582" s="13">
        <f>YEAR(TODAY())-' car_sales_data 1'!$F1582</f>
        <v>10</v>
      </c>
    </row>
    <row r="1583" ht="15.75" customHeight="1">
      <c r="A1583" s="16">
        <v>44925.0</v>
      </c>
      <c r="B1583" s="13" t="s">
        <v>3136</v>
      </c>
      <c r="C1583" s="13" t="s">
        <v>3137</v>
      </c>
      <c r="D1583" s="13" t="s">
        <v>12</v>
      </c>
      <c r="E1583" s="13" t="s">
        <v>62</v>
      </c>
      <c r="F1583" s="13">
        <v>2019.0</v>
      </c>
      <c r="G1583" s="13">
        <v>44109.0</v>
      </c>
      <c r="H1583" s="13">
        <v>3162.62</v>
      </c>
      <c r="I1583" s="13">
        <f>' car_sales_data 1'!$G1583*0.2</f>
        <v>8821.8</v>
      </c>
      <c r="J1583" s="13" t="str">
        <f>TEXT(' car_sales_data 1'!$A1583,"mmmm")</f>
        <v>December</v>
      </c>
      <c r="K1583" s="13" t="str">
        <f>IF(' car_sales_data 1'!$G1583&gt;40000,"Premium",
 IF(' car_sales_data 1'!$G1583&gt;=20000,"Mid Range","Budget"))</f>
        <v>Premium</v>
      </c>
      <c r="L1583" s="13">
        <f>YEAR(TODAY())-' car_sales_data 1'!$F1583</f>
        <v>6</v>
      </c>
    </row>
    <row r="1584" ht="15.75" customHeight="1">
      <c r="A1584" s="16">
        <v>45001.0</v>
      </c>
      <c r="B1584" s="13" t="s">
        <v>3138</v>
      </c>
      <c r="C1584" s="13" t="s">
        <v>3139</v>
      </c>
      <c r="D1584" s="13" t="s">
        <v>6</v>
      </c>
      <c r="E1584" s="13" t="s">
        <v>62</v>
      </c>
      <c r="F1584" s="13">
        <v>2011.0</v>
      </c>
      <c r="G1584" s="13">
        <v>13878.0</v>
      </c>
      <c r="H1584" s="13">
        <v>1289.95</v>
      </c>
      <c r="I1584" s="13">
        <f>' car_sales_data 1'!$G1584*0.2</f>
        <v>2775.6</v>
      </c>
      <c r="J1584" s="13" t="str">
        <f>TEXT(' car_sales_data 1'!$A1584,"mmmm")</f>
        <v>March</v>
      </c>
      <c r="K1584" s="13" t="str">
        <f>IF(' car_sales_data 1'!$G1584&gt;40000,"Premium",
 IF(' car_sales_data 1'!$G1584&gt;=20000,"Mid Range","Budget"))</f>
        <v>Budget</v>
      </c>
      <c r="L1584" s="13">
        <f>YEAR(TODAY())-' car_sales_data 1'!$F1584</f>
        <v>14</v>
      </c>
    </row>
    <row r="1585" ht="15.75" customHeight="1">
      <c r="A1585" s="16">
        <v>44811.0</v>
      </c>
      <c r="B1585" s="13" t="s">
        <v>3140</v>
      </c>
      <c r="C1585" s="13" t="s">
        <v>3141</v>
      </c>
      <c r="D1585" s="13" t="s">
        <v>6</v>
      </c>
      <c r="E1585" s="13" t="s">
        <v>57</v>
      </c>
      <c r="F1585" s="13">
        <v>2013.0</v>
      </c>
      <c r="G1585" s="13">
        <v>38257.0</v>
      </c>
      <c r="H1585" s="13">
        <v>5677.29</v>
      </c>
      <c r="I1585" s="13">
        <f>' car_sales_data 1'!$G1585*0.2</f>
        <v>7651.4</v>
      </c>
      <c r="J1585" s="13" t="str">
        <f>TEXT(' car_sales_data 1'!$A1585,"mmmm")</f>
        <v>September</v>
      </c>
      <c r="K1585" s="13" t="str">
        <f>IF(' car_sales_data 1'!$G1585&gt;40000,"Premium",
 IF(' car_sales_data 1'!$G1585&gt;=20000,"Mid Range","Budget"))</f>
        <v>Mid Range</v>
      </c>
      <c r="L1585" s="13">
        <f>YEAR(TODAY())-' car_sales_data 1'!$F1585</f>
        <v>12</v>
      </c>
    </row>
    <row r="1586" ht="15.75" customHeight="1">
      <c r="A1586" s="16">
        <v>44969.0</v>
      </c>
      <c r="B1586" s="13" t="s">
        <v>3142</v>
      </c>
      <c r="C1586" s="13" t="s">
        <v>3143</v>
      </c>
      <c r="D1586" s="13" t="s">
        <v>8</v>
      </c>
      <c r="E1586" s="13" t="s">
        <v>57</v>
      </c>
      <c r="F1586" s="13">
        <v>2010.0</v>
      </c>
      <c r="G1586" s="13">
        <v>25597.0</v>
      </c>
      <c r="H1586" s="13">
        <v>2439.93</v>
      </c>
      <c r="I1586" s="13">
        <f>' car_sales_data 1'!$G1586*0.2</f>
        <v>5119.4</v>
      </c>
      <c r="J1586" s="13" t="str">
        <f>TEXT(' car_sales_data 1'!$A1586,"mmmm")</f>
        <v>February</v>
      </c>
      <c r="K1586" s="13" t="str">
        <f>IF(' car_sales_data 1'!$G1586&gt;40000,"Premium",
 IF(' car_sales_data 1'!$G1586&gt;=20000,"Mid Range","Budget"))</f>
        <v>Mid Range</v>
      </c>
      <c r="L1586" s="13">
        <f>YEAR(TODAY())-' car_sales_data 1'!$F1586</f>
        <v>15</v>
      </c>
    </row>
    <row r="1587" ht="15.75" customHeight="1">
      <c r="A1587" s="16">
        <v>44724.0</v>
      </c>
      <c r="B1587" s="13" t="s">
        <v>3144</v>
      </c>
      <c r="C1587" s="13" t="s">
        <v>3145</v>
      </c>
      <c r="D1587" s="13" t="s">
        <v>12</v>
      </c>
      <c r="E1587" s="13" t="s">
        <v>70</v>
      </c>
      <c r="F1587" s="13">
        <v>2010.0</v>
      </c>
      <c r="G1587" s="13">
        <v>43639.0</v>
      </c>
      <c r="H1587" s="13">
        <v>3775.15</v>
      </c>
      <c r="I1587" s="13">
        <f>' car_sales_data 1'!$G1587*0.2</f>
        <v>8727.8</v>
      </c>
      <c r="J1587" s="13" t="str">
        <f>TEXT(' car_sales_data 1'!$A1587,"mmmm")</f>
        <v>June</v>
      </c>
      <c r="K1587" s="13" t="str">
        <f>IF(' car_sales_data 1'!$G1587&gt;40000,"Premium",
 IF(' car_sales_data 1'!$G1587&gt;=20000,"Mid Range","Budget"))</f>
        <v>Premium</v>
      </c>
      <c r="L1587" s="13">
        <f>YEAR(TODAY())-' car_sales_data 1'!$F1587</f>
        <v>15</v>
      </c>
    </row>
    <row r="1588" ht="15.75" customHeight="1">
      <c r="A1588" s="16">
        <v>44874.0</v>
      </c>
      <c r="B1588" s="13" t="s">
        <v>3146</v>
      </c>
      <c r="C1588" s="13" t="s">
        <v>3147</v>
      </c>
      <c r="D1588" s="13" t="s">
        <v>6</v>
      </c>
      <c r="E1588" s="13" t="s">
        <v>57</v>
      </c>
      <c r="F1588" s="13">
        <v>2018.0</v>
      </c>
      <c r="G1588" s="13">
        <v>10720.0</v>
      </c>
      <c r="H1588" s="13">
        <v>1287.33</v>
      </c>
      <c r="I1588" s="13">
        <f>' car_sales_data 1'!$G1588*0.2</f>
        <v>2144</v>
      </c>
      <c r="J1588" s="13" t="str">
        <f>TEXT(' car_sales_data 1'!$A1588,"mmmm")</f>
        <v>November</v>
      </c>
      <c r="K1588" s="13" t="str">
        <f>IF(' car_sales_data 1'!$G1588&gt;40000,"Premium",
 IF(' car_sales_data 1'!$G1588&gt;=20000,"Mid Range","Budget"))</f>
        <v>Budget</v>
      </c>
      <c r="L1588" s="13">
        <f>YEAR(TODAY())-' car_sales_data 1'!$F1588</f>
        <v>7</v>
      </c>
    </row>
    <row r="1589" ht="15.75" customHeight="1">
      <c r="A1589" s="16">
        <v>44860.0</v>
      </c>
      <c r="B1589" s="13" t="s">
        <v>3148</v>
      </c>
      <c r="C1589" s="13" t="s">
        <v>3149</v>
      </c>
      <c r="D1589" s="13" t="s">
        <v>14</v>
      </c>
      <c r="E1589" s="13" t="s">
        <v>70</v>
      </c>
      <c r="F1589" s="13">
        <v>2011.0</v>
      </c>
      <c r="G1589" s="13">
        <v>13397.0</v>
      </c>
      <c r="H1589" s="13">
        <v>758.58</v>
      </c>
      <c r="I1589" s="13">
        <f>' car_sales_data 1'!$G1589*0.2</f>
        <v>2679.4</v>
      </c>
      <c r="J1589" s="13" t="str">
        <f>TEXT(' car_sales_data 1'!$A1589,"mmmm")</f>
        <v>October</v>
      </c>
      <c r="K1589" s="13" t="str">
        <f>IF(' car_sales_data 1'!$G1589&gt;40000,"Premium",
 IF(' car_sales_data 1'!$G1589&gt;=20000,"Mid Range","Budget"))</f>
        <v>Budget</v>
      </c>
      <c r="L1589" s="13">
        <f>YEAR(TODAY())-' car_sales_data 1'!$F1589</f>
        <v>14</v>
      </c>
    </row>
    <row r="1590" ht="15.75" customHeight="1">
      <c r="A1590" s="16">
        <v>44872.0</v>
      </c>
      <c r="B1590" s="13" t="s">
        <v>3150</v>
      </c>
      <c r="C1590" s="13" t="s">
        <v>3151</v>
      </c>
      <c r="D1590" s="13" t="s">
        <v>14</v>
      </c>
      <c r="E1590" s="13" t="s">
        <v>54</v>
      </c>
      <c r="F1590" s="13">
        <v>2015.0</v>
      </c>
      <c r="G1590" s="13">
        <v>16215.0</v>
      </c>
      <c r="H1590" s="13">
        <v>1582.06</v>
      </c>
      <c r="I1590" s="13">
        <f>' car_sales_data 1'!$G1590*0.2</f>
        <v>3243</v>
      </c>
      <c r="J1590" s="13" t="str">
        <f>TEXT(' car_sales_data 1'!$A1590,"mmmm")</f>
        <v>November</v>
      </c>
      <c r="K1590" s="13" t="str">
        <f>IF(' car_sales_data 1'!$G1590&gt;40000,"Premium",
 IF(' car_sales_data 1'!$G1590&gt;=20000,"Mid Range","Budget"))</f>
        <v>Budget</v>
      </c>
      <c r="L1590" s="13">
        <f>YEAR(TODAY())-' car_sales_data 1'!$F1590</f>
        <v>10</v>
      </c>
    </row>
    <row r="1591" ht="15.75" customHeight="1">
      <c r="A1591" s="16">
        <v>44886.0</v>
      </c>
      <c r="B1591" s="13" t="s">
        <v>3152</v>
      </c>
      <c r="C1591" s="13" t="s">
        <v>3153</v>
      </c>
      <c r="D1591" s="13" t="s">
        <v>8</v>
      </c>
      <c r="E1591" s="13" t="s">
        <v>57</v>
      </c>
      <c r="F1591" s="13">
        <v>2017.0</v>
      </c>
      <c r="G1591" s="13">
        <v>44666.0</v>
      </c>
      <c r="H1591" s="13">
        <v>6471.34</v>
      </c>
      <c r="I1591" s="13">
        <f>' car_sales_data 1'!$G1591*0.2</f>
        <v>8933.2</v>
      </c>
      <c r="J1591" s="13" t="str">
        <f>TEXT(' car_sales_data 1'!$A1591,"mmmm")</f>
        <v>November</v>
      </c>
      <c r="K1591" s="13" t="str">
        <f>IF(' car_sales_data 1'!$G1591&gt;40000,"Premium",
 IF(' car_sales_data 1'!$G1591&gt;=20000,"Mid Range","Budget"))</f>
        <v>Premium</v>
      </c>
      <c r="L1591" s="13">
        <f>YEAR(TODAY())-' car_sales_data 1'!$F1591</f>
        <v>8</v>
      </c>
    </row>
    <row r="1592" ht="15.75" customHeight="1">
      <c r="A1592" s="16">
        <v>45047.0</v>
      </c>
      <c r="B1592" s="13" t="s">
        <v>3154</v>
      </c>
      <c r="C1592" s="13" t="s">
        <v>3155</v>
      </c>
      <c r="D1592" s="13" t="s">
        <v>8</v>
      </c>
      <c r="E1592" s="13" t="s">
        <v>51</v>
      </c>
      <c r="F1592" s="13">
        <v>2015.0</v>
      </c>
      <c r="G1592" s="13">
        <v>42569.0</v>
      </c>
      <c r="H1592" s="13">
        <v>3126.98</v>
      </c>
      <c r="I1592" s="13">
        <f>' car_sales_data 1'!$G1592*0.2</f>
        <v>8513.8</v>
      </c>
      <c r="J1592" s="13" t="str">
        <f>TEXT(' car_sales_data 1'!$A1592,"mmmm")</f>
        <v>May</v>
      </c>
      <c r="K1592" s="13" t="str">
        <f>IF(' car_sales_data 1'!$G1592&gt;40000,"Premium",
 IF(' car_sales_data 1'!$G1592&gt;=20000,"Mid Range","Budget"))</f>
        <v>Premium</v>
      </c>
      <c r="L1592" s="13">
        <f>YEAR(TODAY())-' car_sales_data 1'!$F1592</f>
        <v>10</v>
      </c>
    </row>
    <row r="1593" ht="15.75" customHeight="1">
      <c r="A1593" s="16">
        <v>45044.0</v>
      </c>
      <c r="B1593" s="13" t="s">
        <v>3156</v>
      </c>
      <c r="C1593" s="13" t="s">
        <v>3157</v>
      </c>
      <c r="D1593" s="13" t="s">
        <v>6</v>
      </c>
      <c r="E1593" s="13" t="s">
        <v>54</v>
      </c>
      <c r="F1593" s="13">
        <v>2020.0</v>
      </c>
      <c r="G1593" s="13">
        <v>45132.0</v>
      </c>
      <c r="H1593" s="13">
        <v>6248.85</v>
      </c>
      <c r="I1593" s="13">
        <f>' car_sales_data 1'!$G1593*0.2</f>
        <v>9026.4</v>
      </c>
      <c r="J1593" s="13" t="str">
        <f>TEXT(' car_sales_data 1'!$A1593,"mmmm")</f>
        <v>April</v>
      </c>
      <c r="K1593" s="13" t="str">
        <f>IF(' car_sales_data 1'!$G1593&gt;40000,"Premium",
 IF(' car_sales_data 1'!$G1593&gt;=20000,"Mid Range","Budget"))</f>
        <v>Premium</v>
      </c>
      <c r="L1593" s="13">
        <f>YEAR(TODAY())-' car_sales_data 1'!$F1593</f>
        <v>5</v>
      </c>
    </row>
    <row r="1594" ht="15.75" customHeight="1">
      <c r="A1594" s="16">
        <v>44917.0</v>
      </c>
      <c r="B1594" s="13" t="s">
        <v>3158</v>
      </c>
      <c r="C1594" s="13" t="s">
        <v>3159</v>
      </c>
      <c r="D1594" s="13" t="s">
        <v>6</v>
      </c>
      <c r="E1594" s="13" t="s">
        <v>54</v>
      </c>
      <c r="F1594" s="13">
        <v>2020.0</v>
      </c>
      <c r="G1594" s="13">
        <v>34786.0</v>
      </c>
      <c r="H1594" s="13">
        <v>3276.46</v>
      </c>
      <c r="I1594" s="13">
        <f>' car_sales_data 1'!$G1594*0.2</f>
        <v>6957.2</v>
      </c>
      <c r="J1594" s="13" t="str">
        <f>TEXT(' car_sales_data 1'!$A1594,"mmmm")</f>
        <v>December</v>
      </c>
      <c r="K1594" s="13" t="str">
        <f>IF(' car_sales_data 1'!$G1594&gt;40000,"Premium",
 IF(' car_sales_data 1'!$G1594&gt;=20000,"Mid Range","Budget"))</f>
        <v>Mid Range</v>
      </c>
      <c r="L1594" s="13">
        <f>YEAR(TODAY())-' car_sales_data 1'!$F1594</f>
        <v>5</v>
      </c>
    </row>
    <row r="1595" ht="15.75" customHeight="1">
      <c r="A1595" s="16">
        <v>44872.0</v>
      </c>
      <c r="B1595" s="13" t="s">
        <v>3160</v>
      </c>
      <c r="C1595" s="13" t="s">
        <v>3161</v>
      </c>
      <c r="D1595" s="13" t="s">
        <v>10</v>
      </c>
      <c r="E1595" s="13" t="s">
        <v>62</v>
      </c>
      <c r="F1595" s="13">
        <v>2021.0</v>
      </c>
      <c r="G1595" s="13">
        <v>36849.0</v>
      </c>
      <c r="H1595" s="13">
        <v>4587.34</v>
      </c>
      <c r="I1595" s="13">
        <f>' car_sales_data 1'!$G1595*0.2</f>
        <v>7369.8</v>
      </c>
      <c r="J1595" s="13" t="str">
        <f>TEXT(' car_sales_data 1'!$A1595,"mmmm")</f>
        <v>November</v>
      </c>
      <c r="K1595" s="13" t="str">
        <f>IF(' car_sales_data 1'!$G1595&gt;40000,"Premium",
 IF(' car_sales_data 1'!$G1595&gt;=20000,"Mid Range","Budget"))</f>
        <v>Mid Range</v>
      </c>
      <c r="L1595" s="13">
        <f>YEAR(TODAY())-' car_sales_data 1'!$F1595</f>
        <v>4</v>
      </c>
    </row>
    <row r="1596" ht="15.75" customHeight="1">
      <c r="A1596" s="16">
        <v>44905.0</v>
      </c>
      <c r="B1596" s="13" t="s">
        <v>3162</v>
      </c>
      <c r="C1596" s="13" t="s">
        <v>3163</v>
      </c>
      <c r="D1596" s="13" t="s">
        <v>10</v>
      </c>
      <c r="E1596" s="13" t="s">
        <v>62</v>
      </c>
      <c r="F1596" s="13">
        <v>2020.0</v>
      </c>
      <c r="G1596" s="13">
        <v>33046.0</v>
      </c>
      <c r="H1596" s="13">
        <v>1819.31</v>
      </c>
      <c r="I1596" s="13">
        <f>' car_sales_data 1'!$G1596*0.2</f>
        <v>6609.2</v>
      </c>
      <c r="J1596" s="13" t="str">
        <f>TEXT(' car_sales_data 1'!$A1596,"mmmm")</f>
        <v>December</v>
      </c>
      <c r="K1596" s="13" t="str">
        <f>IF(' car_sales_data 1'!$G1596&gt;40000,"Premium",
 IF(' car_sales_data 1'!$G1596&gt;=20000,"Mid Range","Budget"))</f>
        <v>Mid Range</v>
      </c>
      <c r="L1596" s="13">
        <f>YEAR(TODAY())-' car_sales_data 1'!$F1596</f>
        <v>5</v>
      </c>
    </row>
    <row r="1597" ht="15.75" customHeight="1">
      <c r="A1597" s="16">
        <v>44842.0</v>
      </c>
      <c r="B1597" s="13" t="s">
        <v>3164</v>
      </c>
      <c r="C1597" s="13" t="s">
        <v>3165</v>
      </c>
      <c r="D1597" s="13" t="s">
        <v>8</v>
      </c>
      <c r="E1597" s="13" t="s">
        <v>57</v>
      </c>
      <c r="F1597" s="13">
        <v>2011.0</v>
      </c>
      <c r="G1597" s="13">
        <v>41547.0</v>
      </c>
      <c r="H1597" s="13">
        <v>5330.34</v>
      </c>
      <c r="I1597" s="13">
        <f>' car_sales_data 1'!$G1597*0.2</f>
        <v>8309.4</v>
      </c>
      <c r="J1597" s="13" t="str">
        <f>TEXT(' car_sales_data 1'!$A1597,"mmmm")</f>
        <v>October</v>
      </c>
      <c r="K1597" s="13" t="str">
        <f>IF(' car_sales_data 1'!$G1597&gt;40000,"Premium",
 IF(' car_sales_data 1'!$G1597&gt;=20000,"Mid Range","Budget"))</f>
        <v>Premium</v>
      </c>
      <c r="L1597" s="13">
        <f>YEAR(TODAY())-' car_sales_data 1'!$F1597</f>
        <v>14</v>
      </c>
    </row>
    <row r="1598" ht="15.75" customHeight="1">
      <c r="A1598" s="16">
        <v>44955.0</v>
      </c>
      <c r="B1598" s="13" t="s">
        <v>2954</v>
      </c>
      <c r="C1598" s="13" t="s">
        <v>3166</v>
      </c>
      <c r="D1598" s="13" t="s">
        <v>8</v>
      </c>
      <c r="E1598" s="13" t="s">
        <v>57</v>
      </c>
      <c r="F1598" s="13">
        <v>2017.0</v>
      </c>
      <c r="G1598" s="13">
        <v>35912.0</v>
      </c>
      <c r="H1598" s="13">
        <v>3447.57</v>
      </c>
      <c r="I1598" s="13">
        <f>' car_sales_data 1'!$G1598*0.2</f>
        <v>7182.4</v>
      </c>
      <c r="J1598" s="13" t="str">
        <f>TEXT(' car_sales_data 1'!$A1598,"mmmm")</f>
        <v>January</v>
      </c>
      <c r="K1598" s="13" t="str">
        <f>IF(' car_sales_data 1'!$G1598&gt;40000,"Premium",
 IF(' car_sales_data 1'!$G1598&gt;=20000,"Mid Range","Budget"))</f>
        <v>Mid Range</v>
      </c>
      <c r="L1598" s="13">
        <f>YEAR(TODAY())-' car_sales_data 1'!$F1598</f>
        <v>8</v>
      </c>
    </row>
    <row r="1599" ht="15.75" customHeight="1">
      <c r="A1599" s="16">
        <v>44746.0</v>
      </c>
      <c r="B1599" s="13" t="s">
        <v>3167</v>
      </c>
      <c r="C1599" s="13" t="s">
        <v>3168</v>
      </c>
      <c r="D1599" s="13" t="s">
        <v>8</v>
      </c>
      <c r="E1599" s="13" t="s">
        <v>51</v>
      </c>
      <c r="F1599" s="13">
        <v>2019.0</v>
      </c>
      <c r="G1599" s="13">
        <v>19285.0</v>
      </c>
      <c r="H1599" s="13">
        <v>2211.37</v>
      </c>
      <c r="I1599" s="13">
        <f>' car_sales_data 1'!$G1599*0.2</f>
        <v>3857</v>
      </c>
      <c r="J1599" s="13" t="str">
        <f>TEXT(' car_sales_data 1'!$A1599,"mmmm")</f>
        <v>July</v>
      </c>
      <c r="K1599" s="13" t="str">
        <f>IF(' car_sales_data 1'!$G1599&gt;40000,"Premium",
 IF(' car_sales_data 1'!$G1599&gt;=20000,"Mid Range","Budget"))</f>
        <v>Budget</v>
      </c>
      <c r="L1599" s="13">
        <f>YEAR(TODAY())-' car_sales_data 1'!$F1599</f>
        <v>6</v>
      </c>
    </row>
    <row r="1600" ht="15.75" customHeight="1">
      <c r="A1600" s="16">
        <v>44964.0</v>
      </c>
      <c r="B1600" s="13" t="s">
        <v>3169</v>
      </c>
      <c r="C1600" s="13" t="s">
        <v>3170</v>
      </c>
      <c r="D1600" s="13" t="s">
        <v>12</v>
      </c>
      <c r="E1600" s="13" t="s">
        <v>57</v>
      </c>
      <c r="F1600" s="13">
        <v>2021.0</v>
      </c>
      <c r="G1600" s="13">
        <v>28827.0</v>
      </c>
      <c r="H1600" s="13">
        <v>2958.73</v>
      </c>
      <c r="I1600" s="13">
        <f>' car_sales_data 1'!$G1600*0.2</f>
        <v>5765.4</v>
      </c>
      <c r="J1600" s="13" t="str">
        <f>TEXT(' car_sales_data 1'!$A1600,"mmmm")</f>
        <v>February</v>
      </c>
      <c r="K1600" s="13" t="str">
        <f>IF(' car_sales_data 1'!$G1600&gt;40000,"Premium",
 IF(' car_sales_data 1'!$G1600&gt;=20000,"Mid Range","Budget"))</f>
        <v>Mid Range</v>
      </c>
      <c r="L1600" s="13">
        <f>YEAR(TODAY())-' car_sales_data 1'!$F1600</f>
        <v>4</v>
      </c>
    </row>
    <row r="1601" ht="15.75" customHeight="1">
      <c r="A1601" s="16">
        <v>44914.0</v>
      </c>
      <c r="B1601" s="13" t="s">
        <v>3171</v>
      </c>
      <c r="C1601" s="13" t="s">
        <v>3172</v>
      </c>
      <c r="D1601" s="13" t="s">
        <v>8</v>
      </c>
      <c r="E1601" s="13" t="s">
        <v>57</v>
      </c>
      <c r="F1601" s="13">
        <v>2022.0</v>
      </c>
      <c r="G1601" s="13">
        <v>19935.0</v>
      </c>
      <c r="H1601" s="13">
        <v>1014.18</v>
      </c>
      <c r="I1601" s="13">
        <f>' car_sales_data 1'!$G1601*0.2</f>
        <v>3987</v>
      </c>
      <c r="J1601" s="13" t="str">
        <f>TEXT(' car_sales_data 1'!$A1601,"mmmm")</f>
        <v>December</v>
      </c>
      <c r="K1601" s="13" t="str">
        <f>IF(' car_sales_data 1'!$G1601&gt;40000,"Premium",
 IF(' car_sales_data 1'!$G1601&gt;=20000,"Mid Range","Budget"))</f>
        <v>Budget</v>
      </c>
      <c r="L1601" s="13">
        <f>YEAR(TODAY())-' car_sales_data 1'!$F1601</f>
        <v>3</v>
      </c>
    </row>
    <row r="1602" ht="15.75" customHeight="1">
      <c r="A1602" s="16">
        <v>45044.0</v>
      </c>
      <c r="B1602" s="13" t="s">
        <v>3173</v>
      </c>
      <c r="C1602" s="13" t="s">
        <v>3174</v>
      </c>
      <c r="D1602" s="13" t="s">
        <v>10</v>
      </c>
      <c r="E1602" s="13" t="s">
        <v>70</v>
      </c>
      <c r="F1602" s="13">
        <v>2015.0</v>
      </c>
      <c r="G1602" s="13">
        <v>11853.0</v>
      </c>
      <c r="H1602" s="13">
        <v>1265.73</v>
      </c>
      <c r="I1602" s="13">
        <f>' car_sales_data 1'!$G1602*0.2</f>
        <v>2370.6</v>
      </c>
      <c r="J1602" s="13" t="str">
        <f>TEXT(' car_sales_data 1'!$A1602,"mmmm")</f>
        <v>April</v>
      </c>
      <c r="K1602" s="13" t="str">
        <f>IF(' car_sales_data 1'!$G1602&gt;40000,"Premium",
 IF(' car_sales_data 1'!$G1602&gt;=20000,"Mid Range","Budget"))</f>
        <v>Budget</v>
      </c>
      <c r="L1602" s="13">
        <f>YEAR(TODAY())-' car_sales_data 1'!$F1602</f>
        <v>10</v>
      </c>
    </row>
    <row r="1603" ht="15.75" customHeight="1">
      <c r="A1603" s="16">
        <v>44834.0</v>
      </c>
      <c r="B1603" s="13" t="s">
        <v>3175</v>
      </c>
      <c r="C1603" s="13" t="s">
        <v>3176</v>
      </c>
      <c r="D1603" s="13" t="s">
        <v>6</v>
      </c>
      <c r="E1603" s="13" t="s">
        <v>70</v>
      </c>
      <c r="F1603" s="13">
        <v>2011.0</v>
      </c>
      <c r="G1603" s="13">
        <v>47776.0</v>
      </c>
      <c r="H1603" s="13">
        <v>4694.46</v>
      </c>
      <c r="I1603" s="13">
        <f>' car_sales_data 1'!$G1603*0.2</f>
        <v>9555.2</v>
      </c>
      <c r="J1603" s="13" t="str">
        <f>TEXT(' car_sales_data 1'!$A1603,"mmmm")</f>
        <v>September</v>
      </c>
      <c r="K1603" s="13" t="str">
        <f>IF(' car_sales_data 1'!$G1603&gt;40000,"Premium",
 IF(' car_sales_data 1'!$G1603&gt;=20000,"Mid Range","Budget"))</f>
        <v>Premium</v>
      </c>
      <c r="L1603" s="13">
        <f>YEAR(TODAY())-' car_sales_data 1'!$F1603</f>
        <v>14</v>
      </c>
    </row>
    <row r="1604" ht="15.75" customHeight="1">
      <c r="A1604" s="16">
        <v>44737.0</v>
      </c>
      <c r="B1604" s="13" t="s">
        <v>3177</v>
      </c>
      <c r="C1604" s="13" t="s">
        <v>3178</v>
      </c>
      <c r="D1604" s="13" t="s">
        <v>6</v>
      </c>
      <c r="E1604" s="13" t="s">
        <v>62</v>
      </c>
      <c r="F1604" s="13">
        <v>2022.0</v>
      </c>
      <c r="G1604" s="13">
        <v>24993.0</v>
      </c>
      <c r="H1604" s="13">
        <v>3700.2</v>
      </c>
      <c r="I1604" s="13">
        <f>' car_sales_data 1'!$G1604*0.2</f>
        <v>4998.6</v>
      </c>
      <c r="J1604" s="13" t="str">
        <f>TEXT(' car_sales_data 1'!$A1604,"mmmm")</f>
        <v>June</v>
      </c>
      <c r="K1604" s="13" t="str">
        <f>IF(' car_sales_data 1'!$G1604&gt;40000,"Premium",
 IF(' car_sales_data 1'!$G1604&gt;=20000,"Mid Range","Budget"))</f>
        <v>Mid Range</v>
      </c>
      <c r="L1604" s="13">
        <f>YEAR(TODAY())-' car_sales_data 1'!$F1604</f>
        <v>3</v>
      </c>
    </row>
    <row r="1605" ht="15.75" customHeight="1">
      <c r="A1605" s="16">
        <v>44779.0</v>
      </c>
      <c r="B1605" s="13" t="s">
        <v>3179</v>
      </c>
      <c r="C1605" s="13" t="s">
        <v>3180</v>
      </c>
      <c r="D1605" s="13" t="s">
        <v>14</v>
      </c>
      <c r="E1605" s="13" t="s">
        <v>57</v>
      </c>
      <c r="F1605" s="13">
        <v>2019.0</v>
      </c>
      <c r="G1605" s="13">
        <v>30835.0</v>
      </c>
      <c r="H1605" s="13">
        <v>3085.8</v>
      </c>
      <c r="I1605" s="13">
        <f>' car_sales_data 1'!$G1605*0.2</f>
        <v>6167</v>
      </c>
      <c r="J1605" s="13" t="str">
        <f>TEXT(' car_sales_data 1'!$A1605,"mmmm")</f>
        <v>August</v>
      </c>
      <c r="K1605" s="13" t="str">
        <f>IF(' car_sales_data 1'!$G1605&gt;40000,"Premium",
 IF(' car_sales_data 1'!$G1605&gt;=20000,"Mid Range","Budget"))</f>
        <v>Mid Range</v>
      </c>
      <c r="L1605" s="13">
        <f>YEAR(TODAY())-' car_sales_data 1'!$F1605</f>
        <v>6</v>
      </c>
    </row>
    <row r="1606" ht="15.75" customHeight="1">
      <c r="A1606" s="16">
        <v>44939.0</v>
      </c>
      <c r="B1606" s="13" t="s">
        <v>3181</v>
      </c>
      <c r="C1606" s="13" t="s">
        <v>3182</v>
      </c>
      <c r="D1606" s="13" t="s">
        <v>6</v>
      </c>
      <c r="E1606" s="13" t="s">
        <v>62</v>
      </c>
      <c r="F1606" s="13">
        <v>2018.0</v>
      </c>
      <c r="G1606" s="13">
        <v>16528.0</v>
      </c>
      <c r="H1606" s="13">
        <v>1554.37</v>
      </c>
      <c r="I1606" s="13">
        <f>' car_sales_data 1'!$G1606*0.2</f>
        <v>3305.6</v>
      </c>
      <c r="J1606" s="13" t="str">
        <f>TEXT(' car_sales_data 1'!$A1606,"mmmm")</f>
        <v>January</v>
      </c>
      <c r="K1606" s="13" t="str">
        <f>IF(' car_sales_data 1'!$G1606&gt;40000,"Premium",
 IF(' car_sales_data 1'!$G1606&gt;=20000,"Mid Range","Budget"))</f>
        <v>Budget</v>
      </c>
      <c r="L1606" s="13">
        <f>YEAR(TODAY())-' car_sales_data 1'!$F1606</f>
        <v>7</v>
      </c>
    </row>
    <row r="1607" ht="15.75" customHeight="1">
      <c r="A1607" s="16">
        <v>44995.0</v>
      </c>
      <c r="B1607" s="13" t="s">
        <v>3183</v>
      </c>
      <c r="C1607" s="13" t="s">
        <v>3184</v>
      </c>
      <c r="D1607" s="13" t="s">
        <v>6</v>
      </c>
      <c r="E1607" s="13" t="s">
        <v>70</v>
      </c>
      <c r="F1607" s="13">
        <v>2013.0</v>
      </c>
      <c r="G1607" s="13">
        <v>15782.0</v>
      </c>
      <c r="H1607" s="13">
        <v>1643.17</v>
      </c>
      <c r="I1607" s="13">
        <f>' car_sales_data 1'!$G1607*0.2</f>
        <v>3156.4</v>
      </c>
      <c r="J1607" s="13" t="str">
        <f>TEXT(' car_sales_data 1'!$A1607,"mmmm")</f>
        <v>March</v>
      </c>
      <c r="K1607" s="13" t="str">
        <f>IF(' car_sales_data 1'!$G1607&gt;40000,"Premium",
 IF(' car_sales_data 1'!$G1607&gt;=20000,"Mid Range","Budget"))</f>
        <v>Budget</v>
      </c>
      <c r="L1607" s="13">
        <f>YEAR(TODAY())-' car_sales_data 1'!$F1607</f>
        <v>12</v>
      </c>
    </row>
    <row r="1608" ht="15.75" customHeight="1">
      <c r="A1608" s="16">
        <v>44789.0</v>
      </c>
      <c r="B1608" s="13" t="s">
        <v>3185</v>
      </c>
      <c r="C1608" s="13" t="s">
        <v>3186</v>
      </c>
      <c r="D1608" s="13" t="s">
        <v>10</v>
      </c>
      <c r="E1608" s="13" t="s">
        <v>54</v>
      </c>
      <c r="F1608" s="13">
        <v>2016.0</v>
      </c>
      <c r="G1608" s="13">
        <v>24391.0</v>
      </c>
      <c r="H1608" s="13">
        <v>1797.46</v>
      </c>
      <c r="I1608" s="13">
        <f>' car_sales_data 1'!$G1608*0.2</f>
        <v>4878.2</v>
      </c>
      <c r="J1608" s="13" t="str">
        <f>TEXT(' car_sales_data 1'!$A1608,"mmmm")</f>
        <v>August</v>
      </c>
      <c r="K1608" s="13" t="str">
        <f>IF(' car_sales_data 1'!$G1608&gt;40000,"Premium",
 IF(' car_sales_data 1'!$G1608&gt;=20000,"Mid Range","Budget"))</f>
        <v>Mid Range</v>
      </c>
      <c r="L1608" s="13">
        <f>YEAR(TODAY())-' car_sales_data 1'!$F1608</f>
        <v>9</v>
      </c>
    </row>
    <row r="1609" ht="15.75" customHeight="1">
      <c r="A1609" s="16">
        <v>44887.0</v>
      </c>
      <c r="B1609" s="13" t="s">
        <v>3187</v>
      </c>
      <c r="C1609" s="13" t="s">
        <v>3188</v>
      </c>
      <c r="D1609" s="13" t="s">
        <v>10</v>
      </c>
      <c r="E1609" s="13" t="s">
        <v>62</v>
      </c>
      <c r="F1609" s="13">
        <v>2016.0</v>
      </c>
      <c r="G1609" s="13">
        <v>47832.0</v>
      </c>
      <c r="H1609" s="13">
        <v>2766.98</v>
      </c>
      <c r="I1609" s="13">
        <f>' car_sales_data 1'!$G1609*0.2</f>
        <v>9566.4</v>
      </c>
      <c r="J1609" s="13" t="str">
        <f>TEXT(' car_sales_data 1'!$A1609,"mmmm")</f>
        <v>November</v>
      </c>
      <c r="K1609" s="13" t="str">
        <f>IF(' car_sales_data 1'!$G1609&gt;40000,"Premium",
 IF(' car_sales_data 1'!$G1609&gt;=20000,"Mid Range","Budget"))</f>
        <v>Premium</v>
      </c>
      <c r="L1609" s="13">
        <f>YEAR(TODAY())-' car_sales_data 1'!$F1609</f>
        <v>9</v>
      </c>
    </row>
    <row r="1610" ht="15.75" customHeight="1">
      <c r="A1610" s="16">
        <v>44741.0</v>
      </c>
      <c r="B1610" s="13" t="s">
        <v>20</v>
      </c>
      <c r="C1610" s="13" t="s">
        <v>3189</v>
      </c>
      <c r="D1610" s="13" t="s">
        <v>10</v>
      </c>
      <c r="E1610" s="13" t="s">
        <v>62</v>
      </c>
      <c r="F1610" s="13">
        <v>2022.0</v>
      </c>
      <c r="G1610" s="13">
        <v>38477.0</v>
      </c>
      <c r="H1610" s="13">
        <v>4224.21</v>
      </c>
      <c r="I1610" s="13">
        <f>' car_sales_data 1'!$G1610*0.2</f>
        <v>7695.4</v>
      </c>
      <c r="J1610" s="13" t="str">
        <f>TEXT(' car_sales_data 1'!$A1610,"mmmm")</f>
        <v>June</v>
      </c>
      <c r="K1610" s="13" t="str">
        <f>IF(' car_sales_data 1'!$G1610&gt;40000,"Premium",
 IF(' car_sales_data 1'!$G1610&gt;=20000,"Mid Range","Budget"))</f>
        <v>Mid Range</v>
      </c>
      <c r="L1610" s="13">
        <f>YEAR(TODAY())-' car_sales_data 1'!$F1610</f>
        <v>3</v>
      </c>
    </row>
    <row r="1611" ht="15.75" customHeight="1">
      <c r="A1611" s="16">
        <v>44980.0</v>
      </c>
      <c r="B1611" s="13" t="s">
        <v>3190</v>
      </c>
      <c r="C1611" s="13" t="s">
        <v>3191</v>
      </c>
      <c r="D1611" s="13" t="s">
        <v>12</v>
      </c>
      <c r="E1611" s="13" t="s">
        <v>57</v>
      </c>
      <c r="F1611" s="13">
        <v>2012.0</v>
      </c>
      <c r="G1611" s="13">
        <v>44377.0</v>
      </c>
      <c r="H1611" s="13">
        <v>6428.62</v>
      </c>
      <c r="I1611" s="13">
        <f>' car_sales_data 1'!$G1611*0.2</f>
        <v>8875.4</v>
      </c>
      <c r="J1611" s="13" t="str">
        <f>TEXT(' car_sales_data 1'!$A1611,"mmmm")</f>
        <v>February</v>
      </c>
      <c r="K1611" s="13" t="str">
        <f>IF(' car_sales_data 1'!$G1611&gt;40000,"Premium",
 IF(' car_sales_data 1'!$G1611&gt;=20000,"Mid Range","Budget"))</f>
        <v>Premium</v>
      </c>
      <c r="L1611" s="13">
        <f>YEAR(TODAY())-' car_sales_data 1'!$F1611</f>
        <v>13</v>
      </c>
    </row>
    <row r="1612" ht="15.75" customHeight="1">
      <c r="A1612" s="16">
        <v>44933.0</v>
      </c>
      <c r="B1612" s="13" t="s">
        <v>3192</v>
      </c>
      <c r="C1612" s="13" t="s">
        <v>3193</v>
      </c>
      <c r="D1612" s="13" t="s">
        <v>12</v>
      </c>
      <c r="E1612" s="13" t="s">
        <v>57</v>
      </c>
      <c r="F1612" s="13">
        <v>2021.0</v>
      </c>
      <c r="G1612" s="13">
        <v>46737.0</v>
      </c>
      <c r="H1612" s="13">
        <v>5768.11</v>
      </c>
      <c r="I1612" s="13">
        <f>' car_sales_data 1'!$G1612*0.2</f>
        <v>9347.4</v>
      </c>
      <c r="J1612" s="13" t="str">
        <f>TEXT(' car_sales_data 1'!$A1612,"mmmm")</f>
        <v>January</v>
      </c>
      <c r="K1612" s="13" t="str">
        <f>IF(' car_sales_data 1'!$G1612&gt;40000,"Premium",
 IF(' car_sales_data 1'!$G1612&gt;=20000,"Mid Range","Budget"))</f>
        <v>Premium</v>
      </c>
      <c r="L1612" s="13">
        <f>YEAR(TODAY())-' car_sales_data 1'!$F1612</f>
        <v>4</v>
      </c>
    </row>
    <row r="1613" ht="15.75" customHeight="1">
      <c r="A1613" s="16">
        <v>44875.0</v>
      </c>
      <c r="B1613" s="13" t="s">
        <v>3194</v>
      </c>
      <c r="C1613" s="13" t="s">
        <v>3195</v>
      </c>
      <c r="D1613" s="13" t="s">
        <v>12</v>
      </c>
      <c r="E1613" s="13" t="s">
        <v>51</v>
      </c>
      <c r="F1613" s="13">
        <v>2013.0</v>
      </c>
      <c r="G1613" s="13">
        <v>42922.0</v>
      </c>
      <c r="H1613" s="13">
        <v>5687.17</v>
      </c>
      <c r="I1613" s="13">
        <f>' car_sales_data 1'!$G1613*0.2</f>
        <v>8584.4</v>
      </c>
      <c r="J1613" s="13" t="str">
        <f>TEXT(' car_sales_data 1'!$A1613,"mmmm")</f>
        <v>November</v>
      </c>
      <c r="K1613" s="13" t="str">
        <f>IF(' car_sales_data 1'!$G1613&gt;40000,"Premium",
 IF(' car_sales_data 1'!$G1613&gt;=20000,"Mid Range","Budget"))</f>
        <v>Premium</v>
      </c>
      <c r="L1613" s="13">
        <f>YEAR(TODAY())-' car_sales_data 1'!$F1613</f>
        <v>12</v>
      </c>
    </row>
    <row r="1614" ht="15.75" customHeight="1">
      <c r="A1614" s="16">
        <v>44720.0</v>
      </c>
      <c r="B1614" s="13" t="s">
        <v>3196</v>
      </c>
      <c r="C1614" s="13" t="s">
        <v>3197</v>
      </c>
      <c r="D1614" s="13" t="s">
        <v>10</v>
      </c>
      <c r="E1614" s="13" t="s">
        <v>70</v>
      </c>
      <c r="F1614" s="13">
        <v>2013.0</v>
      </c>
      <c r="G1614" s="13">
        <v>36800.0</v>
      </c>
      <c r="H1614" s="13">
        <v>3237.74</v>
      </c>
      <c r="I1614" s="13">
        <f>' car_sales_data 1'!$G1614*0.2</f>
        <v>7360</v>
      </c>
      <c r="J1614" s="13" t="str">
        <f>TEXT(' car_sales_data 1'!$A1614,"mmmm")</f>
        <v>June</v>
      </c>
      <c r="K1614" s="13" t="str">
        <f>IF(' car_sales_data 1'!$G1614&gt;40000,"Premium",
 IF(' car_sales_data 1'!$G1614&gt;=20000,"Mid Range","Budget"))</f>
        <v>Mid Range</v>
      </c>
      <c r="L1614" s="13">
        <f>YEAR(TODAY())-' car_sales_data 1'!$F1614</f>
        <v>12</v>
      </c>
    </row>
    <row r="1615" ht="15.75" customHeight="1">
      <c r="A1615" s="16">
        <v>44936.0</v>
      </c>
      <c r="B1615" s="13" t="s">
        <v>3198</v>
      </c>
      <c r="C1615" s="13" t="s">
        <v>3199</v>
      </c>
      <c r="D1615" s="13" t="s">
        <v>10</v>
      </c>
      <c r="E1615" s="13" t="s">
        <v>54</v>
      </c>
      <c r="F1615" s="13">
        <v>2021.0</v>
      </c>
      <c r="G1615" s="13">
        <v>35523.0</v>
      </c>
      <c r="H1615" s="13">
        <v>2893.53</v>
      </c>
      <c r="I1615" s="13">
        <f>' car_sales_data 1'!$G1615*0.2</f>
        <v>7104.6</v>
      </c>
      <c r="J1615" s="13" t="str">
        <f>TEXT(' car_sales_data 1'!$A1615,"mmmm")</f>
        <v>January</v>
      </c>
      <c r="K1615" s="13" t="str">
        <f>IF(' car_sales_data 1'!$G1615&gt;40000,"Premium",
 IF(' car_sales_data 1'!$G1615&gt;=20000,"Mid Range","Budget"))</f>
        <v>Mid Range</v>
      </c>
      <c r="L1615" s="13">
        <f>YEAR(TODAY())-' car_sales_data 1'!$F1615</f>
        <v>4</v>
      </c>
    </row>
    <row r="1616" ht="15.75" customHeight="1">
      <c r="A1616" s="16">
        <v>44890.0</v>
      </c>
      <c r="B1616" s="13" t="s">
        <v>3200</v>
      </c>
      <c r="C1616" s="13" t="s">
        <v>3201</v>
      </c>
      <c r="D1616" s="13" t="s">
        <v>14</v>
      </c>
      <c r="E1616" s="13" t="s">
        <v>57</v>
      </c>
      <c r="F1616" s="13">
        <v>2012.0</v>
      </c>
      <c r="G1616" s="13">
        <v>17322.0</v>
      </c>
      <c r="H1616" s="13">
        <v>1768.01</v>
      </c>
      <c r="I1616" s="13">
        <f>' car_sales_data 1'!$G1616*0.2</f>
        <v>3464.4</v>
      </c>
      <c r="J1616" s="13" t="str">
        <f>TEXT(' car_sales_data 1'!$A1616,"mmmm")</f>
        <v>November</v>
      </c>
      <c r="K1616" s="13" t="str">
        <f>IF(' car_sales_data 1'!$G1616&gt;40000,"Premium",
 IF(' car_sales_data 1'!$G1616&gt;=20000,"Mid Range","Budget"))</f>
        <v>Budget</v>
      </c>
      <c r="L1616" s="13">
        <f>YEAR(TODAY())-' car_sales_data 1'!$F1616</f>
        <v>13</v>
      </c>
    </row>
    <row r="1617" ht="15.75" customHeight="1">
      <c r="A1617" s="16">
        <v>44864.0</v>
      </c>
      <c r="B1617" s="13" t="s">
        <v>3202</v>
      </c>
      <c r="C1617" s="13" t="s">
        <v>3203</v>
      </c>
      <c r="D1617" s="13" t="s">
        <v>12</v>
      </c>
      <c r="E1617" s="13" t="s">
        <v>57</v>
      </c>
      <c r="F1617" s="13">
        <v>2020.0</v>
      </c>
      <c r="G1617" s="13">
        <v>25095.0</v>
      </c>
      <c r="H1617" s="13">
        <v>1920.13</v>
      </c>
      <c r="I1617" s="13">
        <f>' car_sales_data 1'!$G1617*0.2</f>
        <v>5019</v>
      </c>
      <c r="J1617" s="13" t="str">
        <f>TEXT(' car_sales_data 1'!$A1617,"mmmm")</f>
        <v>October</v>
      </c>
      <c r="K1617" s="13" t="str">
        <f>IF(' car_sales_data 1'!$G1617&gt;40000,"Premium",
 IF(' car_sales_data 1'!$G1617&gt;=20000,"Mid Range","Budget"))</f>
        <v>Mid Range</v>
      </c>
      <c r="L1617" s="13">
        <f>YEAR(TODAY())-' car_sales_data 1'!$F1617</f>
        <v>5</v>
      </c>
    </row>
    <row r="1618" ht="15.75" customHeight="1">
      <c r="A1618" s="16">
        <v>44835.0</v>
      </c>
      <c r="B1618" s="13" t="s">
        <v>3204</v>
      </c>
      <c r="C1618" s="13" t="s">
        <v>3205</v>
      </c>
      <c r="D1618" s="13" t="s">
        <v>12</v>
      </c>
      <c r="E1618" s="13" t="s">
        <v>51</v>
      </c>
      <c r="F1618" s="13">
        <v>2020.0</v>
      </c>
      <c r="G1618" s="13">
        <v>48926.0</v>
      </c>
      <c r="H1618" s="13">
        <v>2757.08</v>
      </c>
      <c r="I1618" s="13">
        <f>' car_sales_data 1'!$G1618*0.2</f>
        <v>9785.2</v>
      </c>
      <c r="J1618" s="13" t="str">
        <f>TEXT(' car_sales_data 1'!$A1618,"mmmm")</f>
        <v>October</v>
      </c>
      <c r="K1618" s="13" t="str">
        <f>IF(' car_sales_data 1'!$G1618&gt;40000,"Premium",
 IF(' car_sales_data 1'!$G1618&gt;=20000,"Mid Range","Budget"))</f>
        <v>Premium</v>
      </c>
      <c r="L1618" s="13">
        <f>YEAR(TODAY())-' car_sales_data 1'!$F1618</f>
        <v>5</v>
      </c>
    </row>
    <row r="1619" ht="15.75" customHeight="1">
      <c r="A1619" s="16">
        <v>44848.0</v>
      </c>
      <c r="B1619" s="13" t="s">
        <v>3206</v>
      </c>
      <c r="C1619" s="13" t="s">
        <v>3207</v>
      </c>
      <c r="D1619" s="13" t="s">
        <v>8</v>
      </c>
      <c r="E1619" s="13" t="s">
        <v>62</v>
      </c>
      <c r="F1619" s="13">
        <v>2011.0</v>
      </c>
      <c r="G1619" s="13">
        <v>36055.0</v>
      </c>
      <c r="H1619" s="13">
        <v>4734.15</v>
      </c>
      <c r="I1619" s="13">
        <f>' car_sales_data 1'!$G1619*0.2</f>
        <v>7211</v>
      </c>
      <c r="J1619" s="13" t="str">
        <f>TEXT(' car_sales_data 1'!$A1619,"mmmm")</f>
        <v>October</v>
      </c>
      <c r="K1619" s="13" t="str">
        <f>IF(' car_sales_data 1'!$G1619&gt;40000,"Premium",
 IF(' car_sales_data 1'!$G1619&gt;=20000,"Mid Range","Budget"))</f>
        <v>Mid Range</v>
      </c>
      <c r="L1619" s="13">
        <f>YEAR(TODAY())-' car_sales_data 1'!$F1619</f>
        <v>14</v>
      </c>
    </row>
    <row r="1620" ht="15.75" customHeight="1">
      <c r="A1620" s="16">
        <v>44972.0</v>
      </c>
      <c r="B1620" s="13" t="s">
        <v>3208</v>
      </c>
      <c r="C1620" s="13" t="s">
        <v>3209</v>
      </c>
      <c r="D1620" s="13" t="s">
        <v>10</v>
      </c>
      <c r="E1620" s="13" t="s">
        <v>54</v>
      </c>
      <c r="F1620" s="13">
        <v>2017.0</v>
      </c>
      <c r="G1620" s="13">
        <v>44213.0</v>
      </c>
      <c r="H1620" s="13">
        <v>3199.81</v>
      </c>
      <c r="I1620" s="13">
        <f>' car_sales_data 1'!$G1620*0.2</f>
        <v>8842.6</v>
      </c>
      <c r="J1620" s="13" t="str">
        <f>TEXT(' car_sales_data 1'!$A1620,"mmmm")</f>
        <v>February</v>
      </c>
      <c r="K1620" s="13" t="str">
        <f>IF(' car_sales_data 1'!$G1620&gt;40000,"Premium",
 IF(' car_sales_data 1'!$G1620&gt;=20000,"Mid Range","Budget"))</f>
        <v>Premium</v>
      </c>
      <c r="L1620" s="13">
        <f>YEAR(TODAY())-' car_sales_data 1'!$F1620</f>
        <v>8</v>
      </c>
    </row>
    <row r="1621" ht="15.75" customHeight="1">
      <c r="A1621" s="16">
        <v>44762.0</v>
      </c>
      <c r="B1621" s="13" t="s">
        <v>3210</v>
      </c>
      <c r="C1621" s="13" t="s">
        <v>3211</v>
      </c>
      <c r="D1621" s="13" t="s">
        <v>6</v>
      </c>
      <c r="E1621" s="13" t="s">
        <v>70</v>
      </c>
      <c r="F1621" s="13">
        <v>2017.0</v>
      </c>
      <c r="G1621" s="13">
        <v>36618.0</v>
      </c>
      <c r="H1621" s="13">
        <v>4748.31</v>
      </c>
      <c r="I1621" s="13">
        <f>' car_sales_data 1'!$G1621*0.2</f>
        <v>7323.6</v>
      </c>
      <c r="J1621" s="13" t="str">
        <f>TEXT(' car_sales_data 1'!$A1621,"mmmm")</f>
        <v>July</v>
      </c>
      <c r="K1621" s="13" t="str">
        <f>IF(' car_sales_data 1'!$G1621&gt;40000,"Premium",
 IF(' car_sales_data 1'!$G1621&gt;=20000,"Mid Range","Budget"))</f>
        <v>Mid Range</v>
      </c>
      <c r="L1621" s="13">
        <f>YEAR(TODAY())-' car_sales_data 1'!$F1621</f>
        <v>8</v>
      </c>
    </row>
    <row r="1622" ht="15.75" customHeight="1">
      <c r="A1622" s="16">
        <v>45010.0</v>
      </c>
      <c r="B1622" s="13" t="s">
        <v>3212</v>
      </c>
      <c r="C1622" s="13" t="s">
        <v>3213</v>
      </c>
      <c r="D1622" s="13" t="s">
        <v>14</v>
      </c>
      <c r="E1622" s="13" t="s">
        <v>51</v>
      </c>
      <c r="F1622" s="13">
        <v>2019.0</v>
      </c>
      <c r="G1622" s="13">
        <v>36344.0</v>
      </c>
      <c r="H1622" s="13">
        <v>3199.36</v>
      </c>
      <c r="I1622" s="13">
        <f>' car_sales_data 1'!$G1622*0.2</f>
        <v>7268.8</v>
      </c>
      <c r="J1622" s="13" t="str">
        <f>TEXT(' car_sales_data 1'!$A1622,"mmmm")</f>
        <v>March</v>
      </c>
      <c r="K1622" s="13" t="str">
        <f>IF(' car_sales_data 1'!$G1622&gt;40000,"Premium",
 IF(' car_sales_data 1'!$G1622&gt;=20000,"Mid Range","Budget"))</f>
        <v>Mid Range</v>
      </c>
      <c r="L1622" s="13">
        <f>YEAR(TODAY())-' car_sales_data 1'!$F1622</f>
        <v>6</v>
      </c>
    </row>
    <row r="1623" ht="15.75" customHeight="1">
      <c r="A1623" s="16">
        <v>44758.0</v>
      </c>
      <c r="B1623" s="13" t="s">
        <v>3214</v>
      </c>
      <c r="C1623" s="13" t="s">
        <v>3215</v>
      </c>
      <c r="D1623" s="13" t="s">
        <v>8</v>
      </c>
      <c r="E1623" s="13" t="s">
        <v>70</v>
      </c>
      <c r="F1623" s="13">
        <v>2010.0</v>
      </c>
      <c r="G1623" s="13">
        <v>32240.0</v>
      </c>
      <c r="H1623" s="13">
        <v>2996.97</v>
      </c>
      <c r="I1623" s="13">
        <f>' car_sales_data 1'!$G1623*0.2</f>
        <v>6448</v>
      </c>
      <c r="J1623" s="13" t="str">
        <f>TEXT(' car_sales_data 1'!$A1623,"mmmm")</f>
        <v>July</v>
      </c>
      <c r="K1623" s="13" t="str">
        <f>IF(' car_sales_data 1'!$G1623&gt;40000,"Premium",
 IF(' car_sales_data 1'!$G1623&gt;=20000,"Mid Range","Budget"))</f>
        <v>Mid Range</v>
      </c>
      <c r="L1623" s="13">
        <f>YEAR(TODAY())-' car_sales_data 1'!$F1623</f>
        <v>15</v>
      </c>
    </row>
    <row r="1624" ht="15.75" customHeight="1">
      <c r="A1624" s="16">
        <v>44960.0</v>
      </c>
      <c r="B1624" s="13" t="s">
        <v>3216</v>
      </c>
      <c r="C1624" s="13" t="s">
        <v>3217</v>
      </c>
      <c r="D1624" s="13" t="s">
        <v>10</v>
      </c>
      <c r="E1624" s="13" t="s">
        <v>57</v>
      </c>
      <c r="F1624" s="13">
        <v>2010.0</v>
      </c>
      <c r="G1624" s="13">
        <v>24282.0</v>
      </c>
      <c r="H1624" s="13">
        <v>3468.75</v>
      </c>
      <c r="I1624" s="13">
        <f>' car_sales_data 1'!$G1624*0.2</f>
        <v>4856.4</v>
      </c>
      <c r="J1624" s="13" t="str">
        <f>TEXT(' car_sales_data 1'!$A1624,"mmmm")</f>
        <v>February</v>
      </c>
      <c r="K1624" s="13" t="str">
        <f>IF(' car_sales_data 1'!$G1624&gt;40000,"Premium",
 IF(' car_sales_data 1'!$G1624&gt;=20000,"Mid Range","Budget"))</f>
        <v>Mid Range</v>
      </c>
      <c r="L1624" s="13">
        <f>YEAR(TODAY())-' car_sales_data 1'!$F1624</f>
        <v>15</v>
      </c>
    </row>
    <row r="1625" ht="15.75" customHeight="1">
      <c r="A1625" s="16">
        <v>44693.0</v>
      </c>
      <c r="B1625" s="13" t="s">
        <v>3218</v>
      </c>
      <c r="C1625" s="13" t="s">
        <v>3219</v>
      </c>
      <c r="D1625" s="13" t="s">
        <v>14</v>
      </c>
      <c r="E1625" s="13" t="s">
        <v>51</v>
      </c>
      <c r="F1625" s="13">
        <v>2022.0</v>
      </c>
      <c r="G1625" s="13">
        <v>35991.0</v>
      </c>
      <c r="H1625" s="13">
        <v>2896.32</v>
      </c>
      <c r="I1625" s="13">
        <f>' car_sales_data 1'!$G1625*0.2</f>
        <v>7198.2</v>
      </c>
      <c r="J1625" s="13" t="str">
        <f>TEXT(' car_sales_data 1'!$A1625,"mmmm")</f>
        <v>May</v>
      </c>
      <c r="K1625" s="13" t="str">
        <f>IF(' car_sales_data 1'!$G1625&gt;40000,"Premium",
 IF(' car_sales_data 1'!$G1625&gt;=20000,"Mid Range","Budget"))</f>
        <v>Mid Range</v>
      </c>
      <c r="L1625" s="13">
        <f>YEAR(TODAY())-' car_sales_data 1'!$F1625</f>
        <v>3</v>
      </c>
    </row>
    <row r="1626" ht="15.75" customHeight="1">
      <c r="A1626" s="16">
        <v>44836.0</v>
      </c>
      <c r="B1626" s="13" t="s">
        <v>3220</v>
      </c>
      <c r="C1626" s="13" t="s">
        <v>3221</v>
      </c>
      <c r="D1626" s="13" t="s">
        <v>6</v>
      </c>
      <c r="E1626" s="13" t="s">
        <v>54</v>
      </c>
      <c r="F1626" s="13">
        <v>2013.0</v>
      </c>
      <c r="G1626" s="13">
        <v>48504.0</v>
      </c>
      <c r="H1626" s="13">
        <v>7250.44</v>
      </c>
      <c r="I1626" s="13">
        <f>' car_sales_data 1'!$G1626*0.2</f>
        <v>9700.8</v>
      </c>
      <c r="J1626" s="13" t="str">
        <f>TEXT(' car_sales_data 1'!$A1626,"mmmm")</f>
        <v>October</v>
      </c>
      <c r="K1626" s="13" t="str">
        <f>IF(' car_sales_data 1'!$G1626&gt;40000,"Premium",
 IF(' car_sales_data 1'!$G1626&gt;=20000,"Mid Range","Budget"))</f>
        <v>Premium</v>
      </c>
      <c r="L1626" s="13">
        <f>YEAR(TODAY())-' car_sales_data 1'!$F1626</f>
        <v>12</v>
      </c>
    </row>
    <row r="1627" ht="15.75" customHeight="1">
      <c r="A1627" s="16">
        <v>45000.0</v>
      </c>
      <c r="B1627" s="13" t="s">
        <v>3222</v>
      </c>
      <c r="C1627" s="13" t="s">
        <v>3223</v>
      </c>
      <c r="D1627" s="13" t="s">
        <v>6</v>
      </c>
      <c r="E1627" s="13" t="s">
        <v>57</v>
      </c>
      <c r="F1627" s="13">
        <v>2021.0</v>
      </c>
      <c r="G1627" s="13">
        <v>12021.0</v>
      </c>
      <c r="H1627" s="13">
        <v>1261.06</v>
      </c>
      <c r="I1627" s="13">
        <f>' car_sales_data 1'!$G1627*0.2</f>
        <v>2404.2</v>
      </c>
      <c r="J1627" s="13" t="str">
        <f>TEXT(' car_sales_data 1'!$A1627,"mmmm")</f>
        <v>March</v>
      </c>
      <c r="K1627" s="13" t="str">
        <f>IF(' car_sales_data 1'!$G1627&gt;40000,"Premium",
 IF(' car_sales_data 1'!$G1627&gt;=20000,"Mid Range","Budget"))</f>
        <v>Budget</v>
      </c>
      <c r="L1627" s="13">
        <f>YEAR(TODAY())-' car_sales_data 1'!$F1627</f>
        <v>4</v>
      </c>
    </row>
    <row r="1628" ht="15.75" customHeight="1">
      <c r="A1628" s="16">
        <v>44858.0</v>
      </c>
      <c r="B1628" s="13" t="s">
        <v>3224</v>
      </c>
      <c r="C1628" s="13" t="s">
        <v>3225</v>
      </c>
      <c r="D1628" s="13" t="s">
        <v>12</v>
      </c>
      <c r="E1628" s="13" t="s">
        <v>70</v>
      </c>
      <c r="F1628" s="13">
        <v>2014.0</v>
      </c>
      <c r="G1628" s="13">
        <v>31661.0</v>
      </c>
      <c r="H1628" s="13">
        <v>2485.53</v>
      </c>
      <c r="I1628" s="13">
        <f>' car_sales_data 1'!$G1628*0.2</f>
        <v>6332.2</v>
      </c>
      <c r="J1628" s="13" t="str">
        <f>TEXT(' car_sales_data 1'!$A1628,"mmmm")</f>
        <v>October</v>
      </c>
      <c r="K1628" s="13" t="str">
        <f>IF(' car_sales_data 1'!$G1628&gt;40000,"Premium",
 IF(' car_sales_data 1'!$G1628&gt;=20000,"Mid Range","Budget"))</f>
        <v>Mid Range</v>
      </c>
      <c r="L1628" s="13">
        <f>YEAR(TODAY())-' car_sales_data 1'!$F1628</f>
        <v>11</v>
      </c>
    </row>
    <row r="1629" ht="15.75" customHeight="1">
      <c r="A1629" s="16">
        <v>44889.0</v>
      </c>
      <c r="B1629" s="13" t="s">
        <v>3226</v>
      </c>
      <c r="C1629" s="13" t="s">
        <v>3227</v>
      </c>
      <c r="D1629" s="13" t="s">
        <v>10</v>
      </c>
      <c r="E1629" s="13" t="s">
        <v>57</v>
      </c>
      <c r="F1629" s="13">
        <v>2014.0</v>
      </c>
      <c r="G1629" s="13">
        <v>13345.0</v>
      </c>
      <c r="H1629" s="13">
        <v>1271.75</v>
      </c>
      <c r="I1629" s="13">
        <f>' car_sales_data 1'!$G1629*0.2</f>
        <v>2669</v>
      </c>
      <c r="J1629" s="13" t="str">
        <f>TEXT(' car_sales_data 1'!$A1629,"mmmm")</f>
        <v>November</v>
      </c>
      <c r="K1629" s="13" t="str">
        <f>IF(' car_sales_data 1'!$G1629&gt;40000,"Premium",
 IF(' car_sales_data 1'!$G1629&gt;=20000,"Mid Range","Budget"))</f>
        <v>Budget</v>
      </c>
      <c r="L1629" s="13">
        <f>YEAR(TODAY())-' car_sales_data 1'!$F1629</f>
        <v>11</v>
      </c>
    </row>
    <row r="1630" ht="15.75" customHeight="1">
      <c r="A1630" s="16">
        <v>44788.0</v>
      </c>
      <c r="B1630" s="13" t="s">
        <v>3228</v>
      </c>
      <c r="C1630" s="13" t="s">
        <v>3229</v>
      </c>
      <c r="D1630" s="13" t="s">
        <v>8</v>
      </c>
      <c r="E1630" s="13" t="s">
        <v>57</v>
      </c>
      <c r="F1630" s="13">
        <v>2010.0</v>
      </c>
      <c r="G1630" s="13">
        <v>35942.0</v>
      </c>
      <c r="H1630" s="13">
        <v>2600.01</v>
      </c>
      <c r="I1630" s="13">
        <f>' car_sales_data 1'!$G1630*0.2</f>
        <v>7188.4</v>
      </c>
      <c r="J1630" s="13" t="str">
        <f>TEXT(' car_sales_data 1'!$A1630,"mmmm")</f>
        <v>August</v>
      </c>
      <c r="K1630" s="13" t="str">
        <f>IF(' car_sales_data 1'!$G1630&gt;40000,"Premium",
 IF(' car_sales_data 1'!$G1630&gt;=20000,"Mid Range","Budget"))</f>
        <v>Mid Range</v>
      </c>
      <c r="L1630" s="13">
        <f>YEAR(TODAY())-' car_sales_data 1'!$F1630</f>
        <v>15</v>
      </c>
    </row>
    <row r="1631" ht="15.75" customHeight="1">
      <c r="A1631" s="16">
        <v>44941.0</v>
      </c>
      <c r="B1631" s="13" t="s">
        <v>3230</v>
      </c>
      <c r="C1631" s="13" t="s">
        <v>3231</v>
      </c>
      <c r="D1631" s="13" t="s">
        <v>12</v>
      </c>
      <c r="E1631" s="13" t="s">
        <v>54</v>
      </c>
      <c r="F1631" s="13">
        <v>2018.0</v>
      </c>
      <c r="G1631" s="13">
        <v>17711.0</v>
      </c>
      <c r="H1631" s="13">
        <v>1402.75</v>
      </c>
      <c r="I1631" s="13">
        <f>' car_sales_data 1'!$G1631*0.2</f>
        <v>3542.2</v>
      </c>
      <c r="J1631" s="13" t="str">
        <f>TEXT(' car_sales_data 1'!$A1631,"mmmm")</f>
        <v>January</v>
      </c>
      <c r="K1631" s="13" t="str">
        <f>IF(' car_sales_data 1'!$G1631&gt;40000,"Premium",
 IF(' car_sales_data 1'!$G1631&gt;=20000,"Mid Range","Budget"))</f>
        <v>Budget</v>
      </c>
      <c r="L1631" s="13">
        <f>YEAR(TODAY())-' car_sales_data 1'!$F1631</f>
        <v>7</v>
      </c>
    </row>
    <row r="1632" ht="15.75" customHeight="1">
      <c r="A1632" s="16">
        <v>44692.0</v>
      </c>
      <c r="B1632" s="13" t="s">
        <v>3232</v>
      </c>
      <c r="C1632" s="13" t="s">
        <v>3233</v>
      </c>
      <c r="D1632" s="13" t="s">
        <v>6</v>
      </c>
      <c r="E1632" s="13" t="s">
        <v>70</v>
      </c>
      <c r="F1632" s="13">
        <v>2014.0</v>
      </c>
      <c r="G1632" s="13">
        <v>48146.0</v>
      </c>
      <c r="H1632" s="13">
        <v>6247.8</v>
      </c>
      <c r="I1632" s="13">
        <f>' car_sales_data 1'!$G1632*0.2</f>
        <v>9629.2</v>
      </c>
      <c r="J1632" s="13" t="str">
        <f>TEXT(' car_sales_data 1'!$A1632,"mmmm")</f>
        <v>May</v>
      </c>
      <c r="K1632" s="13" t="str">
        <f>IF(' car_sales_data 1'!$G1632&gt;40000,"Premium",
 IF(' car_sales_data 1'!$G1632&gt;=20000,"Mid Range","Budget"))</f>
        <v>Premium</v>
      </c>
      <c r="L1632" s="13">
        <f>YEAR(TODAY())-' car_sales_data 1'!$F1632</f>
        <v>11</v>
      </c>
    </row>
    <row r="1633" ht="15.75" customHeight="1">
      <c r="A1633" s="16">
        <v>45038.0</v>
      </c>
      <c r="B1633" s="13" t="s">
        <v>3234</v>
      </c>
      <c r="C1633" s="13" t="s">
        <v>3235</v>
      </c>
      <c r="D1633" s="13" t="s">
        <v>10</v>
      </c>
      <c r="E1633" s="13" t="s">
        <v>70</v>
      </c>
      <c r="F1633" s="13">
        <v>2016.0</v>
      </c>
      <c r="G1633" s="13">
        <v>34960.0</v>
      </c>
      <c r="H1633" s="13">
        <v>3828.65</v>
      </c>
      <c r="I1633" s="13">
        <f>' car_sales_data 1'!$G1633*0.2</f>
        <v>6992</v>
      </c>
      <c r="J1633" s="13" t="str">
        <f>TEXT(' car_sales_data 1'!$A1633,"mmmm")</f>
        <v>April</v>
      </c>
      <c r="K1633" s="13" t="str">
        <f>IF(' car_sales_data 1'!$G1633&gt;40000,"Premium",
 IF(' car_sales_data 1'!$G1633&gt;=20000,"Mid Range","Budget"))</f>
        <v>Mid Range</v>
      </c>
      <c r="L1633" s="13">
        <f>YEAR(TODAY())-' car_sales_data 1'!$F1633</f>
        <v>9</v>
      </c>
    </row>
    <row r="1634" ht="15.75" customHeight="1">
      <c r="A1634" s="16">
        <v>44698.0</v>
      </c>
      <c r="B1634" s="13" t="s">
        <v>3236</v>
      </c>
      <c r="C1634" s="13" t="s">
        <v>3237</v>
      </c>
      <c r="D1634" s="13" t="s">
        <v>12</v>
      </c>
      <c r="E1634" s="13" t="s">
        <v>62</v>
      </c>
      <c r="F1634" s="13">
        <v>2015.0</v>
      </c>
      <c r="G1634" s="13">
        <v>20519.0</v>
      </c>
      <c r="H1634" s="13">
        <v>2550.7</v>
      </c>
      <c r="I1634" s="13">
        <f>' car_sales_data 1'!$G1634*0.2</f>
        <v>4103.8</v>
      </c>
      <c r="J1634" s="13" t="str">
        <f>TEXT(' car_sales_data 1'!$A1634,"mmmm")</f>
        <v>May</v>
      </c>
      <c r="K1634" s="13" t="str">
        <f>IF(' car_sales_data 1'!$G1634&gt;40000,"Premium",
 IF(' car_sales_data 1'!$G1634&gt;=20000,"Mid Range","Budget"))</f>
        <v>Mid Range</v>
      </c>
      <c r="L1634" s="13">
        <f>YEAR(TODAY())-' car_sales_data 1'!$F1634</f>
        <v>10</v>
      </c>
    </row>
    <row r="1635" ht="15.75" customHeight="1">
      <c r="A1635" s="16">
        <v>45023.0</v>
      </c>
      <c r="B1635" s="13" t="s">
        <v>3238</v>
      </c>
      <c r="C1635" s="13" t="s">
        <v>3239</v>
      </c>
      <c r="D1635" s="13" t="s">
        <v>14</v>
      </c>
      <c r="E1635" s="13" t="s">
        <v>62</v>
      </c>
      <c r="F1635" s="13">
        <v>2021.0</v>
      </c>
      <c r="G1635" s="13">
        <v>49470.0</v>
      </c>
      <c r="H1635" s="13">
        <v>5303.97</v>
      </c>
      <c r="I1635" s="13">
        <f>' car_sales_data 1'!$G1635*0.2</f>
        <v>9894</v>
      </c>
      <c r="J1635" s="13" t="str">
        <f>TEXT(' car_sales_data 1'!$A1635,"mmmm")</f>
        <v>April</v>
      </c>
      <c r="K1635" s="13" t="str">
        <f>IF(' car_sales_data 1'!$G1635&gt;40000,"Premium",
 IF(' car_sales_data 1'!$G1635&gt;=20000,"Mid Range","Budget"))</f>
        <v>Premium</v>
      </c>
      <c r="L1635" s="13">
        <f>YEAR(TODAY())-' car_sales_data 1'!$F1635</f>
        <v>4</v>
      </c>
    </row>
    <row r="1636" ht="15.75" customHeight="1">
      <c r="A1636" s="16">
        <v>45027.0</v>
      </c>
      <c r="B1636" s="13" t="s">
        <v>3240</v>
      </c>
      <c r="C1636" s="13" t="s">
        <v>3241</v>
      </c>
      <c r="D1636" s="13" t="s">
        <v>6</v>
      </c>
      <c r="E1636" s="13" t="s">
        <v>51</v>
      </c>
      <c r="F1636" s="13">
        <v>2017.0</v>
      </c>
      <c r="G1636" s="13">
        <v>18370.0</v>
      </c>
      <c r="H1636" s="13">
        <v>1402.83</v>
      </c>
      <c r="I1636" s="13">
        <f>' car_sales_data 1'!$G1636*0.2</f>
        <v>3674</v>
      </c>
      <c r="J1636" s="13" t="str">
        <f>TEXT(' car_sales_data 1'!$A1636,"mmmm")</f>
        <v>April</v>
      </c>
      <c r="K1636" s="13" t="str">
        <f>IF(' car_sales_data 1'!$G1636&gt;40000,"Premium",
 IF(' car_sales_data 1'!$G1636&gt;=20000,"Mid Range","Budget"))</f>
        <v>Budget</v>
      </c>
      <c r="L1636" s="13">
        <f>YEAR(TODAY())-' car_sales_data 1'!$F1636</f>
        <v>8</v>
      </c>
    </row>
    <row r="1637" ht="15.75" customHeight="1">
      <c r="A1637" s="16">
        <v>44706.0</v>
      </c>
      <c r="B1637" s="13" t="s">
        <v>3242</v>
      </c>
      <c r="C1637" s="13" t="s">
        <v>3243</v>
      </c>
      <c r="D1637" s="13" t="s">
        <v>10</v>
      </c>
      <c r="E1637" s="13" t="s">
        <v>57</v>
      </c>
      <c r="F1637" s="13">
        <v>2020.0</v>
      </c>
      <c r="G1637" s="13">
        <v>21246.0</v>
      </c>
      <c r="H1637" s="13">
        <v>2690.82</v>
      </c>
      <c r="I1637" s="13">
        <f>' car_sales_data 1'!$G1637*0.2</f>
        <v>4249.2</v>
      </c>
      <c r="J1637" s="13" t="str">
        <f>TEXT(' car_sales_data 1'!$A1637,"mmmm")</f>
        <v>May</v>
      </c>
      <c r="K1637" s="13" t="str">
        <f>IF(' car_sales_data 1'!$G1637&gt;40000,"Premium",
 IF(' car_sales_data 1'!$G1637&gt;=20000,"Mid Range","Budget"))</f>
        <v>Mid Range</v>
      </c>
      <c r="L1637" s="13">
        <f>YEAR(TODAY())-' car_sales_data 1'!$F1637</f>
        <v>5</v>
      </c>
    </row>
    <row r="1638" ht="15.75" customHeight="1">
      <c r="A1638" s="16">
        <v>44988.0</v>
      </c>
      <c r="B1638" s="13" t="s">
        <v>3149</v>
      </c>
      <c r="C1638" s="13" t="s">
        <v>3244</v>
      </c>
      <c r="D1638" s="13" t="s">
        <v>6</v>
      </c>
      <c r="E1638" s="13" t="s">
        <v>62</v>
      </c>
      <c r="F1638" s="13">
        <v>2012.0</v>
      </c>
      <c r="G1638" s="13">
        <v>43094.0</v>
      </c>
      <c r="H1638" s="13">
        <v>4927.58</v>
      </c>
      <c r="I1638" s="13">
        <f>' car_sales_data 1'!$G1638*0.2</f>
        <v>8618.8</v>
      </c>
      <c r="J1638" s="13" t="str">
        <f>TEXT(' car_sales_data 1'!$A1638,"mmmm")</f>
        <v>March</v>
      </c>
      <c r="K1638" s="13" t="str">
        <f>IF(' car_sales_data 1'!$G1638&gt;40000,"Premium",
 IF(' car_sales_data 1'!$G1638&gt;=20000,"Mid Range","Budget"))</f>
        <v>Premium</v>
      </c>
      <c r="L1638" s="13">
        <f>YEAR(TODAY())-' car_sales_data 1'!$F1638</f>
        <v>13</v>
      </c>
    </row>
    <row r="1639" ht="15.75" customHeight="1">
      <c r="A1639" s="16">
        <v>44700.0</v>
      </c>
      <c r="B1639" s="13" t="s">
        <v>3245</v>
      </c>
      <c r="C1639" s="13" t="s">
        <v>3246</v>
      </c>
      <c r="D1639" s="13" t="s">
        <v>10</v>
      </c>
      <c r="E1639" s="13" t="s">
        <v>62</v>
      </c>
      <c r="F1639" s="13">
        <v>2016.0</v>
      </c>
      <c r="G1639" s="13">
        <v>18635.0</v>
      </c>
      <c r="H1639" s="13">
        <v>1044.58</v>
      </c>
      <c r="I1639" s="13">
        <f>' car_sales_data 1'!$G1639*0.2</f>
        <v>3727</v>
      </c>
      <c r="J1639" s="13" t="str">
        <f>TEXT(' car_sales_data 1'!$A1639,"mmmm")</f>
        <v>May</v>
      </c>
      <c r="K1639" s="13" t="str">
        <f>IF(' car_sales_data 1'!$G1639&gt;40000,"Premium",
 IF(' car_sales_data 1'!$G1639&gt;=20000,"Mid Range","Budget"))</f>
        <v>Budget</v>
      </c>
      <c r="L1639" s="13">
        <f>YEAR(TODAY())-' car_sales_data 1'!$F1639</f>
        <v>9</v>
      </c>
    </row>
    <row r="1640" ht="15.75" customHeight="1">
      <c r="A1640" s="16">
        <v>44692.0</v>
      </c>
      <c r="B1640" s="13" t="s">
        <v>3247</v>
      </c>
      <c r="C1640" s="13" t="s">
        <v>3248</v>
      </c>
      <c r="D1640" s="13" t="s">
        <v>12</v>
      </c>
      <c r="E1640" s="13" t="s">
        <v>62</v>
      </c>
      <c r="F1640" s="13">
        <v>2018.0</v>
      </c>
      <c r="G1640" s="13">
        <v>24915.0</v>
      </c>
      <c r="H1640" s="13">
        <v>1443.4</v>
      </c>
      <c r="I1640" s="13">
        <f>' car_sales_data 1'!$G1640*0.2</f>
        <v>4983</v>
      </c>
      <c r="J1640" s="13" t="str">
        <f>TEXT(' car_sales_data 1'!$A1640,"mmmm")</f>
        <v>May</v>
      </c>
      <c r="K1640" s="13" t="str">
        <f>IF(' car_sales_data 1'!$G1640&gt;40000,"Premium",
 IF(' car_sales_data 1'!$G1640&gt;=20000,"Mid Range","Budget"))</f>
        <v>Mid Range</v>
      </c>
      <c r="L1640" s="13">
        <f>YEAR(TODAY())-' car_sales_data 1'!$F1640</f>
        <v>7</v>
      </c>
    </row>
    <row r="1641" ht="15.75" customHeight="1">
      <c r="A1641" s="16">
        <v>44702.0</v>
      </c>
      <c r="B1641" s="13" t="s">
        <v>3249</v>
      </c>
      <c r="C1641" s="13" t="s">
        <v>971</v>
      </c>
      <c r="D1641" s="13" t="s">
        <v>14</v>
      </c>
      <c r="E1641" s="13" t="s">
        <v>70</v>
      </c>
      <c r="F1641" s="13">
        <v>2018.0</v>
      </c>
      <c r="G1641" s="13">
        <v>36598.0</v>
      </c>
      <c r="H1641" s="13">
        <v>3380.48</v>
      </c>
      <c r="I1641" s="13">
        <f>' car_sales_data 1'!$G1641*0.2</f>
        <v>7319.6</v>
      </c>
      <c r="J1641" s="13" t="str">
        <f>TEXT(' car_sales_data 1'!$A1641,"mmmm")</f>
        <v>May</v>
      </c>
      <c r="K1641" s="13" t="str">
        <f>IF(' car_sales_data 1'!$G1641&gt;40000,"Premium",
 IF(' car_sales_data 1'!$G1641&gt;=20000,"Mid Range","Budget"))</f>
        <v>Mid Range</v>
      </c>
      <c r="L1641" s="13">
        <f>YEAR(TODAY())-' car_sales_data 1'!$F1641</f>
        <v>7</v>
      </c>
    </row>
    <row r="1642" ht="15.75" customHeight="1">
      <c r="A1642" s="16">
        <v>44860.0</v>
      </c>
      <c r="B1642" s="13" t="s">
        <v>3250</v>
      </c>
      <c r="C1642" s="13" t="s">
        <v>3251</v>
      </c>
      <c r="D1642" s="13" t="s">
        <v>12</v>
      </c>
      <c r="E1642" s="13" t="s">
        <v>70</v>
      </c>
      <c r="F1642" s="13">
        <v>2013.0</v>
      </c>
      <c r="G1642" s="13">
        <v>49828.0</v>
      </c>
      <c r="H1642" s="13">
        <v>3143.55</v>
      </c>
      <c r="I1642" s="13">
        <f>' car_sales_data 1'!$G1642*0.2</f>
        <v>9965.6</v>
      </c>
      <c r="J1642" s="13" t="str">
        <f>TEXT(' car_sales_data 1'!$A1642,"mmmm")</f>
        <v>October</v>
      </c>
      <c r="K1642" s="13" t="str">
        <f>IF(' car_sales_data 1'!$G1642&gt;40000,"Premium",
 IF(' car_sales_data 1'!$G1642&gt;=20000,"Mid Range","Budget"))</f>
        <v>Premium</v>
      </c>
      <c r="L1642" s="13">
        <f>YEAR(TODAY())-' car_sales_data 1'!$F1642</f>
        <v>12</v>
      </c>
    </row>
    <row r="1643" ht="15.75" customHeight="1">
      <c r="A1643" s="16">
        <v>45024.0</v>
      </c>
      <c r="B1643" s="13" t="s">
        <v>3252</v>
      </c>
      <c r="C1643" s="13" t="s">
        <v>3253</v>
      </c>
      <c r="D1643" s="13" t="s">
        <v>6</v>
      </c>
      <c r="E1643" s="13" t="s">
        <v>62</v>
      </c>
      <c r="F1643" s="13">
        <v>2015.0</v>
      </c>
      <c r="G1643" s="13">
        <v>13658.0</v>
      </c>
      <c r="H1643" s="13">
        <v>761.12</v>
      </c>
      <c r="I1643" s="13">
        <f>' car_sales_data 1'!$G1643*0.2</f>
        <v>2731.6</v>
      </c>
      <c r="J1643" s="13" t="str">
        <f>TEXT(' car_sales_data 1'!$A1643,"mmmm")</f>
        <v>April</v>
      </c>
      <c r="K1643" s="13" t="str">
        <f>IF(' car_sales_data 1'!$G1643&gt;40000,"Premium",
 IF(' car_sales_data 1'!$G1643&gt;=20000,"Mid Range","Budget"))</f>
        <v>Budget</v>
      </c>
      <c r="L1643" s="13">
        <f>YEAR(TODAY())-' car_sales_data 1'!$F1643</f>
        <v>10</v>
      </c>
    </row>
    <row r="1644" ht="15.75" customHeight="1">
      <c r="A1644" s="16">
        <v>44689.0</v>
      </c>
      <c r="B1644" s="13" t="s">
        <v>2105</v>
      </c>
      <c r="C1644" s="13" t="s">
        <v>3254</v>
      </c>
      <c r="D1644" s="13" t="s">
        <v>8</v>
      </c>
      <c r="E1644" s="13" t="s">
        <v>57</v>
      </c>
      <c r="F1644" s="13">
        <v>2016.0</v>
      </c>
      <c r="G1644" s="13">
        <v>37355.0</v>
      </c>
      <c r="H1644" s="13">
        <v>1998.16</v>
      </c>
      <c r="I1644" s="13">
        <f>' car_sales_data 1'!$G1644*0.2</f>
        <v>7471</v>
      </c>
      <c r="J1644" s="13" t="str">
        <f>TEXT(' car_sales_data 1'!$A1644,"mmmm")</f>
        <v>May</v>
      </c>
      <c r="K1644" s="13" t="str">
        <f>IF(' car_sales_data 1'!$G1644&gt;40000,"Premium",
 IF(' car_sales_data 1'!$G1644&gt;=20000,"Mid Range","Budget"))</f>
        <v>Mid Range</v>
      </c>
      <c r="L1644" s="13">
        <f>YEAR(TODAY())-' car_sales_data 1'!$F1644</f>
        <v>9</v>
      </c>
    </row>
    <row r="1645" ht="15.75" customHeight="1">
      <c r="A1645" s="16">
        <v>44973.0</v>
      </c>
      <c r="B1645" s="13" t="s">
        <v>3255</v>
      </c>
      <c r="C1645" s="13" t="s">
        <v>3256</v>
      </c>
      <c r="D1645" s="13" t="s">
        <v>10</v>
      </c>
      <c r="E1645" s="13" t="s">
        <v>70</v>
      </c>
      <c r="F1645" s="13">
        <v>2017.0</v>
      </c>
      <c r="G1645" s="13">
        <v>40242.0</v>
      </c>
      <c r="H1645" s="13">
        <v>5408.91</v>
      </c>
      <c r="I1645" s="13">
        <f>' car_sales_data 1'!$G1645*0.2</f>
        <v>8048.4</v>
      </c>
      <c r="J1645" s="13" t="str">
        <f>TEXT(' car_sales_data 1'!$A1645,"mmmm")</f>
        <v>February</v>
      </c>
      <c r="K1645" s="13" t="str">
        <f>IF(' car_sales_data 1'!$G1645&gt;40000,"Premium",
 IF(' car_sales_data 1'!$G1645&gt;=20000,"Mid Range","Budget"))</f>
        <v>Premium</v>
      </c>
      <c r="L1645" s="13">
        <f>YEAR(TODAY())-' car_sales_data 1'!$F1645</f>
        <v>8</v>
      </c>
    </row>
    <row r="1646" ht="15.75" customHeight="1">
      <c r="A1646" s="16">
        <v>45024.0</v>
      </c>
      <c r="B1646" s="13" t="s">
        <v>255</v>
      </c>
      <c r="C1646" s="13" t="s">
        <v>3257</v>
      </c>
      <c r="D1646" s="13" t="s">
        <v>14</v>
      </c>
      <c r="E1646" s="13" t="s">
        <v>70</v>
      </c>
      <c r="F1646" s="13">
        <v>2016.0</v>
      </c>
      <c r="G1646" s="13">
        <v>32543.0</v>
      </c>
      <c r="H1646" s="13">
        <v>2597.26</v>
      </c>
      <c r="I1646" s="13">
        <f>' car_sales_data 1'!$G1646*0.2</f>
        <v>6508.6</v>
      </c>
      <c r="J1646" s="13" t="str">
        <f>TEXT(' car_sales_data 1'!$A1646,"mmmm")</f>
        <v>April</v>
      </c>
      <c r="K1646" s="13" t="str">
        <f>IF(' car_sales_data 1'!$G1646&gt;40000,"Premium",
 IF(' car_sales_data 1'!$G1646&gt;=20000,"Mid Range","Budget"))</f>
        <v>Mid Range</v>
      </c>
      <c r="L1646" s="13">
        <f>YEAR(TODAY())-' car_sales_data 1'!$F1646</f>
        <v>9</v>
      </c>
    </row>
    <row r="1647" ht="15.75" customHeight="1">
      <c r="A1647" s="16">
        <v>44842.0</v>
      </c>
      <c r="B1647" s="13" t="s">
        <v>3258</v>
      </c>
      <c r="C1647" s="13" t="s">
        <v>3259</v>
      </c>
      <c r="D1647" s="13" t="s">
        <v>10</v>
      </c>
      <c r="E1647" s="13" t="s">
        <v>70</v>
      </c>
      <c r="F1647" s="13">
        <v>2018.0</v>
      </c>
      <c r="G1647" s="13">
        <v>49755.0</v>
      </c>
      <c r="H1647" s="13">
        <v>6474.13</v>
      </c>
      <c r="I1647" s="13">
        <f>' car_sales_data 1'!$G1647*0.2</f>
        <v>9951</v>
      </c>
      <c r="J1647" s="13" t="str">
        <f>TEXT(' car_sales_data 1'!$A1647,"mmmm")</f>
        <v>October</v>
      </c>
      <c r="K1647" s="13" t="str">
        <f>IF(' car_sales_data 1'!$G1647&gt;40000,"Premium",
 IF(' car_sales_data 1'!$G1647&gt;=20000,"Mid Range","Budget"))</f>
        <v>Premium</v>
      </c>
      <c r="L1647" s="13">
        <f>YEAR(TODAY())-' car_sales_data 1'!$F1647</f>
        <v>7</v>
      </c>
    </row>
    <row r="1648" ht="15.75" customHeight="1">
      <c r="A1648" s="16">
        <v>44994.0</v>
      </c>
      <c r="B1648" s="13" t="s">
        <v>3260</v>
      </c>
      <c r="C1648" s="13" t="s">
        <v>3261</v>
      </c>
      <c r="D1648" s="13" t="s">
        <v>14</v>
      </c>
      <c r="E1648" s="13" t="s">
        <v>57</v>
      </c>
      <c r="F1648" s="13">
        <v>2018.0</v>
      </c>
      <c r="G1648" s="13">
        <v>26074.0</v>
      </c>
      <c r="H1648" s="13">
        <v>1476.92</v>
      </c>
      <c r="I1648" s="13">
        <f>' car_sales_data 1'!$G1648*0.2</f>
        <v>5214.8</v>
      </c>
      <c r="J1648" s="13" t="str">
        <f>TEXT(' car_sales_data 1'!$A1648,"mmmm")</f>
        <v>March</v>
      </c>
      <c r="K1648" s="13" t="str">
        <f>IF(' car_sales_data 1'!$G1648&gt;40000,"Premium",
 IF(' car_sales_data 1'!$G1648&gt;=20000,"Mid Range","Budget"))</f>
        <v>Mid Range</v>
      </c>
      <c r="L1648" s="13">
        <f>YEAR(TODAY())-' car_sales_data 1'!$F1648</f>
        <v>7</v>
      </c>
    </row>
    <row r="1649" ht="15.75" customHeight="1">
      <c r="A1649" s="16">
        <v>44728.0</v>
      </c>
      <c r="B1649" s="13" t="s">
        <v>3262</v>
      </c>
      <c r="C1649" s="13" t="s">
        <v>3263</v>
      </c>
      <c r="D1649" s="13" t="s">
        <v>12</v>
      </c>
      <c r="E1649" s="13" t="s">
        <v>70</v>
      </c>
      <c r="F1649" s="13">
        <v>2011.0</v>
      </c>
      <c r="G1649" s="13">
        <v>34087.0</v>
      </c>
      <c r="H1649" s="13">
        <v>2312.86</v>
      </c>
      <c r="I1649" s="13">
        <f>' car_sales_data 1'!$G1649*0.2</f>
        <v>6817.4</v>
      </c>
      <c r="J1649" s="13" t="str">
        <f>TEXT(' car_sales_data 1'!$A1649,"mmmm")</f>
        <v>June</v>
      </c>
      <c r="K1649" s="13" t="str">
        <f>IF(' car_sales_data 1'!$G1649&gt;40000,"Premium",
 IF(' car_sales_data 1'!$G1649&gt;=20000,"Mid Range","Budget"))</f>
        <v>Mid Range</v>
      </c>
      <c r="L1649" s="13">
        <f>YEAR(TODAY())-' car_sales_data 1'!$F1649</f>
        <v>14</v>
      </c>
    </row>
    <row r="1650" ht="15.75" customHeight="1">
      <c r="A1650" s="16">
        <v>44835.0</v>
      </c>
      <c r="B1650" s="13" t="s">
        <v>3264</v>
      </c>
      <c r="C1650" s="13" t="s">
        <v>99</v>
      </c>
      <c r="D1650" s="13" t="s">
        <v>8</v>
      </c>
      <c r="E1650" s="13" t="s">
        <v>57</v>
      </c>
      <c r="F1650" s="13">
        <v>2020.0</v>
      </c>
      <c r="G1650" s="13">
        <v>18833.0</v>
      </c>
      <c r="H1650" s="13">
        <v>1334.48</v>
      </c>
      <c r="I1650" s="13">
        <f>' car_sales_data 1'!$G1650*0.2</f>
        <v>3766.6</v>
      </c>
      <c r="J1650" s="13" t="str">
        <f>TEXT(' car_sales_data 1'!$A1650,"mmmm")</f>
        <v>October</v>
      </c>
      <c r="K1650" s="13" t="str">
        <f>IF(' car_sales_data 1'!$G1650&gt;40000,"Premium",
 IF(' car_sales_data 1'!$G1650&gt;=20000,"Mid Range","Budget"))</f>
        <v>Budget</v>
      </c>
      <c r="L1650" s="13">
        <f>YEAR(TODAY())-' car_sales_data 1'!$F1650</f>
        <v>5</v>
      </c>
    </row>
    <row r="1651" ht="15.75" customHeight="1">
      <c r="A1651" s="16">
        <v>44867.0</v>
      </c>
      <c r="B1651" s="13" t="s">
        <v>3265</v>
      </c>
      <c r="C1651" s="13" t="s">
        <v>3266</v>
      </c>
      <c r="D1651" s="13" t="s">
        <v>10</v>
      </c>
      <c r="E1651" s="13" t="s">
        <v>62</v>
      </c>
      <c r="F1651" s="13">
        <v>2017.0</v>
      </c>
      <c r="G1651" s="13">
        <v>46103.0</v>
      </c>
      <c r="H1651" s="13">
        <v>4683.77</v>
      </c>
      <c r="I1651" s="13">
        <f>' car_sales_data 1'!$G1651*0.2</f>
        <v>9220.6</v>
      </c>
      <c r="J1651" s="13" t="str">
        <f>TEXT(' car_sales_data 1'!$A1651,"mmmm")</f>
        <v>November</v>
      </c>
      <c r="K1651" s="13" t="str">
        <f>IF(' car_sales_data 1'!$G1651&gt;40000,"Premium",
 IF(' car_sales_data 1'!$G1651&gt;=20000,"Mid Range","Budget"))</f>
        <v>Premium</v>
      </c>
      <c r="L1651" s="13">
        <f>YEAR(TODAY())-' car_sales_data 1'!$F1651</f>
        <v>8</v>
      </c>
    </row>
    <row r="1652" ht="15.75" customHeight="1">
      <c r="A1652" s="16">
        <v>44809.0</v>
      </c>
      <c r="B1652" s="13" t="s">
        <v>3267</v>
      </c>
      <c r="C1652" s="13" t="s">
        <v>3268</v>
      </c>
      <c r="D1652" s="13" t="s">
        <v>8</v>
      </c>
      <c r="E1652" s="13" t="s">
        <v>70</v>
      </c>
      <c r="F1652" s="13">
        <v>2010.0</v>
      </c>
      <c r="G1652" s="13">
        <v>14672.0</v>
      </c>
      <c r="H1652" s="13">
        <v>836.83</v>
      </c>
      <c r="I1652" s="13">
        <f>' car_sales_data 1'!$G1652*0.2</f>
        <v>2934.4</v>
      </c>
      <c r="J1652" s="13" t="str">
        <f>TEXT(' car_sales_data 1'!$A1652,"mmmm")</f>
        <v>September</v>
      </c>
      <c r="K1652" s="13" t="str">
        <f>IF(' car_sales_data 1'!$G1652&gt;40000,"Premium",
 IF(' car_sales_data 1'!$G1652&gt;=20000,"Mid Range","Budget"))</f>
        <v>Budget</v>
      </c>
      <c r="L1652" s="13">
        <f>YEAR(TODAY())-' car_sales_data 1'!$F1652</f>
        <v>15</v>
      </c>
    </row>
    <row r="1653" ht="15.75" customHeight="1">
      <c r="A1653" s="16">
        <v>44747.0</v>
      </c>
      <c r="B1653" s="13" t="s">
        <v>3269</v>
      </c>
      <c r="C1653" s="13" t="s">
        <v>3270</v>
      </c>
      <c r="D1653" s="13" t="s">
        <v>8</v>
      </c>
      <c r="E1653" s="13" t="s">
        <v>62</v>
      </c>
      <c r="F1653" s="13">
        <v>2018.0</v>
      </c>
      <c r="G1653" s="13">
        <v>19670.0</v>
      </c>
      <c r="H1653" s="13">
        <v>2640.39</v>
      </c>
      <c r="I1653" s="13">
        <f>' car_sales_data 1'!$G1653*0.2</f>
        <v>3934</v>
      </c>
      <c r="J1653" s="13" t="str">
        <f>TEXT(' car_sales_data 1'!$A1653,"mmmm")</f>
        <v>July</v>
      </c>
      <c r="K1653" s="13" t="str">
        <f>IF(' car_sales_data 1'!$G1653&gt;40000,"Premium",
 IF(' car_sales_data 1'!$G1653&gt;=20000,"Mid Range","Budget"))</f>
        <v>Budget</v>
      </c>
      <c r="L1653" s="13">
        <f>YEAR(TODAY())-' car_sales_data 1'!$F1653</f>
        <v>7</v>
      </c>
    </row>
    <row r="1654" ht="15.75" customHeight="1">
      <c r="A1654" s="16">
        <v>44977.0</v>
      </c>
      <c r="B1654" s="13" t="s">
        <v>3271</v>
      </c>
      <c r="C1654" s="13" t="s">
        <v>3272</v>
      </c>
      <c r="D1654" s="13" t="s">
        <v>14</v>
      </c>
      <c r="E1654" s="13" t="s">
        <v>51</v>
      </c>
      <c r="F1654" s="13">
        <v>2020.0</v>
      </c>
      <c r="G1654" s="13">
        <v>16534.0</v>
      </c>
      <c r="H1654" s="13">
        <v>1914.03</v>
      </c>
      <c r="I1654" s="13">
        <f>' car_sales_data 1'!$G1654*0.2</f>
        <v>3306.8</v>
      </c>
      <c r="J1654" s="13" t="str">
        <f>TEXT(' car_sales_data 1'!$A1654,"mmmm")</f>
        <v>February</v>
      </c>
      <c r="K1654" s="13" t="str">
        <f>IF(' car_sales_data 1'!$G1654&gt;40000,"Premium",
 IF(' car_sales_data 1'!$G1654&gt;=20000,"Mid Range","Budget"))</f>
        <v>Budget</v>
      </c>
      <c r="L1654" s="13">
        <f>YEAR(TODAY())-' car_sales_data 1'!$F1654</f>
        <v>5</v>
      </c>
    </row>
    <row r="1655" ht="15.75" customHeight="1">
      <c r="A1655" s="16">
        <v>44693.0</v>
      </c>
      <c r="B1655" s="13" t="s">
        <v>3273</v>
      </c>
      <c r="C1655" s="13" t="s">
        <v>3274</v>
      </c>
      <c r="D1655" s="13" t="s">
        <v>12</v>
      </c>
      <c r="E1655" s="13" t="s">
        <v>54</v>
      </c>
      <c r="F1655" s="13">
        <v>2017.0</v>
      </c>
      <c r="G1655" s="13">
        <v>27499.0</v>
      </c>
      <c r="H1655" s="13">
        <v>3948.03</v>
      </c>
      <c r="I1655" s="13">
        <f>' car_sales_data 1'!$G1655*0.2</f>
        <v>5499.8</v>
      </c>
      <c r="J1655" s="13" t="str">
        <f>TEXT(' car_sales_data 1'!$A1655,"mmmm")</f>
        <v>May</v>
      </c>
      <c r="K1655" s="13" t="str">
        <f>IF(' car_sales_data 1'!$G1655&gt;40000,"Premium",
 IF(' car_sales_data 1'!$G1655&gt;=20000,"Mid Range","Budget"))</f>
        <v>Mid Range</v>
      </c>
      <c r="L1655" s="13">
        <f>YEAR(TODAY())-' car_sales_data 1'!$F1655</f>
        <v>8</v>
      </c>
    </row>
    <row r="1656" ht="15.75" customHeight="1">
      <c r="A1656" s="16">
        <v>44907.0</v>
      </c>
      <c r="B1656" s="13" t="s">
        <v>3275</v>
      </c>
      <c r="C1656" s="13" t="s">
        <v>3276</v>
      </c>
      <c r="D1656" s="13" t="s">
        <v>12</v>
      </c>
      <c r="E1656" s="13" t="s">
        <v>62</v>
      </c>
      <c r="F1656" s="13">
        <v>2011.0</v>
      </c>
      <c r="G1656" s="13">
        <v>34538.0</v>
      </c>
      <c r="H1656" s="13">
        <v>4157.0</v>
      </c>
      <c r="I1656" s="13">
        <f>' car_sales_data 1'!$G1656*0.2</f>
        <v>6907.6</v>
      </c>
      <c r="J1656" s="13" t="str">
        <f>TEXT(' car_sales_data 1'!$A1656,"mmmm")</f>
        <v>December</v>
      </c>
      <c r="K1656" s="13" t="str">
        <f>IF(' car_sales_data 1'!$G1656&gt;40000,"Premium",
 IF(' car_sales_data 1'!$G1656&gt;=20000,"Mid Range","Budget"))</f>
        <v>Mid Range</v>
      </c>
      <c r="L1656" s="13">
        <f>YEAR(TODAY())-' car_sales_data 1'!$F1656</f>
        <v>14</v>
      </c>
    </row>
    <row r="1657" ht="15.75" customHeight="1">
      <c r="A1657" s="16">
        <v>44816.0</v>
      </c>
      <c r="B1657" s="13" t="s">
        <v>3277</v>
      </c>
      <c r="C1657" s="13" t="s">
        <v>3278</v>
      </c>
      <c r="D1657" s="13" t="s">
        <v>8</v>
      </c>
      <c r="E1657" s="13" t="s">
        <v>70</v>
      </c>
      <c r="F1657" s="13">
        <v>2021.0</v>
      </c>
      <c r="G1657" s="13">
        <v>30210.0</v>
      </c>
      <c r="H1657" s="13">
        <v>3577.29</v>
      </c>
      <c r="I1657" s="13">
        <f>' car_sales_data 1'!$G1657*0.2</f>
        <v>6042</v>
      </c>
      <c r="J1657" s="13" t="str">
        <f>TEXT(' car_sales_data 1'!$A1657,"mmmm")</f>
        <v>September</v>
      </c>
      <c r="K1657" s="13" t="str">
        <f>IF(' car_sales_data 1'!$G1657&gt;40000,"Premium",
 IF(' car_sales_data 1'!$G1657&gt;=20000,"Mid Range","Budget"))</f>
        <v>Mid Range</v>
      </c>
      <c r="L1657" s="13">
        <f>YEAR(TODAY())-' car_sales_data 1'!$F1657</f>
        <v>4</v>
      </c>
    </row>
    <row r="1658" ht="15.75" customHeight="1">
      <c r="A1658" s="16">
        <v>44716.0</v>
      </c>
      <c r="B1658" s="13" t="s">
        <v>3279</v>
      </c>
      <c r="C1658" s="13" t="s">
        <v>3280</v>
      </c>
      <c r="D1658" s="13" t="s">
        <v>10</v>
      </c>
      <c r="E1658" s="13" t="s">
        <v>54</v>
      </c>
      <c r="F1658" s="13">
        <v>2020.0</v>
      </c>
      <c r="G1658" s="13">
        <v>38624.0</v>
      </c>
      <c r="H1658" s="13">
        <v>2876.88</v>
      </c>
      <c r="I1658" s="13">
        <f>' car_sales_data 1'!$G1658*0.2</f>
        <v>7724.8</v>
      </c>
      <c r="J1658" s="13" t="str">
        <f>TEXT(' car_sales_data 1'!$A1658,"mmmm")</f>
        <v>June</v>
      </c>
      <c r="K1658" s="13" t="str">
        <f>IF(' car_sales_data 1'!$G1658&gt;40000,"Premium",
 IF(' car_sales_data 1'!$G1658&gt;=20000,"Mid Range","Budget"))</f>
        <v>Mid Range</v>
      </c>
      <c r="L1658" s="13">
        <f>YEAR(TODAY())-' car_sales_data 1'!$F1658</f>
        <v>5</v>
      </c>
    </row>
    <row r="1659" ht="15.75" customHeight="1">
      <c r="A1659" s="16">
        <v>44841.0</v>
      </c>
      <c r="B1659" s="13" t="s">
        <v>3281</v>
      </c>
      <c r="C1659" s="13" t="s">
        <v>3282</v>
      </c>
      <c r="D1659" s="13" t="s">
        <v>10</v>
      </c>
      <c r="E1659" s="13" t="s">
        <v>57</v>
      </c>
      <c r="F1659" s="13">
        <v>2016.0</v>
      </c>
      <c r="G1659" s="13">
        <v>24234.0</v>
      </c>
      <c r="H1659" s="13">
        <v>2350.33</v>
      </c>
      <c r="I1659" s="13">
        <f>' car_sales_data 1'!$G1659*0.2</f>
        <v>4846.8</v>
      </c>
      <c r="J1659" s="13" t="str">
        <f>TEXT(' car_sales_data 1'!$A1659,"mmmm")</f>
        <v>October</v>
      </c>
      <c r="K1659" s="13" t="str">
        <f>IF(' car_sales_data 1'!$G1659&gt;40000,"Premium",
 IF(' car_sales_data 1'!$G1659&gt;=20000,"Mid Range","Budget"))</f>
        <v>Mid Range</v>
      </c>
      <c r="L1659" s="13">
        <f>YEAR(TODAY())-' car_sales_data 1'!$F1659</f>
        <v>9</v>
      </c>
    </row>
    <row r="1660" ht="15.75" customHeight="1">
      <c r="A1660" s="16">
        <v>44835.0</v>
      </c>
      <c r="B1660" s="13" t="s">
        <v>3283</v>
      </c>
      <c r="C1660" s="13" t="s">
        <v>3284</v>
      </c>
      <c r="D1660" s="13" t="s">
        <v>10</v>
      </c>
      <c r="E1660" s="13" t="s">
        <v>54</v>
      </c>
      <c r="F1660" s="13">
        <v>2020.0</v>
      </c>
      <c r="G1660" s="13">
        <v>45188.0</v>
      </c>
      <c r="H1660" s="13">
        <v>6725.93</v>
      </c>
      <c r="I1660" s="13">
        <f>' car_sales_data 1'!$G1660*0.2</f>
        <v>9037.6</v>
      </c>
      <c r="J1660" s="13" t="str">
        <f>TEXT(' car_sales_data 1'!$A1660,"mmmm")</f>
        <v>October</v>
      </c>
      <c r="K1660" s="13" t="str">
        <f>IF(' car_sales_data 1'!$G1660&gt;40000,"Premium",
 IF(' car_sales_data 1'!$G1660&gt;=20000,"Mid Range","Budget"))</f>
        <v>Premium</v>
      </c>
      <c r="L1660" s="13">
        <f>YEAR(TODAY())-' car_sales_data 1'!$F1660</f>
        <v>5</v>
      </c>
    </row>
    <row r="1661" ht="15.75" customHeight="1">
      <c r="A1661" s="16">
        <v>44927.0</v>
      </c>
      <c r="B1661" s="13" t="s">
        <v>3285</v>
      </c>
      <c r="C1661" s="13" t="s">
        <v>3286</v>
      </c>
      <c r="D1661" s="13" t="s">
        <v>14</v>
      </c>
      <c r="E1661" s="13" t="s">
        <v>57</v>
      </c>
      <c r="F1661" s="13">
        <v>2020.0</v>
      </c>
      <c r="G1661" s="13">
        <v>47969.0</v>
      </c>
      <c r="H1661" s="13">
        <v>6997.99</v>
      </c>
      <c r="I1661" s="13">
        <f>' car_sales_data 1'!$G1661*0.2</f>
        <v>9593.8</v>
      </c>
      <c r="J1661" s="13" t="str">
        <f>TEXT(' car_sales_data 1'!$A1661,"mmmm")</f>
        <v>January</v>
      </c>
      <c r="K1661" s="13" t="str">
        <f>IF(' car_sales_data 1'!$G1661&gt;40000,"Premium",
 IF(' car_sales_data 1'!$G1661&gt;=20000,"Mid Range","Budget"))</f>
        <v>Premium</v>
      </c>
      <c r="L1661" s="13">
        <f>YEAR(TODAY())-' car_sales_data 1'!$F1661</f>
        <v>5</v>
      </c>
    </row>
    <row r="1662" ht="15.75" customHeight="1">
      <c r="A1662" s="16">
        <v>44957.0</v>
      </c>
      <c r="B1662" s="13" t="s">
        <v>3287</v>
      </c>
      <c r="C1662" s="13" t="s">
        <v>3288</v>
      </c>
      <c r="D1662" s="13" t="s">
        <v>12</v>
      </c>
      <c r="E1662" s="13" t="s">
        <v>70</v>
      </c>
      <c r="F1662" s="13">
        <v>2012.0</v>
      </c>
      <c r="G1662" s="13">
        <v>12790.0</v>
      </c>
      <c r="H1662" s="13">
        <v>1898.34</v>
      </c>
      <c r="I1662" s="13">
        <f>' car_sales_data 1'!$G1662*0.2</f>
        <v>2558</v>
      </c>
      <c r="J1662" s="13" t="str">
        <f>TEXT(' car_sales_data 1'!$A1662,"mmmm")</f>
        <v>January</v>
      </c>
      <c r="K1662" s="13" t="str">
        <f>IF(' car_sales_data 1'!$G1662&gt;40000,"Premium",
 IF(' car_sales_data 1'!$G1662&gt;=20000,"Mid Range","Budget"))</f>
        <v>Budget</v>
      </c>
      <c r="L1662" s="13">
        <f>YEAR(TODAY())-' car_sales_data 1'!$F1662</f>
        <v>13</v>
      </c>
    </row>
    <row r="1663" ht="15.75" customHeight="1">
      <c r="A1663" s="16">
        <v>44889.0</v>
      </c>
      <c r="B1663" s="13" t="s">
        <v>3289</v>
      </c>
      <c r="C1663" s="13" t="s">
        <v>3290</v>
      </c>
      <c r="D1663" s="13" t="s">
        <v>10</v>
      </c>
      <c r="E1663" s="13" t="s">
        <v>62</v>
      </c>
      <c r="F1663" s="13">
        <v>2014.0</v>
      </c>
      <c r="G1663" s="13">
        <v>11995.0</v>
      </c>
      <c r="H1663" s="13">
        <v>1482.02</v>
      </c>
      <c r="I1663" s="13">
        <f>' car_sales_data 1'!$G1663*0.2</f>
        <v>2399</v>
      </c>
      <c r="J1663" s="13" t="str">
        <f>TEXT(' car_sales_data 1'!$A1663,"mmmm")</f>
        <v>November</v>
      </c>
      <c r="K1663" s="13" t="str">
        <f>IF(' car_sales_data 1'!$G1663&gt;40000,"Premium",
 IF(' car_sales_data 1'!$G1663&gt;=20000,"Mid Range","Budget"))</f>
        <v>Budget</v>
      </c>
      <c r="L1663" s="13">
        <f>YEAR(TODAY())-' car_sales_data 1'!$F1663</f>
        <v>11</v>
      </c>
    </row>
    <row r="1664" ht="15.75" customHeight="1">
      <c r="A1664" s="16">
        <v>44976.0</v>
      </c>
      <c r="B1664" s="13" t="s">
        <v>3291</v>
      </c>
      <c r="C1664" s="13" t="s">
        <v>3292</v>
      </c>
      <c r="D1664" s="13" t="s">
        <v>14</v>
      </c>
      <c r="E1664" s="13" t="s">
        <v>57</v>
      </c>
      <c r="F1664" s="13">
        <v>2017.0</v>
      </c>
      <c r="G1664" s="13">
        <v>39756.0</v>
      </c>
      <c r="H1664" s="13">
        <v>4897.62</v>
      </c>
      <c r="I1664" s="13">
        <f>' car_sales_data 1'!$G1664*0.2</f>
        <v>7951.2</v>
      </c>
      <c r="J1664" s="13" t="str">
        <f>TEXT(' car_sales_data 1'!$A1664,"mmmm")</f>
        <v>February</v>
      </c>
      <c r="K1664" s="13" t="str">
        <f>IF(' car_sales_data 1'!$G1664&gt;40000,"Premium",
 IF(' car_sales_data 1'!$G1664&gt;=20000,"Mid Range","Budget"))</f>
        <v>Mid Range</v>
      </c>
      <c r="L1664" s="13">
        <f>YEAR(TODAY())-' car_sales_data 1'!$F1664</f>
        <v>8</v>
      </c>
    </row>
    <row r="1665" ht="15.75" customHeight="1">
      <c r="A1665" s="16">
        <v>44734.0</v>
      </c>
      <c r="B1665" s="13" t="s">
        <v>3293</v>
      </c>
      <c r="C1665" s="13" t="s">
        <v>3294</v>
      </c>
      <c r="D1665" s="13" t="s">
        <v>14</v>
      </c>
      <c r="E1665" s="13" t="s">
        <v>51</v>
      </c>
      <c r="F1665" s="13">
        <v>2015.0</v>
      </c>
      <c r="G1665" s="13">
        <v>33458.0</v>
      </c>
      <c r="H1665" s="13">
        <v>2439.35</v>
      </c>
      <c r="I1665" s="13">
        <f>' car_sales_data 1'!$G1665*0.2</f>
        <v>6691.6</v>
      </c>
      <c r="J1665" s="13" t="str">
        <f>TEXT(' car_sales_data 1'!$A1665,"mmmm")</f>
        <v>June</v>
      </c>
      <c r="K1665" s="13" t="str">
        <f>IF(' car_sales_data 1'!$G1665&gt;40000,"Premium",
 IF(' car_sales_data 1'!$G1665&gt;=20000,"Mid Range","Budget"))</f>
        <v>Mid Range</v>
      </c>
      <c r="L1665" s="13">
        <f>YEAR(TODAY())-' car_sales_data 1'!$F1665</f>
        <v>10</v>
      </c>
    </row>
    <row r="1666" ht="15.75" customHeight="1">
      <c r="A1666" s="16">
        <v>44974.0</v>
      </c>
      <c r="B1666" s="13" t="s">
        <v>3295</v>
      </c>
      <c r="C1666" s="13" t="s">
        <v>3296</v>
      </c>
      <c r="D1666" s="13" t="s">
        <v>10</v>
      </c>
      <c r="E1666" s="13" t="s">
        <v>57</v>
      </c>
      <c r="F1666" s="13">
        <v>2010.0</v>
      </c>
      <c r="G1666" s="13">
        <v>11793.0</v>
      </c>
      <c r="H1666" s="13">
        <v>900.12</v>
      </c>
      <c r="I1666" s="13">
        <f>' car_sales_data 1'!$G1666*0.2</f>
        <v>2358.6</v>
      </c>
      <c r="J1666" s="13" t="str">
        <f>TEXT(' car_sales_data 1'!$A1666,"mmmm")</f>
        <v>February</v>
      </c>
      <c r="K1666" s="13" t="str">
        <f>IF(' car_sales_data 1'!$G1666&gt;40000,"Premium",
 IF(' car_sales_data 1'!$G1666&gt;=20000,"Mid Range","Budget"))</f>
        <v>Budget</v>
      </c>
      <c r="L1666" s="13">
        <f>YEAR(TODAY())-' car_sales_data 1'!$F1666</f>
        <v>15</v>
      </c>
    </row>
    <row r="1667" ht="15.75" customHeight="1">
      <c r="A1667" s="16">
        <v>44819.0</v>
      </c>
      <c r="B1667" s="13" t="s">
        <v>17</v>
      </c>
      <c r="C1667" s="13" t="s">
        <v>3297</v>
      </c>
      <c r="D1667" s="13" t="s">
        <v>8</v>
      </c>
      <c r="E1667" s="13" t="s">
        <v>57</v>
      </c>
      <c r="F1667" s="13">
        <v>2020.0</v>
      </c>
      <c r="G1667" s="13">
        <v>21512.0</v>
      </c>
      <c r="H1667" s="13">
        <v>1471.2</v>
      </c>
      <c r="I1667" s="13">
        <f>' car_sales_data 1'!$G1667*0.2</f>
        <v>4302.4</v>
      </c>
      <c r="J1667" s="13" t="str">
        <f>TEXT(' car_sales_data 1'!$A1667,"mmmm")</f>
        <v>September</v>
      </c>
      <c r="K1667" s="13" t="str">
        <f>IF(' car_sales_data 1'!$G1667&gt;40000,"Premium",
 IF(' car_sales_data 1'!$G1667&gt;=20000,"Mid Range","Budget"))</f>
        <v>Mid Range</v>
      </c>
      <c r="L1667" s="13">
        <f>YEAR(TODAY())-' car_sales_data 1'!$F1667</f>
        <v>5</v>
      </c>
    </row>
    <row r="1668" ht="15.75" customHeight="1">
      <c r="A1668" s="16">
        <v>44833.0</v>
      </c>
      <c r="B1668" s="13" t="s">
        <v>3298</v>
      </c>
      <c r="C1668" s="13" t="s">
        <v>3299</v>
      </c>
      <c r="D1668" s="13" t="s">
        <v>10</v>
      </c>
      <c r="E1668" s="13" t="s">
        <v>57</v>
      </c>
      <c r="F1668" s="13">
        <v>2012.0</v>
      </c>
      <c r="G1668" s="13">
        <v>19287.0</v>
      </c>
      <c r="H1668" s="13">
        <v>1163.92</v>
      </c>
      <c r="I1668" s="13">
        <f>' car_sales_data 1'!$G1668*0.2</f>
        <v>3857.4</v>
      </c>
      <c r="J1668" s="13" t="str">
        <f>TEXT(' car_sales_data 1'!$A1668,"mmmm")</f>
        <v>September</v>
      </c>
      <c r="K1668" s="13" t="str">
        <f>IF(' car_sales_data 1'!$G1668&gt;40000,"Premium",
 IF(' car_sales_data 1'!$G1668&gt;=20000,"Mid Range","Budget"))</f>
        <v>Budget</v>
      </c>
      <c r="L1668" s="13">
        <f>YEAR(TODAY())-' car_sales_data 1'!$F1668</f>
        <v>13</v>
      </c>
    </row>
    <row r="1669" ht="15.75" customHeight="1">
      <c r="A1669" s="16">
        <v>44685.0</v>
      </c>
      <c r="B1669" s="13" t="s">
        <v>3300</v>
      </c>
      <c r="C1669" s="13" t="s">
        <v>3301</v>
      </c>
      <c r="D1669" s="13" t="s">
        <v>6</v>
      </c>
      <c r="E1669" s="13" t="s">
        <v>70</v>
      </c>
      <c r="F1669" s="13">
        <v>2010.0</v>
      </c>
      <c r="G1669" s="13">
        <v>29824.0</v>
      </c>
      <c r="H1669" s="13">
        <v>2353.99</v>
      </c>
      <c r="I1669" s="13">
        <f>' car_sales_data 1'!$G1669*0.2</f>
        <v>5964.8</v>
      </c>
      <c r="J1669" s="13" t="str">
        <f>TEXT(' car_sales_data 1'!$A1669,"mmmm")</f>
        <v>May</v>
      </c>
      <c r="K1669" s="13" t="str">
        <f>IF(' car_sales_data 1'!$G1669&gt;40000,"Premium",
 IF(' car_sales_data 1'!$G1669&gt;=20000,"Mid Range","Budget"))</f>
        <v>Mid Range</v>
      </c>
      <c r="L1669" s="13">
        <f>YEAR(TODAY())-' car_sales_data 1'!$F1669</f>
        <v>15</v>
      </c>
    </row>
    <row r="1670" ht="15.75" customHeight="1">
      <c r="A1670" s="16">
        <v>44876.0</v>
      </c>
      <c r="B1670" s="13" t="s">
        <v>3302</v>
      </c>
      <c r="C1670" s="13" t="s">
        <v>3303</v>
      </c>
      <c r="D1670" s="13" t="s">
        <v>10</v>
      </c>
      <c r="E1670" s="13" t="s">
        <v>51</v>
      </c>
      <c r="F1670" s="13">
        <v>2021.0</v>
      </c>
      <c r="G1670" s="13">
        <v>19238.0</v>
      </c>
      <c r="H1670" s="13">
        <v>2544.22</v>
      </c>
      <c r="I1670" s="13">
        <f>' car_sales_data 1'!$G1670*0.2</f>
        <v>3847.6</v>
      </c>
      <c r="J1670" s="13" t="str">
        <f>TEXT(' car_sales_data 1'!$A1670,"mmmm")</f>
        <v>November</v>
      </c>
      <c r="K1670" s="13" t="str">
        <f>IF(' car_sales_data 1'!$G1670&gt;40000,"Premium",
 IF(' car_sales_data 1'!$G1670&gt;=20000,"Mid Range","Budget"))</f>
        <v>Budget</v>
      </c>
      <c r="L1670" s="13">
        <f>YEAR(TODAY())-' car_sales_data 1'!$F1670</f>
        <v>4</v>
      </c>
    </row>
    <row r="1671" ht="15.75" customHeight="1">
      <c r="A1671" s="16">
        <v>44794.0</v>
      </c>
      <c r="B1671" s="13" t="s">
        <v>3304</v>
      </c>
      <c r="C1671" s="13" t="s">
        <v>1635</v>
      </c>
      <c r="D1671" s="13" t="s">
        <v>14</v>
      </c>
      <c r="E1671" s="13" t="s">
        <v>51</v>
      </c>
      <c r="F1671" s="13">
        <v>2019.0</v>
      </c>
      <c r="G1671" s="13">
        <v>32380.0</v>
      </c>
      <c r="H1671" s="13">
        <v>2594.65</v>
      </c>
      <c r="I1671" s="13">
        <f>' car_sales_data 1'!$G1671*0.2</f>
        <v>6476</v>
      </c>
      <c r="J1671" s="13" t="str">
        <f>TEXT(' car_sales_data 1'!$A1671,"mmmm")</f>
        <v>August</v>
      </c>
      <c r="K1671" s="13" t="str">
        <f>IF(' car_sales_data 1'!$G1671&gt;40000,"Premium",
 IF(' car_sales_data 1'!$G1671&gt;=20000,"Mid Range","Budget"))</f>
        <v>Mid Range</v>
      </c>
      <c r="L1671" s="13">
        <f>YEAR(TODAY())-' car_sales_data 1'!$F1671</f>
        <v>6</v>
      </c>
    </row>
    <row r="1672" ht="15.75" customHeight="1">
      <c r="A1672" s="16">
        <v>44788.0</v>
      </c>
      <c r="B1672" s="13" t="s">
        <v>3305</v>
      </c>
      <c r="C1672" s="13" t="s">
        <v>3306</v>
      </c>
      <c r="D1672" s="13" t="s">
        <v>6</v>
      </c>
      <c r="E1672" s="13" t="s">
        <v>57</v>
      </c>
      <c r="F1672" s="13">
        <v>2011.0</v>
      </c>
      <c r="G1672" s="13">
        <v>13612.0</v>
      </c>
      <c r="H1672" s="13">
        <v>901.66</v>
      </c>
      <c r="I1672" s="13">
        <f>' car_sales_data 1'!$G1672*0.2</f>
        <v>2722.4</v>
      </c>
      <c r="J1672" s="13" t="str">
        <f>TEXT(' car_sales_data 1'!$A1672,"mmmm")</f>
        <v>August</v>
      </c>
      <c r="K1672" s="13" t="str">
        <f>IF(' car_sales_data 1'!$G1672&gt;40000,"Premium",
 IF(' car_sales_data 1'!$G1672&gt;=20000,"Mid Range","Budget"))</f>
        <v>Budget</v>
      </c>
      <c r="L1672" s="13">
        <f>YEAR(TODAY())-' car_sales_data 1'!$F1672</f>
        <v>14</v>
      </c>
    </row>
    <row r="1673" ht="15.75" customHeight="1">
      <c r="A1673" s="16">
        <v>44878.0</v>
      </c>
      <c r="B1673" s="13" t="s">
        <v>3307</v>
      </c>
      <c r="C1673" s="13" t="s">
        <v>3308</v>
      </c>
      <c r="D1673" s="13" t="s">
        <v>14</v>
      </c>
      <c r="E1673" s="13" t="s">
        <v>51</v>
      </c>
      <c r="F1673" s="13">
        <v>2022.0</v>
      </c>
      <c r="G1673" s="13">
        <v>18572.0</v>
      </c>
      <c r="H1673" s="13">
        <v>1175.97</v>
      </c>
      <c r="I1673" s="13">
        <f>' car_sales_data 1'!$G1673*0.2</f>
        <v>3714.4</v>
      </c>
      <c r="J1673" s="13" t="str">
        <f>TEXT(' car_sales_data 1'!$A1673,"mmmm")</f>
        <v>November</v>
      </c>
      <c r="K1673" s="13" t="str">
        <f>IF(' car_sales_data 1'!$G1673&gt;40000,"Premium",
 IF(' car_sales_data 1'!$G1673&gt;=20000,"Mid Range","Budget"))</f>
        <v>Budget</v>
      </c>
      <c r="L1673" s="13">
        <f>YEAR(TODAY())-' car_sales_data 1'!$F1673</f>
        <v>3</v>
      </c>
    </row>
    <row r="1674" ht="15.75" customHeight="1">
      <c r="A1674" s="16">
        <v>44812.0</v>
      </c>
      <c r="B1674" s="13" t="s">
        <v>3309</v>
      </c>
      <c r="C1674" s="13" t="s">
        <v>2008</v>
      </c>
      <c r="D1674" s="13" t="s">
        <v>8</v>
      </c>
      <c r="E1674" s="13" t="s">
        <v>70</v>
      </c>
      <c r="F1674" s="13">
        <v>2015.0</v>
      </c>
      <c r="G1674" s="13">
        <v>49999.0</v>
      </c>
      <c r="H1674" s="13">
        <v>3018.88</v>
      </c>
      <c r="I1674" s="13">
        <f>' car_sales_data 1'!$G1674*0.2</f>
        <v>9999.8</v>
      </c>
      <c r="J1674" s="13" t="str">
        <f>TEXT(' car_sales_data 1'!$A1674,"mmmm")</f>
        <v>September</v>
      </c>
      <c r="K1674" s="13" t="str">
        <f>IF(' car_sales_data 1'!$G1674&gt;40000,"Premium",
 IF(' car_sales_data 1'!$G1674&gt;=20000,"Mid Range","Budget"))</f>
        <v>Premium</v>
      </c>
      <c r="L1674" s="13">
        <f>YEAR(TODAY())-' car_sales_data 1'!$F1674</f>
        <v>10</v>
      </c>
    </row>
    <row r="1675" ht="15.75" customHeight="1">
      <c r="A1675" s="16">
        <v>45021.0</v>
      </c>
      <c r="B1675" s="13" t="s">
        <v>3310</v>
      </c>
      <c r="C1675" s="13" t="s">
        <v>3311</v>
      </c>
      <c r="D1675" s="13" t="s">
        <v>10</v>
      </c>
      <c r="E1675" s="13" t="s">
        <v>51</v>
      </c>
      <c r="F1675" s="13">
        <v>2016.0</v>
      </c>
      <c r="G1675" s="13">
        <v>36549.0</v>
      </c>
      <c r="H1675" s="13">
        <v>1887.39</v>
      </c>
      <c r="I1675" s="13">
        <f>' car_sales_data 1'!$G1675*0.2</f>
        <v>7309.8</v>
      </c>
      <c r="J1675" s="13" t="str">
        <f>TEXT(' car_sales_data 1'!$A1675,"mmmm")</f>
        <v>April</v>
      </c>
      <c r="K1675" s="13" t="str">
        <f>IF(' car_sales_data 1'!$G1675&gt;40000,"Premium",
 IF(' car_sales_data 1'!$G1675&gt;=20000,"Mid Range","Budget"))</f>
        <v>Mid Range</v>
      </c>
      <c r="L1675" s="13">
        <f>YEAR(TODAY())-' car_sales_data 1'!$F1675</f>
        <v>9</v>
      </c>
    </row>
    <row r="1676" ht="15.75" customHeight="1">
      <c r="A1676" s="16">
        <v>44683.0</v>
      </c>
      <c r="B1676" s="13" t="s">
        <v>3312</v>
      </c>
      <c r="C1676" s="13" t="s">
        <v>3313</v>
      </c>
      <c r="D1676" s="13" t="s">
        <v>14</v>
      </c>
      <c r="E1676" s="13" t="s">
        <v>57</v>
      </c>
      <c r="F1676" s="13">
        <v>2018.0</v>
      </c>
      <c r="G1676" s="13">
        <v>37232.0</v>
      </c>
      <c r="H1676" s="13">
        <v>2648.88</v>
      </c>
      <c r="I1676" s="13">
        <f>' car_sales_data 1'!$G1676*0.2</f>
        <v>7446.4</v>
      </c>
      <c r="J1676" s="13" t="str">
        <f>TEXT(' car_sales_data 1'!$A1676,"mmmm")</f>
        <v>May</v>
      </c>
      <c r="K1676" s="13" t="str">
        <f>IF(' car_sales_data 1'!$G1676&gt;40000,"Premium",
 IF(' car_sales_data 1'!$G1676&gt;=20000,"Mid Range","Budget"))</f>
        <v>Mid Range</v>
      </c>
      <c r="L1676" s="13">
        <f>YEAR(TODAY())-' car_sales_data 1'!$F1676</f>
        <v>7</v>
      </c>
    </row>
    <row r="1677" ht="15.75" customHeight="1">
      <c r="A1677" s="16">
        <v>44848.0</v>
      </c>
      <c r="B1677" s="13" t="s">
        <v>3314</v>
      </c>
      <c r="C1677" s="13" t="s">
        <v>3315</v>
      </c>
      <c r="D1677" s="13" t="s">
        <v>10</v>
      </c>
      <c r="E1677" s="13" t="s">
        <v>62</v>
      </c>
      <c r="F1677" s="13">
        <v>2013.0</v>
      </c>
      <c r="G1677" s="13">
        <v>31738.0</v>
      </c>
      <c r="H1677" s="13">
        <v>4175.07</v>
      </c>
      <c r="I1677" s="13">
        <f>' car_sales_data 1'!$G1677*0.2</f>
        <v>6347.6</v>
      </c>
      <c r="J1677" s="13" t="str">
        <f>TEXT(' car_sales_data 1'!$A1677,"mmmm")</f>
        <v>October</v>
      </c>
      <c r="K1677" s="13" t="str">
        <f>IF(' car_sales_data 1'!$G1677&gt;40000,"Premium",
 IF(' car_sales_data 1'!$G1677&gt;=20000,"Mid Range","Budget"))</f>
        <v>Mid Range</v>
      </c>
      <c r="L1677" s="13">
        <f>YEAR(TODAY())-' car_sales_data 1'!$F1677</f>
        <v>12</v>
      </c>
    </row>
    <row r="1678" ht="15.75" customHeight="1">
      <c r="A1678" s="16">
        <v>44763.0</v>
      </c>
      <c r="B1678" s="13" t="s">
        <v>3316</v>
      </c>
      <c r="C1678" s="13" t="s">
        <v>3317</v>
      </c>
      <c r="D1678" s="13" t="s">
        <v>6</v>
      </c>
      <c r="E1678" s="13" t="s">
        <v>57</v>
      </c>
      <c r="F1678" s="13">
        <v>2021.0</v>
      </c>
      <c r="G1678" s="13">
        <v>39459.0</v>
      </c>
      <c r="H1678" s="13">
        <v>2683.94</v>
      </c>
      <c r="I1678" s="13">
        <f>' car_sales_data 1'!$G1678*0.2</f>
        <v>7891.8</v>
      </c>
      <c r="J1678" s="13" t="str">
        <f>TEXT(' car_sales_data 1'!$A1678,"mmmm")</f>
        <v>July</v>
      </c>
      <c r="K1678" s="13" t="str">
        <f>IF(' car_sales_data 1'!$G1678&gt;40000,"Premium",
 IF(' car_sales_data 1'!$G1678&gt;=20000,"Mid Range","Budget"))</f>
        <v>Mid Range</v>
      </c>
      <c r="L1678" s="13">
        <f>YEAR(TODAY())-' car_sales_data 1'!$F1678</f>
        <v>4</v>
      </c>
    </row>
    <row r="1679" ht="15.75" customHeight="1">
      <c r="A1679" s="16">
        <v>44959.0</v>
      </c>
      <c r="B1679" s="13" t="s">
        <v>3318</v>
      </c>
      <c r="C1679" s="13" t="s">
        <v>3319</v>
      </c>
      <c r="D1679" s="13" t="s">
        <v>14</v>
      </c>
      <c r="E1679" s="13" t="s">
        <v>62</v>
      </c>
      <c r="F1679" s="13">
        <v>2010.0</v>
      </c>
      <c r="G1679" s="13">
        <v>32568.0</v>
      </c>
      <c r="H1679" s="13">
        <v>1712.59</v>
      </c>
      <c r="I1679" s="13">
        <f>' car_sales_data 1'!$G1679*0.2</f>
        <v>6513.6</v>
      </c>
      <c r="J1679" s="13" t="str">
        <f>TEXT(' car_sales_data 1'!$A1679,"mmmm")</f>
        <v>February</v>
      </c>
      <c r="K1679" s="13" t="str">
        <f>IF(' car_sales_data 1'!$G1679&gt;40000,"Premium",
 IF(' car_sales_data 1'!$G1679&gt;=20000,"Mid Range","Budget"))</f>
        <v>Mid Range</v>
      </c>
      <c r="L1679" s="13">
        <f>YEAR(TODAY())-' car_sales_data 1'!$F1679</f>
        <v>15</v>
      </c>
    </row>
    <row r="1680" ht="15.75" customHeight="1">
      <c r="A1680" s="16">
        <v>44734.0</v>
      </c>
      <c r="B1680" s="13" t="s">
        <v>3320</v>
      </c>
      <c r="C1680" s="13" t="s">
        <v>3321</v>
      </c>
      <c r="D1680" s="13" t="s">
        <v>8</v>
      </c>
      <c r="E1680" s="13" t="s">
        <v>54</v>
      </c>
      <c r="F1680" s="13">
        <v>2017.0</v>
      </c>
      <c r="G1680" s="13">
        <v>37253.0</v>
      </c>
      <c r="H1680" s="13">
        <v>3587.81</v>
      </c>
      <c r="I1680" s="13">
        <f>' car_sales_data 1'!$G1680*0.2</f>
        <v>7450.6</v>
      </c>
      <c r="J1680" s="13" t="str">
        <f>TEXT(' car_sales_data 1'!$A1680,"mmmm")</f>
        <v>June</v>
      </c>
      <c r="K1680" s="13" t="str">
        <f>IF(' car_sales_data 1'!$G1680&gt;40000,"Premium",
 IF(' car_sales_data 1'!$G1680&gt;=20000,"Mid Range","Budget"))</f>
        <v>Mid Range</v>
      </c>
      <c r="L1680" s="13">
        <f>YEAR(TODAY())-' car_sales_data 1'!$F1680</f>
        <v>8</v>
      </c>
    </row>
    <row r="1681" ht="15.75" customHeight="1">
      <c r="A1681" s="16">
        <v>44985.0</v>
      </c>
      <c r="B1681" s="13" t="s">
        <v>3322</v>
      </c>
      <c r="C1681" s="13" t="s">
        <v>3323</v>
      </c>
      <c r="D1681" s="13" t="s">
        <v>8</v>
      </c>
      <c r="E1681" s="13" t="s">
        <v>62</v>
      </c>
      <c r="F1681" s="13">
        <v>2021.0</v>
      </c>
      <c r="G1681" s="13">
        <v>38533.0</v>
      </c>
      <c r="H1681" s="13">
        <v>5005.73</v>
      </c>
      <c r="I1681" s="13">
        <f>' car_sales_data 1'!$G1681*0.2</f>
        <v>7706.6</v>
      </c>
      <c r="J1681" s="13" t="str">
        <f>TEXT(' car_sales_data 1'!$A1681,"mmmm")</f>
        <v>February</v>
      </c>
      <c r="K1681" s="13" t="str">
        <f>IF(' car_sales_data 1'!$G1681&gt;40000,"Premium",
 IF(' car_sales_data 1'!$G1681&gt;=20000,"Mid Range","Budget"))</f>
        <v>Mid Range</v>
      </c>
      <c r="L1681" s="13">
        <f>YEAR(TODAY())-' car_sales_data 1'!$F1681</f>
        <v>4</v>
      </c>
    </row>
    <row r="1682" ht="15.75" customHeight="1">
      <c r="A1682" s="16">
        <v>44716.0</v>
      </c>
      <c r="B1682" s="13" t="s">
        <v>3324</v>
      </c>
      <c r="C1682" s="13" t="s">
        <v>3325</v>
      </c>
      <c r="D1682" s="13" t="s">
        <v>12</v>
      </c>
      <c r="E1682" s="13" t="s">
        <v>62</v>
      </c>
      <c r="F1682" s="13">
        <v>2014.0</v>
      </c>
      <c r="G1682" s="13">
        <v>40034.0</v>
      </c>
      <c r="H1682" s="13">
        <v>2010.31</v>
      </c>
      <c r="I1682" s="13">
        <f>' car_sales_data 1'!$G1682*0.2</f>
        <v>8006.8</v>
      </c>
      <c r="J1682" s="13" t="str">
        <f>TEXT(' car_sales_data 1'!$A1682,"mmmm")</f>
        <v>June</v>
      </c>
      <c r="K1682" s="13" t="str">
        <f>IF(' car_sales_data 1'!$G1682&gt;40000,"Premium",
 IF(' car_sales_data 1'!$G1682&gt;=20000,"Mid Range","Budget"))</f>
        <v>Premium</v>
      </c>
      <c r="L1682" s="13">
        <f>YEAR(TODAY())-' car_sales_data 1'!$F1682</f>
        <v>11</v>
      </c>
    </row>
    <row r="1683" ht="15.75" customHeight="1">
      <c r="A1683" s="16">
        <v>44857.0</v>
      </c>
      <c r="B1683" s="13" t="s">
        <v>3326</v>
      </c>
      <c r="C1683" s="13" t="s">
        <v>3327</v>
      </c>
      <c r="D1683" s="13" t="s">
        <v>6</v>
      </c>
      <c r="E1683" s="13" t="s">
        <v>54</v>
      </c>
      <c r="F1683" s="13">
        <v>2016.0</v>
      </c>
      <c r="G1683" s="13">
        <v>10183.0</v>
      </c>
      <c r="H1683" s="13">
        <v>1438.71</v>
      </c>
      <c r="I1683" s="13">
        <f>' car_sales_data 1'!$G1683*0.2</f>
        <v>2036.6</v>
      </c>
      <c r="J1683" s="13" t="str">
        <f>TEXT(' car_sales_data 1'!$A1683,"mmmm")</f>
        <v>October</v>
      </c>
      <c r="K1683" s="13" t="str">
        <f>IF(' car_sales_data 1'!$G1683&gt;40000,"Premium",
 IF(' car_sales_data 1'!$G1683&gt;=20000,"Mid Range","Budget"))</f>
        <v>Budget</v>
      </c>
      <c r="L1683" s="13">
        <f>YEAR(TODAY())-' car_sales_data 1'!$F1683</f>
        <v>9</v>
      </c>
    </row>
    <row r="1684" ht="15.75" customHeight="1">
      <c r="A1684" s="16">
        <v>44896.0</v>
      </c>
      <c r="B1684" s="13" t="s">
        <v>3328</v>
      </c>
      <c r="C1684" s="13" t="s">
        <v>3329</v>
      </c>
      <c r="D1684" s="13" t="s">
        <v>8</v>
      </c>
      <c r="E1684" s="13" t="s">
        <v>51</v>
      </c>
      <c r="F1684" s="13">
        <v>2017.0</v>
      </c>
      <c r="G1684" s="13">
        <v>23561.0</v>
      </c>
      <c r="H1684" s="13">
        <v>2796.62</v>
      </c>
      <c r="I1684" s="13">
        <f>' car_sales_data 1'!$G1684*0.2</f>
        <v>4712.2</v>
      </c>
      <c r="J1684" s="13" t="str">
        <f>TEXT(' car_sales_data 1'!$A1684,"mmmm")</f>
        <v>December</v>
      </c>
      <c r="K1684" s="13" t="str">
        <f>IF(' car_sales_data 1'!$G1684&gt;40000,"Premium",
 IF(' car_sales_data 1'!$G1684&gt;=20000,"Mid Range","Budget"))</f>
        <v>Mid Range</v>
      </c>
      <c r="L1684" s="13">
        <f>YEAR(TODAY())-' car_sales_data 1'!$F1684</f>
        <v>8</v>
      </c>
    </row>
    <row r="1685" ht="15.75" customHeight="1">
      <c r="A1685" s="16">
        <v>44953.0</v>
      </c>
      <c r="B1685" s="13" t="s">
        <v>3330</v>
      </c>
      <c r="C1685" s="13" t="s">
        <v>3331</v>
      </c>
      <c r="D1685" s="13" t="s">
        <v>6</v>
      </c>
      <c r="E1685" s="13" t="s">
        <v>57</v>
      </c>
      <c r="F1685" s="13">
        <v>2022.0</v>
      </c>
      <c r="G1685" s="13">
        <v>37099.0</v>
      </c>
      <c r="H1685" s="13">
        <v>3132.05</v>
      </c>
      <c r="I1685" s="13">
        <f>' car_sales_data 1'!$G1685*0.2</f>
        <v>7419.8</v>
      </c>
      <c r="J1685" s="13" t="str">
        <f>TEXT(' car_sales_data 1'!$A1685,"mmmm")</f>
        <v>January</v>
      </c>
      <c r="K1685" s="13" t="str">
        <f>IF(' car_sales_data 1'!$G1685&gt;40000,"Premium",
 IF(' car_sales_data 1'!$G1685&gt;=20000,"Mid Range","Budget"))</f>
        <v>Mid Range</v>
      </c>
      <c r="L1685" s="13">
        <f>YEAR(TODAY())-' car_sales_data 1'!$F1685</f>
        <v>3</v>
      </c>
    </row>
    <row r="1686" ht="15.75" customHeight="1">
      <c r="A1686" s="16">
        <v>44789.0</v>
      </c>
      <c r="B1686" s="13" t="s">
        <v>3332</v>
      </c>
      <c r="C1686" s="13" t="s">
        <v>3333</v>
      </c>
      <c r="D1686" s="13" t="s">
        <v>14</v>
      </c>
      <c r="E1686" s="13" t="s">
        <v>51</v>
      </c>
      <c r="F1686" s="13">
        <v>2012.0</v>
      </c>
      <c r="G1686" s="13">
        <v>25242.0</v>
      </c>
      <c r="H1686" s="13">
        <v>1985.66</v>
      </c>
      <c r="I1686" s="13">
        <f>' car_sales_data 1'!$G1686*0.2</f>
        <v>5048.4</v>
      </c>
      <c r="J1686" s="13" t="str">
        <f>TEXT(' car_sales_data 1'!$A1686,"mmmm")</f>
        <v>August</v>
      </c>
      <c r="K1686" s="13" t="str">
        <f>IF(' car_sales_data 1'!$G1686&gt;40000,"Premium",
 IF(' car_sales_data 1'!$G1686&gt;=20000,"Mid Range","Budget"))</f>
        <v>Mid Range</v>
      </c>
      <c r="L1686" s="13">
        <f>YEAR(TODAY())-' car_sales_data 1'!$F1686</f>
        <v>13</v>
      </c>
    </row>
    <row r="1687" ht="15.75" customHeight="1">
      <c r="A1687" s="16">
        <v>44921.0</v>
      </c>
      <c r="B1687" s="13" t="s">
        <v>3334</v>
      </c>
      <c r="C1687" s="13" t="s">
        <v>3335</v>
      </c>
      <c r="D1687" s="13" t="s">
        <v>10</v>
      </c>
      <c r="E1687" s="13" t="s">
        <v>62</v>
      </c>
      <c r="F1687" s="13">
        <v>2014.0</v>
      </c>
      <c r="G1687" s="13">
        <v>15583.0</v>
      </c>
      <c r="H1687" s="13">
        <v>2161.47</v>
      </c>
      <c r="I1687" s="13">
        <f>' car_sales_data 1'!$G1687*0.2</f>
        <v>3116.6</v>
      </c>
      <c r="J1687" s="13" t="str">
        <f>TEXT(' car_sales_data 1'!$A1687,"mmmm")</f>
        <v>December</v>
      </c>
      <c r="K1687" s="13" t="str">
        <f>IF(' car_sales_data 1'!$G1687&gt;40000,"Premium",
 IF(' car_sales_data 1'!$G1687&gt;=20000,"Mid Range","Budget"))</f>
        <v>Budget</v>
      </c>
      <c r="L1687" s="13">
        <f>YEAR(TODAY())-' car_sales_data 1'!$F1687</f>
        <v>11</v>
      </c>
    </row>
    <row r="1688" ht="15.75" customHeight="1">
      <c r="A1688" s="16">
        <v>44893.0</v>
      </c>
      <c r="B1688" s="13" t="s">
        <v>3336</v>
      </c>
      <c r="C1688" s="13" t="s">
        <v>3337</v>
      </c>
      <c r="D1688" s="13" t="s">
        <v>10</v>
      </c>
      <c r="E1688" s="13" t="s">
        <v>70</v>
      </c>
      <c r="F1688" s="13">
        <v>2018.0</v>
      </c>
      <c r="G1688" s="13">
        <v>34551.0</v>
      </c>
      <c r="H1688" s="13">
        <v>1812.2</v>
      </c>
      <c r="I1688" s="13">
        <f>' car_sales_data 1'!$G1688*0.2</f>
        <v>6910.2</v>
      </c>
      <c r="J1688" s="13" t="str">
        <f>TEXT(' car_sales_data 1'!$A1688,"mmmm")</f>
        <v>November</v>
      </c>
      <c r="K1688" s="13" t="str">
        <f>IF(' car_sales_data 1'!$G1688&gt;40000,"Premium",
 IF(' car_sales_data 1'!$G1688&gt;=20000,"Mid Range","Budget"))</f>
        <v>Mid Range</v>
      </c>
      <c r="L1688" s="13">
        <f>YEAR(TODAY())-' car_sales_data 1'!$F1688</f>
        <v>7</v>
      </c>
    </row>
    <row r="1689" ht="15.75" customHeight="1">
      <c r="A1689" s="16">
        <v>44721.0</v>
      </c>
      <c r="B1689" s="13" t="s">
        <v>3338</v>
      </c>
      <c r="C1689" s="13" t="s">
        <v>3339</v>
      </c>
      <c r="D1689" s="13" t="s">
        <v>6</v>
      </c>
      <c r="E1689" s="13" t="s">
        <v>70</v>
      </c>
      <c r="F1689" s="13">
        <v>2012.0</v>
      </c>
      <c r="G1689" s="13">
        <v>37221.0</v>
      </c>
      <c r="H1689" s="13">
        <v>2378.01</v>
      </c>
      <c r="I1689" s="13">
        <f>' car_sales_data 1'!$G1689*0.2</f>
        <v>7444.2</v>
      </c>
      <c r="J1689" s="13" t="str">
        <f>TEXT(' car_sales_data 1'!$A1689,"mmmm")</f>
        <v>June</v>
      </c>
      <c r="K1689" s="13" t="str">
        <f>IF(' car_sales_data 1'!$G1689&gt;40000,"Premium",
 IF(' car_sales_data 1'!$G1689&gt;=20000,"Mid Range","Budget"))</f>
        <v>Mid Range</v>
      </c>
      <c r="L1689" s="13">
        <f>YEAR(TODAY())-' car_sales_data 1'!$F1689</f>
        <v>13</v>
      </c>
    </row>
    <row r="1690" ht="15.75" customHeight="1">
      <c r="A1690" s="16">
        <v>44690.0</v>
      </c>
      <c r="B1690" s="13" t="s">
        <v>3340</v>
      </c>
      <c r="C1690" s="13" t="s">
        <v>3341</v>
      </c>
      <c r="D1690" s="13" t="s">
        <v>10</v>
      </c>
      <c r="E1690" s="13" t="s">
        <v>51</v>
      </c>
      <c r="F1690" s="13">
        <v>2013.0</v>
      </c>
      <c r="G1690" s="13">
        <v>11472.0</v>
      </c>
      <c r="H1690" s="13">
        <v>982.4</v>
      </c>
      <c r="I1690" s="13">
        <f>' car_sales_data 1'!$G1690*0.2</f>
        <v>2294.4</v>
      </c>
      <c r="J1690" s="13" t="str">
        <f>TEXT(' car_sales_data 1'!$A1690,"mmmm")</f>
        <v>May</v>
      </c>
      <c r="K1690" s="13" t="str">
        <f>IF(' car_sales_data 1'!$G1690&gt;40000,"Premium",
 IF(' car_sales_data 1'!$G1690&gt;=20000,"Mid Range","Budget"))</f>
        <v>Budget</v>
      </c>
      <c r="L1690" s="13">
        <f>YEAR(TODAY())-' car_sales_data 1'!$F1690</f>
        <v>12</v>
      </c>
    </row>
    <row r="1691" ht="15.75" customHeight="1">
      <c r="A1691" s="16">
        <v>44744.0</v>
      </c>
      <c r="B1691" s="13" t="s">
        <v>3342</v>
      </c>
      <c r="C1691" s="13" t="s">
        <v>3343</v>
      </c>
      <c r="D1691" s="13" t="s">
        <v>10</v>
      </c>
      <c r="E1691" s="13" t="s">
        <v>51</v>
      </c>
      <c r="F1691" s="13">
        <v>2021.0</v>
      </c>
      <c r="G1691" s="13">
        <v>44695.0</v>
      </c>
      <c r="H1691" s="13">
        <v>2612.94</v>
      </c>
      <c r="I1691" s="13">
        <f>' car_sales_data 1'!$G1691*0.2</f>
        <v>8939</v>
      </c>
      <c r="J1691" s="13" t="str">
        <f>TEXT(' car_sales_data 1'!$A1691,"mmmm")</f>
        <v>July</v>
      </c>
      <c r="K1691" s="13" t="str">
        <f>IF(' car_sales_data 1'!$G1691&gt;40000,"Premium",
 IF(' car_sales_data 1'!$G1691&gt;=20000,"Mid Range","Budget"))</f>
        <v>Premium</v>
      </c>
      <c r="L1691" s="13">
        <f>YEAR(TODAY())-' car_sales_data 1'!$F1691</f>
        <v>4</v>
      </c>
    </row>
    <row r="1692" ht="15.75" customHeight="1">
      <c r="A1692" s="16">
        <v>44950.0</v>
      </c>
      <c r="B1692" s="13" t="s">
        <v>3344</v>
      </c>
      <c r="C1692" s="13" t="s">
        <v>3345</v>
      </c>
      <c r="D1692" s="13" t="s">
        <v>10</v>
      </c>
      <c r="E1692" s="13" t="s">
        <v>57</v>
      </c>
      <c r="F1692" s="13">
        <v>2010.0</v>
      </c>
      <c r="G1692" s="13">
        <v>22571.0</v>
      </c>
      <c r="H1692" s="13">
        <v>3109.61</v>
      </c>
      <c r="I1692" s="13">
        <f>' car_sales_data 1'!$G1692*0.2</f>
        <v>4514.2</v>
      </c>
      <c r="J1692" s="13" t="str">
        <f>TEXT(' car_sales_data 1'!$A1692,"mmmm")</f>
        <v>January</v>
      </c>
      <c r="K1692" s="13" t="str">
        <f>IF(' car_sales_data 1'!$G1692&gt;40000,"Premium",
 IF(' car_sales_data 1'!$G1692&gt;=20000,"Mid Range","Budget"))</f>
        <v>Mid Range</v>
      </c>
      <c r="L1692" s="13">
        <f>YEAR(TODAY())-' car_sales_data 1'!$F1692</f>
        <v>15</v>
      </c>
    </row>
    <row r="1693" ht="15.75" customHeight="1">
      <c r="A1693" s="16">
        <v>44909.0</v>
      </c>
      <c r="B1693" s="13" t="s">
        <v>3346</v>
      </c>
      <c r="C1693" s="13" t="s">
        <v>3347</v>
      </c>
      <c r="D1693" s="13" t="s">
        <v>14</v>
      </c>
      <c r="E1693" s="13" t="s">
        <v>62</v>
      </c>
      <c r="F1693" s="13">
        <v>2019.0</v>
      </c>
      <c r="G1693" s="13">
        <v>11946.0</v>
      </c>
      <c r="H1693" s="13">
        <v>1229.83</v>
      </c>
      <c r="I1693" s="13">
        <f>' car_sales_data 1'!$G1693*0.2</f>
        <v>2389.2</v>
      </c>
      <c r="J1693" s="13" t="str">
        <f>TEXT(' car_sales_data 1'!$A1693,"mmmm")</f>
        <v>December</v>
      </c>
      <c r="K1693" s="13" t="str">
        <f>IF(' car_sales_data 1'!$G1693&gt;40000,"Premium",
 IF(' car_sales_data 1'!$G1693&gt;=20000,"Mid Range","Budget"))</f>
        <v>Budget</v>
      </c>
      <c r="L1693" s="13">
        <f>YEAR(TODAY())-' car_sales_data 1'!$F1693</f>
        <v>6</v>
      </c>
    </row>
    <row r="1694" ht="15.75" customHeight="1">
      <c r="A1694" s="16">
        <v>45044.0</v>
      </c>
      <c r="B1694" s="13" t="s">
        <v>3348</v>
      </c>
      <c r="C1694" s="13" t="s">
        <v>3349</v>
      </c>
      <c r="D1694" s="13" t="s">
        <v>12</v>
      </c>
      <c r="E1694" s="13" t="s">
        <v>54</v>
      </c>
      <c r="F1694" s="13">
        <v>2013.0</v>
      </c>
      <c r="G1694" s="13">
        <v>16956.0</v>
      </c>
      <c r="H1694" s="13">
        <v>1147.23</v>
      </c>
      <c r="I1694" s="13">
        <f>' car_sales_data 1'!$G1694*0.2</f>
        <v>3391.2</v>
      </c>
      <c r="J1694" s="13" t="str">
        <f>TEXT(' car_sales_data 1'!$A1694,"mmmm")</f>
        <v>April</v>
      </c>
      <c r="K1694" s="13" t="str">
        <f>IF(' car_sales_data 1'!$G1694&gt;40000,"Premium",
 IF(' car_sales_data 1'!$G1694&gt;=20000,"Mid Range","Budget"))</f>
        <v>Budget</v>
      </c>
      <c r="L1694" s="13">
        <f>YEAR(TODAY())-' car_sales_data 1'!$F1694</f>
        <v>12</v>
      </c>
    </row>
    <row r="1695" ht="15.75" customHeight="1">
      <c r="A1695" s="16">
        <v>45036.0</v>
      </c>
      <c r="B1695" s="13" t="s">
        <v>3350</v>
      </c>
      <c r="C1695" s="13" t="s">
        <v>3351</v>
      </c>
      <c r="D1695" s="13" t="s">
        <v>12</v>
      </c>
      <c r="E1695" s="13" t="s">
        <v>70</v>
      </c>
      <c r="F1695" s="13">
        <v>2017.0</v>
      </c>
      <c r="G1695" s="13">
        <v>49312.0</v>
      </c>
      <c r="H1695" s="13">
        <v>4963.33</v>
      </c>
      <c r="I1695" s="13">
        <f>' car_sales_data 1'!$G1695*0.2</f>
        <v>9862.4</v>
      </c>
      <c r="J1695" s="13" t="str">
        <f>TEXT(' car_sales_data 1'!$A1695,"mmmm")</f>
        <v>April</v>
      </c>
      <c r="K1695" s="13" t="str">
        <f>IF(' car_sales_data 1'!$G1695&gt;40000,"Premium",
 IF(' car_sales_data 1'!$G1695&gt;=20000,"Mid Range","Budget"))</f>
        <v>Premium</v>
      </c>
      <c r="L1695" s="13">
        <f>YEAR(TODAY())-' car_sales_data 1'!$F1695</f>
        <v>8</v>
      </c>
    </row>
    <row r="1696" ht="15.75" customHeight="1">
      <c r="A1696" s="16">
        <v>44720.0</v>
      </c>
      <c r="B1696" s="13" t="s">
        <v>3352</v>
      </c>
      <c r="C1696" s="13" t="s">
        <v>3353</v>
      </c>
      <c r="D1696" s="13" t="s">
        <v>6</v>
      </c>
      <c r="E1696" s="13" t="s">
        <v>70</v>
      </c>
      <c r="F1696" s="13">
        <v>2016.0</v>
      </c>
      <c r="G1696" s="13">
        <v>48827.0</v>
      </c>
      <c r="H1696" s="13">
        <v>2984.12</v>
      </c>
      <c r="I1696" s="13">
        <f>' car_sales_data 1'!$G1696*0.2</f>
        <v>9765.4</v>
      </c>
      <c r="J1696" s="13" t="str">
        <f>TEXT(' car_sales_data 1'!$A1696,"mmmm")</f>
        <v>June</v>
      </c>
      <c r="K1696" s="13" t="str">
        <f>IF(' car_sales_data 1'!$G1696&gt;40000,"Premium",
 IF(' car_sales_data 1'!$G1696&gt;=20000,"Mid Range","Budget"))</f>
        <v>Premium</v>
      </c>
      <c r="L1696" s="13">
        <f>YEAR(TODAY())-' car_sales_data 1'!$F1696</f>
        <v>9</v>
      </c>
    </row>
    <row r="1697" ht="15.75" customHeight="1">
      <c r="A1697" s="16">
        <v>44887.0</v>
      </c>
      <c r="B1697" s="13" t="s">
        <v>3354</v>
      </c>
      <c r="C1697" s="13" t="s">
        <v>3355</v>
      </c>
      <c r="D1697" s="13" t="s">
        <v>10</v>
      </c>
      <c r="E1697" s="13" t="s">
        <v>62</v>
      </c>
      <c r="F1697" s="13">
        <v>2021.0</v>
      </c>
      <c r="G1697" s="13">
        <v>15155.0</v>
      </c>
      <c r="H1697" s="13">
        <v>1855.1</v>
      </c>
      <c r="I1697" s="13">
        <f>' car_sales_data 1'!$G1697*0.2</f>
        <v>3031</v>
      </c>
      <c r="J1697" s="13" t="str">
        <f>TEXT(' car_sales_data 1'!$A1697,"mmmm")</f>
        <v>November</v>
      </c>
      <c r="K1697" s="13" t="str">
        <f>IF(' car_sales_data 1'!$G1697&gt;40000,"Premium",
 IF(' car_sales_data 1'!$G1697&gt;=20000,"Mid Range","Budget"))</f>
        <v>Budget</v>
      </c>
      <c r="L1697" s="13">
        <f>YEAR(TODAY())-' car_sales_data 1'!$F1697</f>
        <v>4</v>
      </c>
    </row>
    <row r="1698" ht="15.75" customHeight="1">
      <c r="A1698" s="16">
        <v>44869.0</v>
      </c>
      <c r="B1698" s="13" t="s">
        <v>3356</v>
      </c>
      <c r="C1698" s="13" t="s">
        <v>3357</v>
      </c>
      <c r="D1698" s="13" t="s">
        <v>14</v>
      </c>
      <c r="E1698" s="13" t="s">
        <v>70</v>
      </c>
      <c r="F1698" s="13">
        <v>2022.0</v>
      </c>
      <c r="G1698" s="13">
        <v>44048.0</v>
      </c>
      <c r="H1698" s="13">
        <v>5216.5</v>
      </c>
      <c r="I1698" s="13">
        <f>' car_sales_data 1'!$G1698*0.2</f>
        <v>8809.6</v>
      </c>
      <c r="J1698" s="13" t="str">
        <f>TEXT(' car_sales_data 1'!$A1698,"mmmm")</f>
        <v>November</v>
      </c>
      <c r="K1698" s="13" t="str">
        <f>IF(' car_sales_data 1'!$G1698&gt;40000,"Premium",
 IF(' car_sales_data 1'!$G1698&gt;=20000,"Mid Range","Budget"))</f>
        <v>Premium</v>
      </c>
      <c r="L1698" s="13">
        <f>YEAR(TODAY())-' car_sales_data 1'!$F1698</f>
        <v>3</v>
      </c>
    </row>
    <row r="1699" ht="15.75" customHeight="1">
      <c r="A1699" s="16">
        <v>44857.0</v>
      </c>
      <c r="B1699" s="13" t="s">
        <v>3358</v>
      </c>
      <c r="C1699" s="13" t="s">
        <v>3359</v>
      </c>
      <c r="D1699" s="13" t="s">
        <v>12</v>
      </c>
      <c r="E1699" s="13" t="s">
        <v>70</v>
      </c>
      <c r="F1699" s="13">
        <v>2013.0</v>
      </c>
      <c r="G1699" s="13">
        <v>15565.0</v>
      </c>
      <c r="H1699" s="13">
        <v>828.99</v>
      </c>
      <c r="I1699" s="13">
        <f>' car_sales_data 1'!$G1699*0.2</f>
        <v>3113</v>
      </c>
      <c r="J1699" s="13" t="str">
        <f>TEXT(' car_sales_data 1'!$A1699,"mmmm")</f>
        <v>October</v>
      </c>
      <c r="K1699" s="13" t="str">
        <f>IF(' car_sales_data 1'!$G1699&gt;40000,"Premium",
 IF(' car_sales_data 1'!$G1699&gt;=20000,"Mid Range","Budget"))</f>
        <v>Budget</v>
      </c>
      <c r="L1699" s="13">
        <f>YEAR(TODAY())-' car_sales_data 1'!$F1699</f>
        <v>12</v>
      </c>
    </row>
    <row r="1700" ht="15.75" customHeight="1">
      <c r="A1700" s="16">
        <v>44765.0</v>
      </c>
      <c r="B1700" s="13" t="s">
        <v>2222</v>
      </c>
      <c r="C1700" s="13" t="s">
        <v>3360</v>
      </c>
      <c r="D1700" s="13" t="s">
        <v>6</v>
      </c>
      <c r="E1700" s="13" t="s">
        <v>57</v>
      </c>
      <c r="F1700" s="13">
        <v>2021.0</v>
      </c>
      <c r="G1700" s="13">
        <v>33647.0</v>
      </c>
      <c r="H1700" s="13">
        <v>4120.14</v>
      </c>
      <c r="I1700" s="13">
        <f>' car_sales_data 1'!$G1700*0.2</f>
        <v>6729.4</v>
      </c>
      <c r="J1700" s="13" t="str">
        <f>TEXT(' car_sales_data 1'!$A1700,"mmmm")</f>
        <v>July</v>
      </c>
      <c r="K1700" s="13" t="str">
        <f>IF(' car_sales_data 1'!$G1700&gt;40000,"Premium",
 IF(' car_sales_data 1'!$G1700&gt;=20000,"Mid Range","Budget"))</f>
        <v>Mid Range</v>
      </c>
      <c r="L1700" s="13">
        <f>YEAR(TODAY())-' car_sales_data 1'!$F1700</f>
        <v>4</v>
      </c>
    </row>
    <row r="1701" ht="15.75" customHeight="1">
      <c r="A1701" s="16">
        <v>44821.0</v>
      </c>
      <c r="B1701" s="13" t="s">
        <v>3361</v>
      </c>
      <c r="C1701" s="13" t="s">
        <v>3362</v>
      </c>
      <c r="D1701" s="13" t="s">
        <v>10</v>
      </c>
      <c r="E1701" s="13" t="s">
        <v>70</v>
      </c>
      <c r="F1701" s="13">
        <v>2012.0</v>
      </c>
      <c r="G1701" s="13">
        <v>14124.0</v>
      </c>
      <c r="H1701" s="13">
        <v>1784.82</v>
      </c>
      <c r="I1701" s="13">
        <f>' car_sales_data 1'!$G1701*0.2</f>
        <v>2824.8</v>
      </c>
      <c r="J1701" s="13" t="str">
        <f>TEXT(' car_sales_data 1'!$A1701,"mmmm")</f>
        <v>September</v>
      </c>
      <c r="K1701" s="13" t="str">
        <f>IF(' car_sales_data 1'!$G1701&gt;40000,"Premium",
 IF(' car_sales_data 1'!$G1701&gt;=20000,"Mid Range","Budget"))</f>
        <v>Budget</v>
      </c>
      <c r="L1701" s="13">
        <f>YEAR(TODAY())-' car_sales_data 1'!$F1701</f>
        <v>13</v>
      </c>
    </row>
    <row r="1702" ht="15.75" customHeight="1">
      <c r="A1702" s="16">
        <v>44979.0</v>
      </c>
      <c r="B1702" s="13" t="s">
        <v>3363</v>
      </c>
      <c r="C1702" s="13" t="s">
        <v>3364</v>
      </c>
      <c r="D1702" s="13" t="s">
        <v>8</v>
      </c>
      <c r="E1702" s="13" t="s">
        <v>70</v>
      </c>
      <c r="F1702" s="13">
        <v>2010.0</v>
      </c>
      <c r="G1702" s="13">
        <v>36403.0</v>
      </c>
      <c r="H1702" s="13">
        <v>4092.31</v>
      </c>
      <c r="I1702" s="13">
        <f>' car_sales_data 1'!$G1702*0.2</f>
        <v>7280.6</v>
      </c>
      <c r="J1702" s="13" t="str">
        <f>TEXT(' car_sales_data 1'!$A1702,"mmmm")</f>
        <v>February</v>
      </c>
      <c r="K1702" s="13" t="str">
        <f>IF(' car_sales_data 1'!$G1702&gt;40000,"Premium",
 IF(' car_sales_data 1'!$G1702&gt;=20000,"Mid Range","Budget"))</f>
        <v>Mid Range</v>
      </c>
      <c r="L1702" s="13">
        <f>YEAR(TODAY())-' car_sales_data 1'!$F1702</f>
        <v>15</v>
      </c>
    </row>
    <row r="1703" ht="15.75" customHeight="1">
      <c r="A1703" s="16">
        <v>44870.0</v>
      </c>
      <c r="B1703" s="13" t="s">
        <v>3365</v>
      </c>
      <c r="C1703" s="13" t="s">
        <v>3366</v>
      </c>
      <c r="D1703" s="13" t="s">
        <v>12</v>
      </c>
      <c r="E1703" s="13" t="s">
        <v>51</v>
      </c>
      <c r="F1703" s="13">
        <v>2010.0</v>
      </c>
      <c r="G1703" s="13">
        <v>49815.0</v>
      </c>
      <c r="H1703" s="13">
        <v>6352.53</v>
      </c>
      <c r="I1703" s="13">
        <f>' car_sales_data 1'!$G1703*0.2</f>
        <v>9963</v>
      </c>
      <c r="J1703" s="13" t="str">
        <f>TEXT(' car_sales_data 1'!$A1703,"mmmm")</f>
        <v>November</v>
      </c>
      <c r="K1703" s="13" t="str">
        <f>IF(' car_sales_data 1'!$G1703&gt;40000,"Premium",
 IF(' car_sales_data 1'!$G1703&gt;=20000,"Mid Range","Budget"))</f>
        <v>Premium</v>
      </c>
      <c r="L1703" s="13">
        <f>YEAR(TODAY())-' car_sales_data 1'!$F1703</f>
        <v>15</v>
      </c>
    </row>
    <row r="1704" ht="15.75" customHeight="1">
      <c r="A1704" s="16">
        <v>44745.0</v>
      </c>
      <c r="B1704" s="13" t="s">
        <v>3367</v>
      </c>
      <c r="C1704" s="13" t="s">
        <v>3368</v>
      </c>
      <c r="D1704" s="13" t="s">
        <v>8</v>
      </c>
      <c r="E1704" s="13" t="s">
        <v>54</v>
      </c>
      <c r="F1704" s="13">
        <v>2017.0</v>
      </c>
      <c r="G1704" s="13">
        <v>30870.0</v>
      </c>
      <c r="H1704" s="13">
        <v>3738.77</v>
      </c>
      <c r="I1704" s="13">
        <f>' car_sales_data 1'!$G1704*0.2</f>
        <v>6174</v>
      </c>
      <c r="J1704" s="13" t="str">
        <f>TEXT(' car_sales_data 1'!$A1704,"mmmm")</f>
        <v>July</v>
      </c>
      <c r="K1704" s="13" t="str">
        <f>IF(' car_sales_data 1'!$G1704&gt;40000,"Premium",
 IF(' car_sales_data 1'!$G1704&gt;=20000,"Mid Range","Budget"))</f>
        <v>Mid Range</v>
      </c>
      <c r="L1704" s="13">
        <f>YEAR(TODAY())-' car_sales_data 1'!$F1704</f>
        <v>8</v>
      </c>
    </row>
    <row r="1705" ht="15.75" customHeight="1">
      <c r="A1705" s="16">
        <v>44857.0</v>
      </c>
      <c r="B1705" s="13" t="s">
        <v>3369</v>
      </c>
      <c r="C1705" s="13" t="s">
        <v>3370</v>
      </c>
      <c r="D1705" s="13" t="s">
        <v>14</v>
      </c>
      <c r="E1705" s="13" t="s">
        <v>54</v>
      </c>
      <c r="F1705" s="13">
        <v>2019.0</v>
      </c>
      <c r="G1705" s="13">
        <v>36815.0</v>
      </c>
      <c r="H1705" s="13">
        <v>4643.14</v>
      </c>
      <c r="I1705" s="13">
        <f>' car_sales_data 1'!$G1705*0.2</f>
        <v>7363</v>
      </c>
      <c r="J1705" s="13" t="str">
        <f>TEXT(' car_sales_data 1'!$A1705,"mmmm")</f>
        <v>October</v>
      </c>
      <c r="K1705" s="13" t="str">
        <f>IF(' car_sales_data 1'!$G1705&gt;40000,"Premium",
 IF(' car_sales_data 1'!$G1705&gt;=20000,"Mid Range","Budget"))</f>
        <v>Mid Range</v>
      </c>
      <c r="L1705" s="13">
        <f>YEAR(TODAY())-' car_sales_data 1'!$F1705</f>
        <v>6</v>
      </c>
    </row>
    <row r="1706" ht="15.75" customHeight="1">
      <c r="A1706" s="16">
        <v>44774.0</v>
      </c>
      <c r="B1706" s="13" t="s">
        <v>3371</v>
      </c>
      <c r="C1706" s="13" t="s">
        <v>3372</v>
      </c>
      <c r="D1706" s="13" t="s">
        <v>14</v>
      </c>
      <c r="E1706" s="13" t="s">
        <v>62</v>
      </c>
      <c r="F1706" s="13">
        <v>2022.0</v>
      </c>
      <c r="G1706" s="13">
        <v>40859.0</v>
      </c>
      <c r="H1706" s="13">
        <v>5090.99</v>
      </c>
      <c r="I1706" s="13">
        <f>' car_sales_data 1'!$G1706*0.2</f>
        <v>8171.8</v>
      </c>
      <c r="J1706" s="13" t="str">
        <f>TEXT(' car_sales_data 1'!$A1706,"mmmm")</f>
        <v>August</v>
      </c>
      <c r="K1706" s="13" t="str">
        <f>IF(' car_sales_data 1'!$G1706&gt;40000,"Premium",
 IF(' car_sales_data 1'!$G1706&gt;=20000,"Mid Range","Budget"))</f>
        <v>Premium</v>
      </c>
      <c r="L1706" s="13">
        <f>YEAR(TODAY())-' car_sales_data 1'!$F1706</f>
        <v>3</v>
      </c>
    </row>
    <row r="1707" ht="15.75" customHeight="1">
      <c r="A1707" s="16">
        <v>45013.0</v>
      </c>
      <c r="B1707" s="13" t="s">
        <v>3373</v>
      </c>
      <c r="C1707" s="13" t="s">
        <v>137</v>
      </c>
      <c r="D1707" s="13" t="s">
        <v>10</v>
      </c>
      <c r="E1707" s="13" t="s">
        <v>70</v>
      </c>
      <c r="F1707" s="13">
        <v>2012.0</v>
      </c>
      <c r="G1707" s="13">
        <v>44864.0</v>
      </c>
      <c r="H1707" s="13">
        <v>6214.93</v>
      </c>
      <c r="I1707" s="13">
        <f>' car_sales_data 1'!$G1707*0.2</f>
        <v>8972.8</v>
      </c>
      <c r="J1707" s="13" t="str">
        <f>TEXT(' car_sales_data 1'!$A1707,"mmmm")</f>
        <v>March</v>
      </c>
      <c r="K1707" s="13" t="str">
        <f>IF(' car_sales_data 1'!$G1707&gt;40000,"Premium",
 IF(' car_sales_data 1'!$G1707&gt;=20000,"Mid Range","Budget"))</f>
        <v>Premium</v>
      </c>
      <c r="L1707" s="13">
        <f>YEAR(TODAY())-' car_sales_data 1'!$F1707</f>
        <v>13</v>
      </c>
    </row>
    <row r="1708" ht="15.75" customHeight="1">
      <c r="A1708" s="16">
        <v>44920.0</v>
      </c>
      <c r="B1708" s="13" t="s">
        <v>3374</v>
      </c>
      <c r="C1708" s="13" t="s">
        <v>3375</v>
      </c>
      <c r="D1708" s="13" t="s">
        <v>10</v>
      </c>
      <c r="E1708" s="13" t="s">
        <v>57</v>
      </c>
      <c r="F1708" s="13">
        <v>2016.0</v>
      </c>
      <c r="G1708" s="13">
        <v>38770.0</v>
      </c>
      <c r="H1708" s="13">
        <v>3440.2</v>
      </c>
      <c r="I1708" s="13">
        <f>' car_sales_data 1'!$G1708*0.2</f>
        <v>7754</v>
      </c>
      <c r="J1708" s="13" t="str">
        <f>TEXT(' car_sales_data 1'!$A1708,"mmmm")</f>
        <v>December</v>
      </c>
      <c r="K1708" s="13" t="str">
        <f>IF(' car_sales_data 1'!$G1708&gt;40000,"Premium",
 IF(' car_sales_data 1'!$G1708&gt;=20000,"Mid Range","Budget"))</f>
        <v>Mid Range</v>
      </c>
      <c r="L1708" s="13">
        <f>YEAR(TODAY())-' car_sales_data 1'!$F1708</f>
        <v>9</v>
      </c>
    </row>
    <row r="1709" ht="15.75" customHeight="1">
      <c r="A1709" s="16">
        <v>44921.0</v>
      </c>
      <c r="B1709" s="13" t="s">
        <v>3376</v>
      </c>
      <c r="C1709" s="13" t="s">
        <v>3377</v>
      </c>
      <c r="D1709" s="13" t="s">
        <v>14</v>
      </c>
      <c r="E1709" s="13" t="s">
        <v>54</v>
      </c>
      <c r="F1709" s="13">
        <v>2016.0</v>
      </c>
      <c r="G1709" s="13">
        <v>28689.0</v>
      </c>
      <c r="H1709" s="13">
        <v>2674.18</v>
      </c>
      <c r="I1709" s="13">
        <f>' car_sales_data 1'!$G1709*0.2</f>
        <v>5737.8</v>
      </c>
      <c r="J1709" s="13" t="str">
        <f>TEXT(' car_sales_data 1'!$A1709,"mmmm")</f>
        <v>December</v>
      </c>
      <c r="K1709" s="13" t="str">
        <f>IF(' car_sales_data 1'!$G1709&gt;40000,"Premium",
 IF(' car_sales_data 1'!$G1709&gt;=20000,"Mid Range","Budget"))</f>
        <v>Mid Range</v>
      </c>
      <c r="L1709" s="13">
        <f>YEAR(TODAY())-' car_sales_data 1'!$F1709</f>
        <v>9</v>
      </c>
    </row>
    <row r="1710" ht="15.75" customHeight="1">
      <c r="A1710" s="16">
        <v>44718.0</v>
      </c>
      <c r="B1710" s="13" t="s">
        <v>3378</v>
      </c>
      <c r="C1710" s="13" t="s">
        <v>3379</v>
      </c>
      <c r="D1710" s="13" t="s">
        <v>10</v>
      </c>
      <c r="E1710" s="13" t="s">
        <v>54</v>
      </c>
      <c r="F1710" s="13">
        <v>2022.0</v>
      </c>
      <c r="G1710" s="13">
        <v>20216.0</v>
      </c>
      <c r="H1710" s="13">
        <v>3002.15</v>
      </c>
      <c r="I1710" s="13">
        <f>' car_sales_data 1'!$G1710*0.2</f>
        <v>4043.2</v>
      </c>
      <c r="J1710" s="13" t="str">
        <f>TEXT(' car_sales_data 1'!$A1710,"mmmm")</f>
        <v>June</v>
      </c>
      <c r="K1710" s="13" t="str">
        <f>IF(' car_sales_data 1'!$G1710&gt;40000,"Premium",
 IF(' car_sales_data 1'!$G1710&gt;=20000,"Mid Range","Budget"))</f>
        <v>Mid Range</v>
      </c>
      <c r="L1710" s="13">
        <f>YEAR(TODAY())-' car_sales_data 1'!$F1710</f>
        <v>3</v>
      </c>
    </row>
    <row r="1711" ht="15.75" customHeight="1">
      <c r="A1711" s="16">
        <v>45045.0</v>
      </c>
      <c r="B1711" s="13" t="s">
        <v>3380</v>
      </c>
      <c r="C1711" s="13" t="s">
        <v>3381</v>
      </c>
      <c r="D1711" s="13" t="s">
        <v>14</v>
      </c>
      <c r="E1711" s="13" t="s">
        <v>57</v>
      </c>
      <c r="F1711" s="13">
        <v>2010.0</v>
      </c>
      <c r="G1711" s="13">
        <v>13390.0</v>
      </c>
      <c r="H1711" s="13">
        <v>835.63</v>
      </c>
      <c r="I1711" s="13">
        <f>' car_sales_data 1'!$G1711*0.2</f>
        <v>2678</v>
      </c>
      <c r="J1711" s="13" t="str">
        <f>TEXT(' car_sales_data 1'!$A1711,"mmmm")</f>
        <v>April</v>
      </c>
      <c r="K1711" s="13" t="str">
        <f>IF(' car_sales_data 1'!$G1711&gt;40000,"Premium",
 IF(' car_sales_data 1'!$G1711&gt;=20000,"Mid Range","Budget"))</f>
        <v>Budget</v>
      </c>
      <c r="L1711" s="13">
        <f>YEAR(TODAY())-' car_sales_data 1'!$F1711</f>
        <v>15</v>
      </c>
    </row>
    <row r="1712" ht="15.75" customHeight="1">
      <c r="A1712" s="16">
        <v>44983.0</v>
      </c>
      <c r="B1712" s="13" t="s">
        <v>3382</v>
      </c>
      <c r="C1712" s="13" t="s">
        <v>3383</v>
      </c>
      <c r="D1712" s="13" t="s">
        <v>10</v>
      </c>
      <c r="E1712" s="13" t="s">
        <v>70</v>
      </c>
      <c r="F1712" s="13">
        <v>2017.0</v>
      </c>
      <c r="G1712" s="13">
        <v>19368.0</v>
      </c>
      <c r="H1712" s="13">
        <v>1683.35</v>
      </c>
      <c r="I1712" s="13">
        <f>' car_sales_data 1'!$G1712*0.2</f>
        <v>3873.6</v>
      </c>
      <c r="J1712" s="13" t="str">
        <f>TEXT(' car_sales_data 1'!$A1712,"mmmm")</f>
        <v>February</v>
      </c>
      <c r="K1712" s="13" t="str">
        <f>IF(' car_sales_data 1'!$G1712&gt;40000,"Premium",
 IF(' car_sales_data 1'!$G1712&gt;=20000,"Mid Range","Budget"))</f>
        <v>Budget</v>
      </c>
      <c r="L1712" s="13">
        <f>YEAR(TODAY())-' car_sales_data 1'!$F1712</f>
        <v>8</v>
      </c>
    </row>
    <row r="1713" ht="15.75" customHeight="1">
      <c r="A1713" s="16">
        <v>44993.0</v>
      </c>
      <c r="B1713" s="13" t="s">
        <v>3384</v>
      </c>
      <c r="C1713" s="13" t="s">
        <v>3385</v>
      </c>
      <c r="D1713" s="13" t="s">
        <v>8</v>
      </c>
      <c r="E1713" s="13" t="s">
        <v>54</v>
      </c>
      <c r="F1713" s="13">
        <v>2022.0</v>
      </c>
      <c r="G1713" s="13">
        <v>46937.0</v>
      </c>
      <c r="H1713" s="13">
        <v>4375.47</v>
      </c>
      <c r="I1713" s="13">
        <f>' car_sales_data 1'!$G1713*0.2</f>
        <v>9387.4</v>
      </c>
      <c r="J1713" s="13" t="str">
        <f>TEXT(' car_sales_data 1'!$A1713,"mmmm")</f>
        <v>March</v>
      </c>
      <c r="K1713" s="13" t="str">
        <f>IF(' car_sales_data 1'!$G1713&gt;40000,"Premium",
 IF(' car_sales_data 1'!$G1713&gt;=20000,"Mid Range","Budget"))</f>
        <v>Premium</v>
      </c>
      <c r="L1713" s="13">
        <f>YEAR(TODAY())-' car_sales_data 1'!$F1713</f>
        <v>3</v>
      </c>
    </row>
    <row r="1714" ht="15.75" customHeight="1">
      <c r="A1714" s="16">
        <v>44836.0</v>
      </c>
      <c r="B1714" s="13" t="s">
        <v>3386</v>
      </c>
      <c r="C1714" s="13" t="s">
        <v>3387</v>
      </c>
      <c r="D1714" s="13" t="s">
        <v>14</v>
      </c>
      <c r="E1714" s="13" t="s">
        <v>62</v>
      </c>
      <c r="F1714" s="13">
        <v>2013.0</v>
      </c>
      <c r="G1714" s="13">
        <v>43198.0</v>
      </c>
      <c r="H1714" s="13">
        <v>5563.65</v>
      </c>
      <c r="I1714" s="13">
        <f>' car_sales_data 1'!$G1714*0.2</f>
        <v>8639.6</v>
      </c>
      <c r="J1714" s="13" t="str">
        <f>TEXT(' car_sales_data 1'!$A1714,"mmmm")</f>
        <v>October</v>
      </c>
      <c r="K1714" s="13" t="str">
        <f>IF(' car_sales_data 1'!$G1714&gt;40000,"Premium",
 IF(' car_sales_data 1'!$G1714&gt;=20000,"Mid Range","Budget"))</f>
        <v>Premium</v>
      </c>
      <c r="L1714" s="13">
        <f>YEAR(TODAY())-' car_sales_data 1'!$F1714</f>
        <v>12</v>
      </c>
    </row>
    <row r="1715" ht="15.75" customHeight="1">
      <c r="A1715" s="16">
        <v>44976.0</v>
      </c>
      <c r="B1715" s="13" t="s">
        <v>3388</v>
      </c>
      <c r="C1715" s="13" t="s">
        <v>3389</v>
      </c>
      <c r="D1715" s="13" t="s">
        <v>6</v>
      </c>
      <c r="E1715" s="13" t="s">
        <v>62</v>
      </c>
      <c r="F1715" s="13">
        <v>2014.0</v>
      </c>
      <c r="G1715" s="13">
        <v>32253.0</v>
      </c>
      <c r="H1715" s="13">
        <v>2775.94</v>
      </c>
      <c r="I1715" s="13">
        <f>' car_sales_data 1'!$G1715*0.2</f>
        <v>6450.6</v>
      </c>
      <c r="J1715" s="13" t="str">
        <f>TEXT(' car_sales_data 1'!$A1715,"mmmm")</f>
        <v>February</v>
      </c>
      <c r="K1715" s="13" t="str">
        <f>IF(' car_sales_data 1'!$G1715&gt;40000,"Premium",
 IF(' car_sales_data 1'!$G1715&gt;=20000,"Mid Range","Budget"))</f>
        <v>Mid Range</v>
      </c>
      <c r="L1715" s="13">
        <f>YEAR(TODAY())-' car_sales_data 1'!$F1715</f>
        <v>11</v>
      </c>
    </row>
    <row r="1716" ht="15.75" customHeight="1">
      <c r="A1716" s="16">
        <v>44875.0</v>
      </c>
      <c r="B1716" s="13" t="s">
        <v>3390</v>
      </c>
      <c r="C1716" s="13" t="s">
        <v>3391</v>
      </c>
      <c r="D1716" s="13" t="s">
        <v>12</v>
      </c>
      <c r="E1716" s="13" t="s">
        <v>62</v>
      </c>
      <c r="F1716" s="13">
        <v>2011.0</v>
      </c>
      <c r="G1716" s="13">
        <v>11676.0</v>
      </c>
      <c r="H1716" s="13">
        <v>1557.74</v>
      </c>
      <c r="I1716" s="13">
        <f>' car_sales_data 1'!$G1716*0.2</f>
        <v>2335.2</v>
      </c>
      <c r="J1716" s="13" t="str">
        <f>TEXT(' car_sales_data 1'!$A1716,"mmmm")</f>
        <v>November</v>
      </c>
      <c r="K1716" s="13" t="str">
        <f>IF(' car_sales_data 1'!$G1716&gt;40000,"Premium",
 IF(' car_sales_data 1'!$G1716&gt;=20000,"Mid Range","Budget"))</f>
        <v>Budget</v>
      </c>
      <c r="L1716" s="13">
        <f>YEAR(TODAY())-' car_sales_data 1'!$F1716</f>
        <v>14</v>
      </c>
    </row>
    <row r="1717" ht="15.75" customHeight="1">
      <c r="A1717" s="16">
        <v>44709.0</v>
      </c>
      <c r="B1717" s="13" t="s">
        <v>3392</v>
      </c>
      <c r="C1717" s="13" t="s">
        <v>3393</v>
      </c>
      <c r="D1717" s="13" t="s">
        <v>8</v>
      </c>
      <c r="E1717" s="13" t="s">
        <v>70</v>
      </c>
      <c r="F1717" s="13">
        <v>2015.0</v>
      </c>
      <c r="G1717" s="13">
        <v>21587.0</v>
      </c>
      <c r="H1717" s="13">
        <v>3072.99</v>
      </c>
      <c r="I1717" s="13">
        <f>' car_sales_data 1'!$G1717*0.2</f>
        <v>4317.4</v>
      </c>
      <c r="J1717" s="13" t="str">
        <f>TEXT(' car_sales_data 1'!$A1717,"mmmm")</f>
        <v>May</v>
      </c>
      <c r="K1717" s="13" t="str">
        <f>IF(' car_sales_data 1'!$G1717&gt;40000,"Premium",
 IF(' car_sales_data 1'!$G1717&gt;=20000,"Mid Range","Budget"))</f>
        <v>Mid Range</v>
      </c>
      <c r="L1717" s="13">
        <f>YEAR(TODAY())-' car_sales_data 1'!$F1717</f>
        <v>10</v>
      </c>
    </row>
    <row r="1718" ht="15.75" customHeight="1">
      <c r="A1718" s="16">
        <v>44764.0</v>
      </c>
      <c r="B1718" s="13" t="s">
        <v>3394</v>
      </c>
      <c r="C1718" s="13" t="s">
        <v>3395</v>
      </c>
      <c r="D1718" s="13" t="s">
        <v>14</v>
      </c>
      <c r="E1718" s="13" t="s">
        <v>70</v>
      </c>
      <c r="F1718" s="13">
        <v>2012.0</v>
      </c>
      <c r="G1718" s="13">
        <v>39749.0</v>
      </c>
      <c r="H1718" s="13">
        <v>4046.31</v>
      </c>
      <c r="I1718" s="13">
        <f>' car_sales_data 1'!$G1718*0.2</f>
        <v>7949.8</v>
      </c>
      <c r="J1718" s="13" t="str">
        <f>TEXT(' car_sales_data 1'!$A1718,"mmmm")</f>
        <v>July</v>
      </c>
      <c r="K1718" s="13" t="str">
        <f>IF(' car_sales_data 1'!$G1718&gt;40000,"Premium",
 IF(' car_sales_data 1'!$G1718&gt;=20000,"Mid Range","Budget"))</f>
        <v>Mid Range</v>
      </c>
      <c r="L1718" s="13">
        <f>YEAR(TODAY())-' car_sales_data 1'!$F1718</f>
        <v>13</v>
      </c>
    </row>
    <row r="1719" ht="15.75" customHeight="1">
      <c r="A1719" s="16">
        <v>44923.0</v>
      </c>
      <c r="B1719" s="13" t="s">
        <v>3396</v>
      </c>
      <c r="C1719" s="13" t="s">
        <v>3397</v>
      </c>
      <c r="D1719" s="13" t="s">
        <v>8</v>
      </c>
      <c r="E1719" s="13" t="s">
        <v>62</v>
      </c>
      <c r="F1719" s="13">
        <v>2021.0</v>
      </c>
      <c r="G1719" s="13">
        <v>48087.0</v>
      </c>
      <c r="H1719" s="13">
        <v>5492.28</v>
      </c>
      <c r="I1719" s="13">
        <f>' car_sales_data 1'!$G1719*0.2</f>
        <v>9617.4</v>
      </c>
      <c r="J1719" s="13" t="str">
        <f>TEXT(' car_sales_data 1'!$A1719,"mmmm")</f>
        <v>December</v>
      </c>
      <c r="K1719" s="13" t="str">
        <f>IF(' car_sales_data 1'!$G1719&gt;40000,"Premium",
 IF(' car_sales_data 1'!$G1719&gt;=20000,"Mid Range","Budget"))</f>
        <v>Premium</v>
      </c>
      <c r="L1719" s="13">
        <f>YEAR(TODAY())-' car_sales_data 1'!$F1719</f>
        <v>4</v>
      </c>
    </row>
    <row r="1720" ht="15.75" customHeight="1">
      <c r="A1720" s="16">
        <v>44903.0</v>
      </c>
      <c r="B1720" s="13" t="s">
        <v>3398</v>
      </c>
      <c r="C1720" s="13" t="s">
        <v>3399</v>
      </c>
      <c r="D1720" s="13" t="s">
        <v>12</v>
      </c>
      <c r="E1720" s="13" t="s">
        <v>57</v>
      </c>
      <c r="F1720" s="13">
        <v>2014.0</v>
      </c>
      <c r="G1720" s="13">
        <v>31484.0</v>
      </c>
      <c r="H1720" s="13">
        <v>3533.72</v>
      </c>
      <c r="I1720" s="13">
        <f>' car_sales_data 1'!$G1720*0.2</f>
        <v>6296.8</v>
      </c>
      <c r="J1720" s="13" t="str">
        <f>TEXT(' car_sales_data 1'!$A1720,"mmmm")</f>
        <v>December</v>
      </c>
      <c r="K1720" s="13" t="str">
        <f>IF(' car_sales_data 1'!$G1720&gt;40000,"Premium",
 IF(' car_sales_data 1'!$G1720&gt;=20000,"Mid Range","Budget"))</f>
        <v>Mid Range</v>
      </c>
      <c r="L1720" s="13">
        <f>YEAR(TODAY())-' car_sales_data 1'!$F1720</f>
        <v>11</v>
      </c>
    </row>
    <row r="1721" ht="15.75" customHeight="1">
      <c r="A1721" s="16">
        <v>44832.0</v>
      </c>
      <c r="B1721" s="13" t="s">
        <v>3034</v>
      </c>
      <c r="C1721" s="13" t="s">
        <v>3400</v>
      </c>
      <c r="D1721" s="13" t="s">
        <v>6</v>
      </c>
      <c r="E1721" s="13" t="s">
        <v>57</v>
      </c>
      <c r="F1721" s="13">
        <v>2017.0</v>
      </c>
      <c r="G1721" s="13">
        <v>24906.0</v>
      </c>
      <c r="H1721" s="13">
        <v>3232.84</v>
      </c>
      <c r="I1721" s="13">
        <f>' car_sales_data 1'!$G1721*0.2</f>
        <v>4981.2</v>
      </c>
      <c r="J1721" s="13" t="str">
        <f>TEXT(' car_sales_data 1'!$A1721,"mmmm")</f>
        <v>September</v>
      </c>
      <c r="K1721" s="13" t="str">
        <f>IF(' car_sales_data 1'!$G1721&gt;40000,"Premium",
 IF(' car_sales_data 1'!$G1721&gt;=20000,"Mid Range","Budget"))</f>
        <v>Mid Range</v>
      </c>
      <c r="L1721" s="13">
        <f>YEAR(TODAY())-' car_sales_data 1'!$F1721</f>
        <v>8</v>
      </c>
    </row>
    <row r="1722" ht="15.75" customHeight="1">
      <c r="A1722" s="16">
        <v>44803.0</v>
      </c>
      <c r="B1722" s="13" t="s">
        <v>3401</v>
      </c>
      <c r="C1722" s="13" t="s">
        <v>3402</v>
      </c>
      <c r="D1722" s="13" t="s">
        <v>14</v>
      </c>
      <c r="E1722" s="13" t="s">
        <v>70</v>
      </c>
      <c r="F1722" s="13">
        <v>2018.0</v>
      </c>
      <c r="G1722" s="13">
        <v>18011.0</v>
      </c>
      <c r="H1722" s="13">
        <v>2036.37</v>
      </c>
      <c r="I1722" s="13">
        <f>' car_sales_data 1'!$G1722*0.2</f>
        <v>3602.2</v>
      </c>
      <c r="J1722" s="13" t="str">
        <f>TEXT(' car_sales_data 1'!$A1722,"mmmm")</f>
        <v>August</v>
      </c>
      <c r="K1722" s="13" t="str">
        <f>IF(' car_sales_data 1'!$G1722&gt;40000,"Premium",
 IF(' car_sales_data 1'!$G1722&gt;=20000,"Mid Range","Budget"))</f>
        <v>Budget</v>
      </c>
      <c r="L1722" s="13">
        <f>YEAR(TODAY())-' car_sales_data 1'!$F1722</f>
        <v>7</v>
      </c>
    </row>
    <row r="1723" ht="15.75" customHeight="1">
      <c r="A1723" s="16">
        <v>44748.0</v>
      </c>
      <c r="B1723" s="13" t="s">
        <v>3403</v>
      </c>
      <c r="C1723" s="13" t="s">
        <v>3404</v>
      </c>
      <c r="D1723" s="13" t="s">
        <v>8</v>
      </c>
      <c r="E1723" s="13" t="s">
        <v>54</v>
      </c>
      <c r="F1723" s="13">
        <v>2020.0</v>
      </c>
      <c r="G1723" s="13">
        <v>37242.0</v>
      </c>
      <c r="H1723" s="13">
        <v>3642.57</v>
      </c>
      <c r="I1723" s="13">
        <f>' car_sales_data 1'!$G1723*0.2</f>
        <v>7448.4</v>
      </c>
      <c r="J1723" s="13" t="str">
        <f>TEXT(' car_sales_data 1'!$A1723,"mmmm")</f>
        <v>July</v>
      </c>
      <c r="K1723" s="13" t="str">
        <f>IF(' car_sales_data 1'!$G1723&gt;40000,"Premium",
 IF(' car_sales_data 1'!$G1723&gt;=20000,"Mid Range","Budget"))</f>
        <v>Mid Range</v>
      </c>
      <c r="L1723" s="13">
        <f>YEAR(TODAY())-' car_sales_data 1'!$F1723</f>
        <v>5</v>
      </c>
    </row>
    <row r="1724" ht="15.75" customHeight="1">
      <c r="A1724" s="16">
        <v>44759.0</v>
      </c>
      <c r="B1724" s="13" t="s">
        <v>3405</v>
      </c>
      <c r="C1724" s="13" t="s">
        <v>3406</v>
      </c>
      <c r="D1724" s="13" t="s">
        <v>14</v>
      </c>
      <c r="E1724" s="13" t="s">
        <v>54</v>
      </c>
      <c r="F1724" s="13">
        <v>2013.0</v>
      </c>
      <c r="G1724" s="13">
        <v>25964.0</v>
      </c>
      <c r="H1724" s="13">
        <v>2772.97</v>
      </c>
      <c r="I1724" s="13">
        <f>' car_sales_data 1'!$G1724*0.2</f>
        <v>5192.8</v>
      </c>
      <c r="J1724" s="13" t="str">
        <f>TEXT(' car_sales_data 1'!$A1724,"mmmm")</f>
        <v>July</v>
      </c>
      <c r="K1724" s="13" t="str">
        <f>IF(' car_sales_data 1'!$G1724&gt;40000,"Premium",
 IF(' car_sales_data 1'!$G1724&gt;=20000,"Mid Range","Budget"))</f>
        <v>Mid Range</v>
      </c>
      <c r="L1724" s="13">
        <f>YEAR(TODAY())-' car_sales_data 1'!$F1724</f>
        <v>12</v>
      </c>
    </row>
    <row r="1725" ht="15.75" customHeight="1">
      <c r="A1725" s="16">
        <v>44777.0</v>
      </c>
      <c r="B1725" s="13" t="s">
        <v>3407</v>
      </c>
      <c r="C1725" s="13" t="s">
        <v>3408</v>
      </c>
      <c r="D1725" s="13" t="s">
        <v>6</v>
      </c>
      <c r="E1725" s="13" t="s">
        <v>51</v>
      </c>
      <c r="F1725" s="13">
        <v>2010.0</v>
      </c>
      <c r="G1725" s="13">
        <v>40004.0</v>
      </c>
      <c r="H1725" s="13">
        <v>4222.23</v>
      </c>
      <c r="I1725" s="13">
        <f>' car_sales_data 1'!$G1725*0.2</f>
        <v>8000.8</v>
      </c>
      <c r="J1725" s="13" t="str">
        <f>TEXT(' car_sales_data 1'!$A1725,"mmmm")</f>
        <v>August</v>
      </c>
      <c r="K1725" s="13" t="str">
        <f>IF(' car_sales_data 1'!$G1725&gt;40000,"Premium",
 IF(' car_sales_data 1'!$G1725&gt;=20000,"Mid Range","Budget"))</f>
        <v>Premium</v>
      </c>
      <c r="L1725" s="13">
        <f>YEAR(TODAY())-' car_sales_data 1'!$F1725</f>
        <v>15</v>
      </c>
    </row>
    <row r="1726" ht="15.75" customHeight="1">
      <c r="A1726" s="16">
        <v>44777.0</v>
      </c>
      <c r="B1726" s="13" t="s">
        <v>3409</v>
      </c>
      <c r="C1726" s="13" t="s">
        <v>3410</v>
      </c>
      <c r="D1726" s="13" t="s">
        <v>14</v>
      </c>
      <c r="E1726" s="13" t="s">
        <v>62</v>
      </c>
      <c r="F1726" s="13">
        <v>2013.0</v>
      </c>
      <c r="G1726" s="13">
        <v>13875.0</v>
      </c>
      <c r="H1726" s="13">
        <v>986.07</v>
      </c>
      <c r="I1726" s="13">
        <f>' car_sales_data 1'!$G1726*0.2</f>
        <v>2775</v>
      </c>
      <c r="J1726" s="13" t="str">
        <f>TEXT(' car_sales_data 1'!$A1726,"mmmm")</f>
        <v>August</v>
      </c>
      <c r="K1726" s="13" t="str">
        <f>IF(' car_sales_data 1'!$G1726&gt;40000,"Premium",
 IF(' car_sales_data 1'!$G1726&gt;=20000,"Mid Range","Budget"))</f>
        <v>Budget</v>
      </c>
      <c r="L1726" s="13">
        <f>YEAR(TODAY())-' car_sales_data 1'!$F1726</f>
        <v>12</v>
      </c>
    </row>
    <row r="1727" ht="15.75" customHeight="1">
      <c r="A1727" s="16">
        <v>44848.0</v>
      </c>
      <c r="B1727" s="13" t="s">
        <v>3411</v>
      </c>
      <c r="C1727" s="13" t="s">
        <v>3412</v>
      </c>
      <c r="D1727" s="13" t="s">
        <v>12</v>
      </c>
      <c r="E1727" s="13" t="s">
        <v>54</v>
      </c>
      <c r="F1727" s="13">
        <v>2021.0</v>
      </c>
      <c r="G1727" s="13">
        <v>30975.0</v>
      </c>
      <c r="H1727" s="13">
        <v>1596.43</v>
      </c>
      <c r="I1727" s="13">
        <f>' car_sales_data 1'!$G1727*0.2</f>
        <v>6195</v>
      </c>
      <c r="J1727" s="13" t="str">
        <f>TEXT(' car_sales_data 1'!$A1727,"mmmm")</f>
        <v>October</v>
      </c>
      <c r="K1727" s="13" t="str">
        <f>IF(' car_sales_data 1'!$G1727&gt;40000,"Premium",
 IF(' car_sales_data 1'!$G1727&gt;=20000,"Mid Range","Budget"))</f>
        <v>Mid Range</v>
      </c>
      <c r="L1727" s="13">
        <f>YEAR(TODAY())-' car_sales_data 1'!$F1727</f>
        <v>4</v>
      </c>
    </row>
    <row r="1728" ht="15.75" customHeight="1">
      <c r="A1728" s="16">
        <v>44769.0</v>
      </c>
      <c r="B1728" s="13" t="s">
        <v>3413</v>
      </c>
      <c r="C1728" s="13" t="s">
        <v>3414</v>
      </c>
      <c r="D1728" s="13" t="s">
        <v>10</v>
      </c>
      <c r="E1728" s="13" t="s">
        <v>62</v>
      </c>
      <c r="F1728" s="13">
        <v>2019.0</v>
      </c>
      <c r="G1728" s="13">
        <v>31193.0</v>
      </c>
      <c r="H1728" s="13">
        <v>4655.09</v>
      </c>
      <c r="I1728" s="13">
        <f>' car_sales_data 1'!$G1728*0.2</f>
        <v>6238.6</v>
      </c>
      <c r="J1728" s="13" t="str">
        <f>TEXT(' car_sales_data 1'!$A1728,"mmmm")</f>
        <v>July</v>
      </c>
      <c r="K1728" s="13" t="str">
        <f>IF(' car_sales_data 1'!$G1728&gt;40000,"Premium",
 IF(' car_sales_data 1'!$G1728&gt;=20000,"Mid Range","Budget"))</f>
        <v>Mid Range</v>
      </c>
      <c r="L1728" s="13">
        <f>YEAR(TODAY())-' car_sales_data 1'!$F1728</f>
        <v>6</v>
      </c>
    </row>
    <row r="1729" ht="15.75" customHeight="1">
      <c r="A1729" s="16">
        <v>44701.0</v>
      </c>
      <c r="B1729" s="13" t="s">
        <v>3415</v>
      </c>
      <c r="C1729" s="13" t="s">
        <v>3416</v>
      </c>
      <c r="D1729" s="13" t="s">
        <v>8</v>
      </c>
      <c r="E1729" s="13" t="s">
        <v>54</v>
      </c>
      <c r="F1729" s="13">
        <v>2021.0</v>
      </c>
      <c r="G1729" s="13">
        <v>19127.0</v>
      </c>
      <c r="H1729" s="13">
        <v>1165.17</v>
      </c>
      <c r="I1729" s="13">
        <f>' car_sales_data 1'!$G1729*0.2</f>
        <v>3825.4</v>
      </c>
      <c r="J1729" s="13" t="str">
        <f>TEXT(' car_sales_data 1'!$A1729,"mmmm")</f>
        <v>May</v>
      </c>
      <c r="K1729" s="13" t="str">
        <f>IF(' car_sales_data 1'!$G1729&gt;40000,"Premium",
 IF(' car_sales_data 1'!$G1729&gt;=20000,"Mid Range","Budget"))</f>
        <v>Budget</v>
      </c>
      <c r="L1729" s="13">
        <f>YEAR(TODAY())-' car_sales_data 1'!$F1729</f>
        <v>4</v>
      </c>
    </row>
    <row r="1730" ht="15.75" customHeight="1">
      <c r="A1730" s="16">
        <v>44894.0</v>
      </c>
      <c r="B1730" s="13" t="s">
        <v>3417</v>
      </c>
      <c r="C1730" s="13" t="s">
        <v>3418</v>
      </c>
      <c r="D1730" s="13" t="s">
        <v>10</v>
      </c>
      <c r="E1730" s="13" t="s">
        <v>70</v>
      </c>
      <c r="F1730" s="13">
        <v>2011.0</v>
      </c>
      <c r="G1730" s="13">
        <v>37217.0</v>
      </c>
      <c r="H1730" s="13">
        <v>3611.82</v>
      </c>
      <c r="I1730" s="13">
        <f>' car_sales_data 1'!$G1730*0.2</f>
        <v>7443.4</v>
      </c>
      <c r="J1730" s="13" t="str">
        <f>TEXT(' car_sales_data 1'!$A1730,"mmmm")</f>
        <v>November</v>
      </c>
      <c r="K1730" s="13" t="str">
        <f>IF(' car_sales_data 1'!$G1730&gt;40000,"Premium",
 IF(' car_sales_data 1'!$G1730&gt;=20000,"Mid Range","Budget"))</f>
        <v>Mid Range</v>
      </c>
      <c r="L1730" s="13">
        <f>YEAR(TODAY())-' car_sales_data 1'!$F1730</f>
        <v>14</v>
      </c>
    </row>
    <row r="1731" ht="15.75" customHeight="1">
      <c r="A1731" s="16">
        <v>44898.0</v>
      </c>
      <c r="B1731" s="13" t="s">
        <v>3419</v>
      </c>
      <c r="C1731" s="13" t="s">
        <v>3420</v>
      </c>
      <c r="D1731" s="13" t="s">
        <v>10</v>
      </c>
      <c r="E1731" s="13" t="s">
        <v>54</v>
      </c>
      <c r="F1731" s="13">
        <v>2016.0</v>
      </c>
      <c r="G1731" s="13">
        <v>47065.0</v>
      </c>
      <c r="H1731" s="13">
        <v>3240.15</v>
      </c>
      <c r="I1731" s="13">
        <f>' car_sales_data 1'!$G1731*0.2</f>
        <v>9413</v>
      </c>
      <c r="J1731" s="13" t="str">
        <f>TEXT(' car_sales_data 1'!$A1731,"mmmm")</f>
        <v>December</v>
      </c>
      <c r="K1731" s="13" t="str">
        <f>IF(' car_sales_data 1'!$G1731&gt;40000,"Premium",
 IF(' car_sales_data 1'!$G1731&gt;=20000,"Mid Range","Budget"))</f>
        <v>Premium</v>
      </c>
      <c r="L1731" s="13">
        <f>YEAR(TODAY())-' car_sales_data 1'!$F1731</f>
        <v>9</v>
      </c>
    </row>
    <row r="1732" ht="15.75" customHeight="1">
      <c r="A1732" s="16">
        <v>44735.0</v>
      </c>
      <c r="B1732" s="13" t="s">
        <v>3421</v>
      </c>
      <c r="C1732" s="13" t="s">
        <v>3422</v>
      </c>
      <c r="D1732" s="13" t="s">
        <v>6</v>
      </c>
      <c r="E1732" s="13" t="s">
        <v>57</v>
      </c>
      <c r="F1732" s="13">
        <v>2015.0</v>
      </c>
      <c r="G1732" s="13">
        <v>42038.0</v>
      </c>
      <c r="H1732" s="13">
        <v>2513.02</v>
      </c>
      <c r="I1732" s="13">
        <f>' car_sales_data 1'!$G1732*0.2</f>
        <v>8407.6</v>
      </c>
      <c r="J1732" s="13" t="str">
        <f>TEXT(' car_sales_data 1'!$A1732,"mmmm")</f>
        <v>June</v>
      </c>
      <c r="K1732" s="13" t="str">
        <f>IF(' car_sales_data 1'!$G1732&gt;40000,"Premium",
 IF(' car_sales_data 1'!$G1732&gt;=20000,"Mid Range","Budget"))</f>
        <v>Premium</v>
      </c>
      <c r="L1732" s="13">
        <f>YEAR(TODAY())-' car_sales_data 1'!$F1732</f>
        <v>10</v>
      </c>
    </row>
    <row r="1733" ht="15.75" customHeight="1">
      <c r="A1733" s="16">
        <v>44840.0</v>
      </c>
      <c r="B1733" s="13" t="s">
        <v>3423</v>
      </c>
      <c r="C1733" s="13" t="s">
        <v>3424</v>
      </c>
      <c r="D1733" s="13" t="s">
        <v>12</v>
      </c>
      <c r="E1733" s="13" t="s">
        <v>54</v>
      </c>
      <c r="F1733" s="13">
        <v>2020.0</v>
      </c>
      <c r="G1733" s="13">
        <v>10149.0</v>
      </c>
      <c r="H1733" s="13">
        <v>1114.48</v>
      </c>
      <c r="I1733" s="13">
        <f>' car_sales_data 1'!$G1733*0.2</f>
        <v>2029.8</v>
      </c>
      <c r="J1733" s="13" t="str">
        <f>TEXT(' car_sales_data 1'!$A1733,"mmmm")</f>
        <v>October</v>
      </c>
      <c r="K1733" s="13" t="str">
        <f>IF(' car_sales_data 1'!$G1733&gt;40000,"Premium",
 IF(' car_sales_data 1'!$G1733&gt;=20000,"Mid Range","Budget"))</f>
        <v>Budget</v>
      </c>
      <c r="L1733" s="13">
        <f>YEAR(TODAY())-' car_sales_data 1'!$F1733</f>
        <v>5</v>
      </c>
    </row>
    <row r="1734" ht="15.75" customHeight="1">
      <c r="A1734" s="16">
        <v>45040.0</v>
      </c>
      <c r="B1734" s="13" t="s">
        <v>3425</v>
      </c>
      <c r="C1734" s="13" t="s">
        <v>3426</v>
      </c>
      <c r="D1734" s="13" t="s">
        <v>14</v>
      </c>
      <c r="E1734" s="13" t="s">
        <v>62</v>
      </c>
      <c r="F1734" s="13">
        <v>2016.0</v>
      </c>
      <c r="G1734" s="13">
        <v>36956.0</v>
      </c>
      <c r="H1734" s="13">
        <v>1867.74</v>
      </c>
      <c r="I1734" s="13">
        <f>' car_sales_data 1'!$G1734*0.2</f>
        <v>7391.2</v>
      </c>
      <c r="J1734" s="13" t="str">
        <f>TEXT(' car_sales_data 1'!$A1734,"mmmm")</f>
        <v>April</v>
      </c>
      <c r="K1734" s="13" t="str">
        <f>IF(' car_sales_data 1'!$G1734&gt;40000,"Premium",
 IF(' car_sales_data 1'!$G1734&gt;=20000,"Mid Range","Budget"))</f>
        <v>Mid Range</v>
      </c>
      <c r="L1734" s="13">
        <f>YEAR(TODAY())-' car_sales_data 1'!$F1734</f>
        <v>9</v>
      </c>
    </row>
    <row r="1735" ht="15.75" customHeight="1">
      <c r="A1735" s="16">
        <v>44842.0</v>
      </c>
      <c r="B1735" s="13" t="s">
        <v>3427</v>
      </c>
      <c r="C1735" s="13" t="s">
        <v>3428</v>
      </c>
      <c r="D1735" s="13" t="s">
        <v>14</v>
      </c>
      <c r="E1735" s="13" t="s">
        <v>62</v>
      </c>
      <c r="F1735" s="13">
        <v>2022.0</v>
      </c>
      <c r="G1735" s="13">
        <v>20428.0</v>
      </c>
      <c r="H1735" s="13">
        <v>1831.58</v>
      </c>
      <c r="I1735" s="13">
        <f>' car_sales_data 1'!$G1735*0.2</f>
        <v>4085.6</v>
      </c>
      <c r="J1735" s="13" t="str">
        <f>TEXT(' car_sales_data 1'!$A1735,"mmmm")</f>
        <v>October</v>
      </c>
      <c r="K1735" s="13" t="str">
        <f>IF(' car_sales_data 1'!$G1735&gt;40000,"Premium",
 IF(' car_sales_data 1'!$G1735&gt;=20000,"Mid Range","Budget"))</f>
        <v>Mid Range</v>
      </c>
      <c r="L1735" s="13">
        <f>YEAR(TODAY())-' car_sales_data 1'!$F1735</f>
        <v>3</v>
      </c>
    </row>
    <row r="1736" ht="15.75" customHeight="1">
      <c r="A1736" s="16">
        <v>44781.0</v>
      </c>
      <c r="B1736" s="13" t="s">
        <v>3429</v>
      </c>
      <c r="C1736" s="13" t="s">
        <v>3430</v>
      </c>
      <c r="D1736" s="13" t="s">
        <v>6</v>
      </c>
      <c r="E1736" s="13" t="s">
        <v>51</v>
      </c>
      <c r="F1736" s="13">
        <v>2022.0</v>
      </c>
      <c r="G1736" s="13">
        <v>25452.0</v>
      </c>
      <c r="H1736" s="13">
        <v>3334.55</v>
      </c>
      <c r="I1736" s="13">
        <f>' car_sales_data 1'!$G1736*0.2</f>
        <v>5090.4</v>
      </c>
      <c r="J1736" s="13" t="str">
        <f>TEXT(' car_sales_data 1'!$A1736,"mmmm")</f>
        <v>August</v>
      </c>
      <c r="K1736" s="13" t="str">
        <f>IF(' car_sales_data 1'!$G1736&gt;40000,"Premium",
 IF(' car_sales_data 1'!$G1736&gt;=20000,"Mid Range","Budget"))</f>
        <v>Mid Range</v>
      </c>
      <c r="L1736" s="13">
        <f>YEAR(TODAY())-' car_sales_data 1'!$F1736</f>
        <v>3</v>
      </c>
    </row>
    <row r="1737" ht="15.75" customHeight="1">
      <c r="A1737" s="16">
        <v>44783.0</v>
      </c>
      <c r="B1737" s="13" t="s">
        <v>3431</v>
      </c>
      <c r="C1737" s="13" t="s">
        <v>3432</v>
      </c>
      <c r="D1737" s="13" t="s">
        <v>8</v>
      </c>
      <c r="E1737" s="13" t="s">
        <v>70</v>
      </c>
      <c r="F1737" s="13">
        <v>2013.0</v>
      </c>
      <c r="G1737" s="13">
        <v>48984.0</v>
      </c>
      <c r="H1737" s="13">
        <v>2466.86</v>
      </c>
      <c r="I1737" s="13">
        <f>' car_sales_data 1'!$G1737*0.2</f>
        <v>9796.8</v>
      </c>
      <c r="J1737" s="13" t="str">
        <f>TEXT(' car_sales_data 1'!$A1737,"mmmm")</f>
        <v>August</v>
      </c>
      <c r="K1737" s="13" t="str">
        <f>IF(' car_sales_data 1'!$G1737&gt;40000,"Premium",
 IF(' car_sales_data 1'!$G1737&gt;=20000,"Mid Range","Budget"))</f>
        <v>Premium</v>
      </c>
      <c r="L1737" s="13">
        <f>YEAR(TODAY())-' car_sales_data 1'!$F1737</f>
        <v>12</v>
      </c>
    </row>
    <row r="1738" ht="15.75" customHeight="1">
      <c r="A1738" s="16">
        <v>44943.0</v>
      </c>
      <c r="B1738" s="13" t="s">
        <v>3433</v>
      </c>
      <c r="C1738" s="13" t="s">
        <v>3434</v>
      </c>
      <c r="D1738" s="13" t="s">
        <v>6</v>
      </c>
      <c r="E1738" s="13" t="s">
        <v>70</v>
      </c>
      <c r="F1738" s="13">
        <v>2010.0</v>
      </c>
      <c r="G1738" s="13">
        <v>31017.0</v>
      </c>
      <c r="H1738" s="13">
        <v>2441.78</v>
      </c>
      <c r="I1738" s="13">
        <f>' car_sales_data 1'!$G1738*0.2</f>
        <v>6203.4</v>
      </c>
      <c r="J1738" s="13" t="str">
        <f>TEXT(' car_sales_data 1'!$A1738,"mmmm")</f>
        <v>January</v>
      </c>
      <c r="K1738" s="13" t="str">
        <f>IF(' car_sales_data 1'!$G1738&gt;40000,"Premium",
 IF(' car_sales_data 1'!$G1738&gt;=20000,"Mid Range","Budget"))</f>
        <v>Mid Range</v>
      </c>
      <c r="L1738" s="13">
        <f>YEAR(TODAY())-' car_sales_data 1'!$F1738</f>
        <v>15</v>
      </c>
    </row>
    <row r="1739" ht="15.75" customHeight="1">
      <c r="A1739" s="16">
        <v>44881.0</v>
      </c>
      <c r="B1739" s="13" t="s">
        <v>3435</v>
      </c>
      <c r="C1739" s="13" t="s">
        <v>3436</v>
      </c>
      <c r="D1739" s="13" t="s">
        <v>8</v>
      </c>
      <c r="E1739" s="13" t="s">
        <v>70</v>
      </c>
      <c r="F1739" s="13">
        <v>2011.0</v>
      </c>
      <c r="G1739" s="13">
        <v>46384.0</v>
      </c>
      <c r="H1739" s="13">
        <v>6108.75</v>
      </c>
      <c r="I1739" s="13">
        <f>' car_sales_data 1'!$G1739*0.2</f>
        <v>9276.8</v>
      </c>
      <c r="J1739" s="13" t="str">
        <f>TEXT(' car_sales_data 1'!$A1739,"mmmm")</f>
        <v>November</v>
      </c>
      <c r="K1739" s="13" t="str">
        <f>IF(' car_sales_data 1'!$G1739&gt;40000,"Premium",
 IF(' car_sales_data 1'!$G1739&gt;=20000,"Mid Range","Budget"))</f>
        <v>Premium</v>
      </c>
      <c r="L1739" s="13">
        <f>YEAR(TODAY())-' car_sales_data 1'!$F1739</f>
        <v>14</v>
      </c>
    </row>
    <row r="1740" ht="15.75" customHeight="1">
      <c r="A1740" s="16">
        <v>44996.0</v>
      </c>
      <c r="B1740" s="13" t="s">
        <v>3437</v>
      </c>
      <c r="C1740" s="13" t="s">
        <v>3438</v>
      </c>
      <c r="D1740" s="13" t="s">
        <v>10</v>
      </c>
      <c r="E1740" s="13" t="s">
        <v>70</v>
      </c>
      <c r="F1740" s="13">
        <v>2017.0</v>
      </c>
      <c r="G1740" s="13">
        <v>44289.0</v>
      </c>
      <c r="H1740" s="13">
        <v>2224.59</v>
      </c>
      <c r="I1740" s="13">
        <f>' car_sales_data 1'!$G1740*0.2</f>
        <v>8857.8</v>
      </c>
      <c r="J1740" s="13" t="str">
        <f>TEXT(' car_sales_data 1'!$A1740,"mmmm")</f>
        <v>March</v>
      </c>
      <c r="K1740" s="13" t="str">
        <f>IF(' car_sales_data 1'!$G1740&gt;40000,"Premium",
 IF(' car_sales_data 1'!$G1740&gt;=20000,"Mid Range","Budget"))</f>
        <v>Premium</v>
      </c>
      <c r="L1740" s="13">
        <f>YEAR(TODAY())-' car_sales_data 1'!$F1740</f>
        <v>8</v>
      </c>
    </row>
    <row r="1741" ht="15.75" customHeight="1">
      <c r="A1741" s="16">
        <v>44765.0</v>
      </c>
      <c r="B1741" s="13" t="s">
        <v>3439</v>
      </c>
      <c r="C1741" s="13" t="s">
        <v>3440</v>
      </c>
      <c r="D1741" s="13" t="s">
        <v>12</v>
      </c>
      <c r="E1741" s="13" t="s">
        <v>51</v>
      </c>
      <c r="F1741" s="13">
        <v>2019.0</v>
      </c>
      <c r="G1741" s="13">
        <v>19263.0</v>
      </c>
      <c r="H1741" s="13">
        <v>1294.9</v>
      </c>
      <c r="I1741" s="13">
        <f>' car_sales_data 1'!$G1741*0.2</f>
        <v>3852.6</v>
      </c>
      <c r="J1741" s="13" t="str">
        <f>TEXT(' car_sales_data 1'!$A1741,"mmmm")</f>
        <v>July</v>
      </c>
      <c r="K1741" s="13" t="str">
        <f>IF(' car_sales_data 1'!$G1741&gt;40000,"Premium",
 IF(' car_sales_data 1'!$G1741&gt;=20000,"Mid Range","Budget"))</f>
        <v>Budget</v>
      </c>
      <c r="L1741" s="13">
        <f>YEAR(TODAY())-' car_sales_data 1'!$F1741</f>
        <v>6</v>
      </c>
    </row>
    <row r="1742" ht="15.75" customHeight="1">
      <c r="A1742" s="16">
        <v>44891.0</v>
      </c>
      <c r="B1742" s="13" t="s">
        <v>3441</v>
      </c>
      <c r="C1742" s="13" t="s">
        <v>3442</v>
      </c>
      <c r="D1742" s="13" t="s">
        <v>10</v>
      </c>
      <c r="E1742" s="13" t="s">
        <v>70</v>
      </c>
      <c r="F1742" s="13">
        <v>2022.0</v>
      </c>
      <c r="G1742" s="13">
        <v>46723.0</v>
      </c>
      <c r="H1742" s="13">
        <v>6693.92</v>
      </c>
      <c r="I1742" s="13">
        <f>' car_sales_data 1'!$G1742*0.2</f>
        <v>9344.6</v>
      </c>
      <c r="J1742" s="13" t="str">
        <f>TEXT(' car_sales_data 1'!$A1742,"mmmm")</f>
        <v>November</v>
      </c>
      <c r="K1742" s="13" t="str">
        <f>IF(' car_sales_data 1'!$G1742&gt;40000,"Premium",
 IF(' car_sales_data 1'!$G1742&gt;=20000,"Mid Range","Budget"))</f>
        <v>Premium</v>
      </c>
      <c r="L1742" s="13">
        <f>YEAR(TODAY())-' car_sales_data 1'!$F1742</f>
        <v>3</v>
      </c>
    </row>
    <row r="1743" ht="15.75" customHeight="1">
      <c r="A1743" s="16">
        <v>44920.0</v>
      </c>
      <c r="B1743" s="13" t="s">
        <v>3443</v>
      </c>
      <c r="C1743" s="13" t="s">
        <v>3444</v>
      </c>
      <c r="D1743" s="13" t="s">
        <v>12</v>
      </c>
      <c r="E1743" s="13" t="s">
        <v>57</v>
      </c>
      <c r="F1743" s="13">
        <v>2019.0</v>
      </c>
      <c r="G1743" s="13">
        <v>36519.0</v>
      </c>
      <c r="H1743" s="13">
        <v>2167.65</v>
      </c>
      <c r="I1743" s="13">
        <f>' car_sales_data 1'!$G1743*0.2</f>
        <v>7303.8</v>
      </c>
      <c r="J1743" s="13" t="str">
        <f>TEXT(' car_sales_data 1'!$A1743,"mmmm")</f>
        <v>December</v>
      </c>
      <c r="K1743" s="13" t="str">
        <f>IF(' car_sales_data 1'!$G1743&gt;40000,"Premium",
 IF(' car_sales_data 1'!$G1743&gt;=20000,"Mid Range","Budget"))</f>
        <v>Mid Range</v>
      </c>
      <c r="L1743" s="13">
        <f>YEAR(TODAY())-' car_sales_data 1'!$F1743</f>
        <v>6</v>
      </c>
    </row>
    <row r="1744" ht="15.75" customHeight="1">
      <c r="A1744" s="16">
        <v>44965.0</v>
      </c>
      <c r="B1744" s="13" t="s">
        <v>5</v>
      </c>
      <c r="C1744" s="13" t="s">
        <v>3445</v>
      </c>
      <c r="D1744" s="13" t="s">
        <v>12</v>
      </c>
      <c r="E1744" s="13" t="s">
        <v>62</v>
      </c>
      <c r="F1744" s="13">
        <v>2019.0</v>
      </c>
      <c r="G1744" s="13">
        <v>49894.0</v>
      </c>
      <c r="H1744" s="13">
        <v>4723.73</v>
      </c>
      <c r="I1744" s="13">
        <f>' car_sales_data 1'!$G1744*0.2</f>
        <v>9978.8</v>
      </c>
      <c r="J1744" s="13" t="str">
        <f>TEXT(' car_sales_data 1'!$A1744,"mmmm")</f>
        <v>February</v>
      </c>
      <c r="K1744" s="13" t="str">
        <f>IF(' car_sales_data 1'!$G1744&gt;40000,"Premium",
 IF(' car_sales_data 1'!$G1744&gt;=20000,"Mid Range","Budget"))</f>
        <v>Premium</v>
      </c>
      <c r="L1744" s="13">
        <f>YEAR(TODAY())-' car_sales_data 1'!$F1744</f>
        <v>6</v>
      </c>
    </row>
    <row r="1745" ht="15.75" customHeight="1">
      <c r="A1745" s="16">
        <v>44974.0</v>
      </c>
      <c r="B1745" s="13" t="s">
        <v>3446</v>
      </c>
      <c r="C1745" s="13" t="s">
        <v>3447</v>
      </c>
      <c r="D1745" s="13" t="s">
        <v>8</v>
      </c>
      <c r="E1745" s="13" t="s">
        <v>70</v>
      </c>
      <c r="F1745" s="13">
        <v>2018.0</v>
      </c>
      <c r="G1745" s="13">
        <v>38542.0</v>
      </c>
      <c r="H1745" s="13">
        <v>3599.8</v>
      </c>
      <c r="I1745" s="13">
        <f>' car_sales_data 1'!$G1745*0.2</f>
        <v>7708.4</v>
      </c>
      <c r="J1745" s="13" t="str">
        <f>TEXT(' car_sales_data 1'!$A1745,"mmmm")</f>
        <v>February</v>
      </c>
      <c r="K1745" s="13" t="str">
        <f>IF(' car_sales_data 1'!$G1745&gt;40000,"Premium",
 IF(' car_sales_data 1'!$G1745&gt;=20000,"Mid Range","Budget"))</f>
        <v>Mid Range</v>
      </c>
      <c r="L1745" s="13">
        <f>YEAR(TODAY())-' car_sales_data 1'!$F1745</f>
        <v>7</v>
      </c>
    </row>
    <row r="1746" ht="15.75" customHeight="1">
      <c r="A1746" s="16">
        <v>44875.0</v>
      </c>
      <c r="B1746" s="13" t="s">
        <v>3448</v>
      </c>
      <c r="C1746" s="13" t="s">
        <v>3449</v>
      </c>
      <c r="D1746" s="13" t="s">
        <v>8</v>
      </c>
      <c r="E1746" s="13" t="s">
        <v>62</v>
      </c>
      <c r="F1746" s="13">
        <v>2017.0</v>
      </c>
      <c r="G1746" s="13">
        <v>16933.0</v>
      </c>
      <c r="H1746" s="13">
        <v>1059.4</v>
      </c>
      <c r="I1746" s="13">
        <f>' car_sales_data 1'!$G1746*0.2</f>
        <v>3386.6</v>
      </c>
      <c r="J1746" s="13" t="str">
        <f>TEXT(' car_sales_data 1'!$A1746,"mmmm")</f>
        <v>November</v>
      </c>
      <c r="K1746" s="13" t="str">
        <f>IF(' car_sales_data 1'!$G1746&gt;40000,"Premium",
 IF(' car_sales_data 1'!$G1746&gt;=20000,"Mid Range","Budget"))</f>
        <v>Budget</v>
      </c>
      <c r="L1746" s="13">
        <f>YEAR(TODAY())-' car_sales_data 1'!$F1746</f>
        <v>8</v>
      </c>
    </row>
    <row r="1747" ht="15.75" customHeight="1">
      <c r="A1747" s="16">
        <v>44741.0</v>
      </c>
      <c r="B1747" s="13" t="s">
        <v>3450</v>
      </c>
      <c r="C1747" s="13" t="s">
        <v>3451</v>
      </c>
      <c r="D1747" s="13" t="s">
        <v>8</v>
      </c>
      <c r="E1747" s="13" t="s">
        <v>51</v>
      </c>
      <c r="F1747" s="13">
        <v>2022.0</v>
      </c>
      <c r="G1747" s="13">
        <v>43538.0</v>
      </c>
      <c r="H1747" s="13">
        <v>4364.55</v>
      </c>
      <c r="I1747" s="13">
        <f>' car_sales_data 1'!$G1747*0.2</f>
        <v>8707.6</v>
      </c>
      <c r="J1747" s="13" t="str">
        <f>TEXT(' car_sales_data 1'!$A1747,"mmmm")</f>
        <v>June</v>
      </c>
      <c r="K1747" s="13" t="str">
        <f>IF(' car_sales_data 1'!$G1747&gt;40000,"Premium",
 IF(' car_sales_data 1'!$G1747&gt;=20000,"Mid Range","Budget"))</f>
        <v>Premium</v>
      </c>
      <c r="L1747" s="13">
        <f>YEAR(TODAY())-' car_sales_data 1'!$F1747</f>
        <v>3</v>
      </c>
    </row>
    <row r="1748" ht="15.75" customHeight="1">
      <c r="A1748" s="16">
        <v>45027.0</v>
      </c>
      <c r="B1748" s="13" t="s">
        <v>3452</v>
      </c>
      <c r="C1748" s="13" t="s">
        <v>3453</v>
      </c>
      <c r="D1748" s="13" t="s">
        <v>6</v>
      </c>
      <c r="E1748" s="13" t="s">
        <v>70</v>
      </c>
      <c r="F1748" s="13">
        <v>2016.0</v>
      </c>
      <c r="G1748" s="13">
        <v>11525.0</v>
      </c>
      <c r="H1748" s="13">
        <v>824.48</v>
      </c>
      <c r="I1748" s="13">
        <f>' car_sales_data 1'!$G1748*0.2</f>
        <v>2305</v>
      </c>
      <c r="J1748" s="13" t="str">
        <f>TEXT(' car_sales_data 1'!$A1748,"mmmm")</f>
        <v>April</v>
      </c>
      <c r="K1748" s="13" t="str">
        <f>IF(' car_sales_data 1'!$G1748&gt;40000,"Premium",
 IF(' car_sales_data 1'!$G1748&gt;=20000,"Mid Range","Budget"))</f>
        <v>Budget</v>
      </c>
      <c r="L1748" s="13">
        <f>YEAR(TODAY())-' car_sales_data 1'!$F1748</f>
        <v>9</v>
      </c>
    </row>
    <row r="1749" ht="15.75" customHeight="1">
      <c r="A1749" s="16">
        <v>44987.0</v>
      </c>
      <c r="B1749" s="13" t="s">
        <v>460</v>
      </c>
      <c r="C1749" s="13" t="s">
        <v>3454</v>
      </c>
      <c r="D1749" s="13" t="s">
        <v>12</v>
      </c>
      <c r="E1749" s="13" t="s">
        <v>70</v>
      </c>
      <c r="F1749" s="13">
        <v>2012.0</v>
      </c>
      <c r="G1749" s="13">
        <v>28390.0</v>
      </c>
      <c r="H1749" s="13">
        <v>1430.46</v>
      </c>
      <c r="I1749" s="13">
        <f>' car_sales_data 1'!$G1749*0.2</f>
        <v>5678</v>
      </c>
      <c r="J1749" s="13" t="str">
        <f>TEXT(' car_sales_data 1'!$A1749,"mmmm")</f>
        <v>March</v>
      </c>
      <c r="K1749" s="13" t="str">
        <f>IF(' car_sales_data 1'!$G1749&gt;40000,"Premium",
 IF(' car_sales_data 1'!$G1749&gt;=20000,"Mid Range","Budget"))</f>
        <v>Mid Range</v>
      </c>
      <c r="L1749" s="13">
        <f>YEAR(TODAY())-' car_sales_data 1'!$F1749</f>
        <v>13</v>
      </c>
    </row>
    <row r="1750" ht="15.75" customHeight="1">
      <c r="A1750" s="16">
        <v>44781.0</v>
      </c>
      <c r="B1750" s="13" t="s">
        <v>3455</v>
      </c>
      <c r="C1750" s="13" t="s">
        <v>3456</v>
      </c>
      <c r="D1750" s="13" t="s">
        <v>10</v>
      </c>
      <c r="E1750" s="13" t="s">
        <v>57</v>
      </c>
      <c r="F1750" s="13">
        <v>2015.0</v>
      </c>
      <c r="G1750" s="13">
        <v>15031.0</v>
      </c>
      <c r="H1750" s="13">
        <v>917.25</v>
      </c>
      <c r="I1750" s="13">
        <f>' car_sales_data 1'!$G1750*0.2</f>
        <v>3006.2</v>
      </c>
      <c r="J1750" s="13" t="str">
        <f>TEXT(' car_sales_data 1'!$A1750,"mmmm")</f>
        <v>August</v>
      </c>
      <c r="K1750" s="13" t="str">
        <f>IF(' car_sales_data 1'!$G1750&gt;40000,"Premium",
 IF(' car_sales_data 1'!$G1750&gt;=20000,"Mid Range","Budget"))</f>
        <v>Budget</v>
      </c>
      <c r="L1750" s="13">
        <f>YEAR(TODAY())-' car_sales_data 1'!$F1750</f>
        <v>10</v>
      </c>
    </row>
    <row r="1751" ht="15.75" customHeight="1">
      <c r="A1751" s="16">
        <v>44947.0</v>
      </c>
      <c r="B1751" s="13" t="s">
        <v>122</v>
      </c>
      <c r="C1751" s="13" t="s">
        <v>3457</v>
      </c>
      <c r="D1751" s="13" t="s">
        <v>12</v>
      </c>
      <c r="E1751" s="13" t="s">
        <v>57</v>
      </c>
      <c r="F1751" s="13">
        <v>2020.0</v>
      </c>
      <c r="G1751" s="13">
        <v>35774.0</v>
      </c>
      <c r="H1751" s="13">
        <v>3388.74</v>
      </c>
      <c r="I1751" s="13">
        <f>' car_sales_data 1'!$G1751*0.2</f>
        <v>7154.8</v>
      </c>
      <c r="J1751" s="13" t="str">
        <f>TEXT(' car_sales_data 1'!$A1751,"mmmm")</f>
        <v>January</v>
      </c>
      <c r="K1751" s="13" t="str">
        <f>IF(' car_sales_data 1'!$G1751&gt;40000,"Premium",
 IF(' car_sales_data 1'!$G1751&gt;=20000,"Mid Range","Budget"))</f>
        <v>Mid Range</v>
      </c>
      <c r="L1751" s="13">
        <f>YEAR(TODAY())-' car_sales_data 1'!$F1751</f>
        <v>5</v>
      </c>
    </row>
    <row r="1752" ht="15.75" customHeight="1">
      <c r="A1752" s="16">
        <v>44792.0</v>
      </c>
      <c r="B1752" s="13" t="s">
        <v>3458</v>
      </c>
      <c r="C1752" s="13" t="s">
        <v>2363</v>
      </c>
      <c r="D1752" s="13" t="s">
        <v>8</v>
      </c>
      <c r="E1752" s="13" t="s">
        <v>51</v>
      </c>
      <c r="F1752" s="13">
        <v>2010.0</v>
      </c>
      <c r="G1752" s="13">
        <v>23701.0</v>
      </c>
      <c r="H1752" s="13">
        <v>2890.9</v>
      </c>
      <c r="I1752" s="13">
        <f>' car_sales_data 1'!$G1752*0.2</f>
        <v>4740.2</v>
      </c>
      <c r="J1752" s="13" t="str">
        <f>TEXT(' car_sales_data 1'!$A1752,"mmmm")</f>
        <v>August</v>
      </c>
      <c r="K1752" s="13" t="str">
        <f>IF(' car_sales_data 1'!$G1752&gt;40000,"Premium",
 IF(' car_sales_data 1'!$G1752&gt;=20000,"Mid Range","Budget"))</f>
        <v>Mid Range</v>
      </c>
      <c r="L1752" s="13">
        <f>YEAR(TODAY())-' car_sales_data 1'!$F1752</f>
        <v>15</v>
      </c>
    </row>
    <row r="1753" ht="15.75" customHeight="1">
      <c r="A1753" s="16">
        <v>44929.0</v>
      </c>
      <c r="B1753" s="13" t="s">
        <v>3459</v>
      </c>
      <c r="C1753" s="13" t="s">
        <v>3460</v>
      </c>
      <c r="D1753" s="13" t="s">
        <v>6</v>
      </c>
      <c r="E1753" s="13" t="s">
        <v>70</v>
      </c>
      <c r="F1753" s="13">
        <v>2017.0</v>
      </c>
      <c r="G1753" s="13">
        <v>21657.0</v>
      </c>
      <c r="H1753" s="13">
        <v>2633.4</v>
      </c>
      <c r="I1753" s="13">
        <f>' car_sales_data 1'!$G1753*0.2</f>
        <v>4331.4</v>
      </c>
      <c r="J1753" s="13" t="str">
        <f>TEXT(' car_sales_data 1'!$A1753,"mmmm")</f>
        <v>January</v>
      </c>
      <c r="K1753" s="13" t="str">
        <f>IF(' car_sales_data 1'!$G1753&gt;40000,"Premium",
 IF(' car_sales_data 1'!$G1753&gt;=20000,"Mid Range","Budget"))</f>
        <v>Mid Range</v>
      </c>
      <c r="L1753" s="13">
        <f>YEAR(TODAY())-' car_sales_data 1'!$F1753</f>
        <v>8</v>
      </c>
    </row>
    <row r="1754" ht="15.75" customHeight="1">
      <c r="A1754" s="16">
        <v>44751.0</v>
      </c>
      <c r="B1754" s="13" t="s">
        <v>3461</v>
      </c>
      <c r="C1754" s="13" t="s">
        <v>884</v>
      </c>
      <c r="D1754" s="13" t="s">
        <v>8</v>
      </c>
      <c r="E1754" s="13" t="s">
        <v>70</v>
      </c>
      <c r="F1754" s="13">
        <v>2011.0</v>
      </c>
      <c r="G1754" s="13">
        <v>28656.0</v>
      </c>
      <c r="H1754" s="13">
        <v>1582.68</v>
      </c>
      <c r="I1754" s="13">
        <f>' car_sales_data 1'!$G1754*0.2</f>
        <v>5731.2</v>
      </c>
      <c r="J1754" s="13" t="str">
        <f>TEXT(' car_sales_data 1'!$A1754,"mmmm")</f>
        <v>July</v>
      </c>
      <c r="K1754" s="13" t="str">
        <f>IF(' car_sales_data 1'!$G1754&gt;40000,"Premium",
 IF(' car_sales_data 1'!$G1754&gt;=20000,"Mid Range","Budget"))</f>
        <v>Mid Range</v>
      </c>
      <c r="L1754" s="13">
        <f>YEAR(TODAY())-' car_sales_data 1'!$F1754</f>
        <v>14</v>
      </c>
    </row>
    <row r="1755" ht="15.75" customHeight="1">
      <c r="A1755" s="16">
        <v>44790.0</v>
      </c>
      <c r="B1755" s="13" t="s">
        <v>3462</v>
      </c>
      <c r="C1755" s="13" t="s">
        <v>3463</v>
      </c>
      <c r="D1755" s="13" t="s">
        <v>12</v>
      </c>
      <c r="E1755" s="13" t="s">
        <v>57</v>
      </c>
      <c r="F1755" s="13">
        <v>2014.0</v>
      </c>
      <c r="G1755" s="13">
        <v>37294.0</v>
      </c>
      <c r="H1755" s="13">
        <v>3699.77</v>
      </c>
      <c r="I1755" s="13">
        <f>' car_sales_data 1'!$G1755*0.2</f>
        <v>7458.8</v>
      </c>
      <c r="J1755" s="13" t="str">
        <f>TEXT(' car_sales_data 1'!$A1755,"mmmm")</f>
        <v>August</v>
      </c>
      <c r="K1755" s="13" t="str">
        <f>IF(' car_sales_data 1'!$G1755&gt;40000,"Premium",
 IF(' car_sales_data 1'!$G1755&gt;=20000,"Mid Range","Budget"))</f>
        <v>Mid Range</v>
      </c>
      <c r="L1755" s="13">
        <f>YEAR(TODAY())-' car_sales_data 1'!$F1755</f>
        <v>11</v>
      </c>
    </row>
    <row r="1756" ht="15.75" customHeight="1">
      <c r="A1756" s="16">
        <v>44728.0</v>
      </c>
      <c r="B1756" s="13" t="s">
        <v>3464</v>
      </c>
      <c r="C1756" s="13" t="s">
        <v>3465</v>
      </c>
      <c r="D1756" s="13" t="s">
        <v>12</v>
      </c>
      <c r="E1756" s="13" t="s">
        <v>62</v>
      </c>
      <c r="F1756" s="13">
        <v>2021.0</v>
      </c>
      <c r="G1756" s="13">
        <v>19578.0</v>
      </c>
      <c r="H1756" s="13">
        <v>1835.8</v>
      </c>
      <c r="I1756" s="13">
        <f>' car_sales_data 1'!$G1756*0.2</f>
        <v>3915.6</v>
      </c>
      <c r="J1756" s="13" t="str">
        <f>TEXT(' car_sales_data 1'!$A1756,"mmmm")</f>
        <v>June</v>
      </c>
      <c r="K1756" s="13" t="str">
        <f>IF(' car_sales_data 1'!$G1756&gt;40000,"Premium",
 IF(' car_sales_data 1'!$G1756&gt;=20000,"Mid Range","Budget"))</f>
        <v>Budget</v>
      </c>
      <c r="L1756" s="13">
        <f>YEAR(TODAY())-' car_sales_data 1'!$F1756</f>
        <v>4</v>
      </c>
    </row>
    <row r="1757" ht="15.75" customHeight="1">
      <c r="A1757" s="16">
        <v>44730.0</v>
      </c>
      <c r="B1757" s="13" t="s">
        <v>3466</v>
      </c>
      <c r="C1757" s="13" t="s">
        <v>3467</v>
      </c>
      <c r="D1757" s="13" t="s">
        <v>6</v>
      </c>
      <c r="E1757" s="13" t="s">
        <v>51</v>
      </c>
      <c r="F1757" s="13">
        <v>2015.0</v>
      </c>
      <c r="G1757" s="13">
        <v>42001.0</v>
      </c>
      <c r="H1757" s="13">
        <v>5447.93</v>
      </c>
      <c r="I1757" s="13">
        <f>' car_sales_data 1'!$G1757*0.2</f>
        <v>8400.2</v>
      </c>
      <c r="J1757" s="13" t="str">
        <f>TEXT(' car_sales_data 1'!$A1757,"mmmm")</f>
        <v>June</v>
      </c>
      <c r="K1757" s="13" t="str">
        <f>IF(' car_sales_data 1'!$G1757&gt;40000,"Premium",
 IF(' car_sales_data 1'!$G1757&gt;=20000,"Mid Range","Budget"))</f>
        <v>Premium</v>
      </c>
      <c r="L1757" s="13">
        <f>YEAR(TODAY())-' car_sales_data 1'!$F1757</f>
        <v>10</v>
      </c>
    </row>
    <row r="1758" ht="15.75" customHeight="1">
      <c r="A1758" s="16">
        <v>44956.0</v>
      </c>
      <c r="B1758" s="13" t="s">
        <v>3468</v>
      </c>
      <c r="C1758" s="13" t="s">
        <v>3469</v>
      </c>
      <c r="D1758" s="13" t="s">
        <v>10</v>
      </c>
      <c r="E1758" s="13" t="s">
        <v>70</v>
      </c>
      <c r="F1758" s="13">
        <v>2021.0</v>
      </c>
      <c r="G1758" s="13">
        <v>30205.0</v>
      </c>
      <c r="H1758" s="13">
        <v>1561.24</v>
      </c>
      <c r="I1758" s="13">
        <f>' car_sales_data 1'!$G1758*0.2</f>
        <v>6041</v>
      </c>
      <c r="J1758" s="13" t="str">
        <f>TEXT(' car_sales_data 1'!$A1758,"mmmm")</f>
        <v>January</v>
      </c>
      <c r="K1758" s="13" t="str">
        <f>IF(' car_sales_data 1'!$G1758&gt;40000,"Premium",
 IF(' car_sales_data 1'!$G1758&gt;=20000,"Mid Range","Budget"))</f>
        <v>Mid Range</v>
      </c>
      <c r="L1758" s="13">
        <f>YEAR(TODAY())-' car_sales_data 1'!$F1758</f>
        <v>4</v>
      </c>
    </row>
    <row r="1759" ht="15.75" customHeight="1">
      <c r="A1759" s="16">
        <v>45030.0</v>
      </c>
      <c r="B1759" s="13" t="s">
        <v>3470</v>
      </c>
      <c r="C1759" s="13" t="s">
        <v>3471</v>
      </c>
      <c r="D1759" s="13" t="s">
        <v>10</v>
      </c>
      <c r="E1759" s="13" t="s">
        <v>57</v>
      </c>
      <c r="F1759" s="13">
        <v>2018.0</v>
      </c>
      <c r="G1759" s="13">
        <v>46572.0</v>
      </c>
      <c r="H1759" s="13">
        <v>3569.19</v>
      </c>
      <c r="I1759" s="13">
        <f>' car_sales_data 1'!$G1759*0.2</f>
        <v>9314.4</v>
      </c>
      <c r="J1759" s="13" t="str">
        <f>TEXT(' car_sales_data 1'!$A1759,"mmmm")</f>
        <v>April</v>
      </c>
      <c r="K1759" s="13" t="str">
        <f>IF(' car_sales_data 1'!$G1759&gt;40000,"Premium",
 IF(' car_sales_data 1'!$G1759&gt;=20000,"Mid Range","Budget"))</f>
        <v>Premium</v>
      </c>
      <c r="L1759" s="13">
        <f>YEAR(TODAY())-' car_sales_data 1'!$F1759</f>
        <v>7</v>
      </c>
    </row>
    <row r="1760" ht="15.75" customHeight="1">
      <c r="A1760" s="16">
        <v>44769.0</v>
      </c>
      <c r="B1760" s="13" t="s">
        <v>3472</v>
      </c>
      <c r="C1760" s="13" t="s">
        <v>3473</v>
      </c>
      <c r="D1760" s="13" t="s">
        <v>14</v>
      </c>
      <c r="E1760" s="13" t="s">
        <v>70</v>
      </c>
      <c r="F1760" s="13">
        <v>2011.0</v>
      </c>
      <c r="G1760" s="13">
        <v>12915.0</v>
      </c>
      <c r="H1760" s="13">
        <v>1885.09</v>
      </c>
      <c r="I1760" s="13">
        <f>' car_sales_data 1'!$G1760*0.2</f>
        <v>2583</v>
      </c>
      <c r="J1760" s="13" t="str">
        <f>TEXT(' car_sales_data 1'!$A1760,"mmmm")</f>
        <v>July</v>
      </c>
      <c r="K1760" s="13" t="str">
        <f>IF(' car_sales_data 1'!$G1760&gt;40000,"Premium",
 IF(' car_sales_data 1'!$G1760&gt;=20000,"Mid Range","Budget"))</f>
        <v>Budget</v>
      </c>
      <c r="L1760" s="13">
        <f>YEAR(TODAY())-' car_sales_data 1'!$F1760</f>
        <v>14</v>
      </c>
    </row>
    <row r="1761" ht="15.75" customHeight="1">
      <c r="A1761" s="16">
        <v>44822.0</v>
      </c>
      <c r="B1761" s="13" t="s">
        <v>3474</v>
      </c>
      <c r="C1761" s="13" t="s">
        <v>3475</v>
      </c>
      <c r="D1761" s="13" t="s">
        <v>8</v>
      </c>
      <c r="E1761" s="13" t="s">
        <v>54</v>
      </c>
      <c r="F1761" s="13">
        <v>2017.0</v>
      </c>
      <c r="G1761" s="13">
        <v>27815.0</v>
      </c>
      <c r="H1761" s="13">
        <v>3940.48</v>
      </c>
      <c r="I1761" s="13">
        <f>' car_sales_data 1'!$G1761*0.2</f>
        <v>5563</v>
      </c>
      <c r="J1761" s="13" t="str">
        <f>TEXT(' car_sales_data 1'!$A1761,"mmmm")</f>
        <v>September</v>
      </c>
      <c r="K1761" s="13" t="str">
        <f>IF(' car_sales_data 1'!$G1761&gt;40000,"Premium",
 IF(' car_sales_data 1'!$G1761&gt;=20000,"Mid Range","Budget"))</f>
        <v>Mid Range</v>
      </c>
      <c r="L1761" s="13">
        <f>YEAR(TODAY())-' car_sales_data 1'!$F1761</f>
        <v>8</v>
      </c>
    </row>
    <row r="1762" ht="15.75" customHeight="1">
      <c r="A1762" s="16">
        <v>44941.0</v>
      </c>
      <c r="B1762" s="13" t="s">
        <v>3476</v>
      </c>
      <c r="C1762" s="13" t="s">
        <v>3477</v>
      </c>
      <c r="D1762" s="13" t="s">
        <v>6</v>
      </c>
      <c r="E1762" s="13" t="s">
        <v>62</v>
      </c>
      <c r="F1762" s="13">
        <v>2016.0</v>
      </c>
      <c r="G1762" s="13">
        <v>48023.0</v>
      </c>
      <c r="H1762" s="13">
        <v>5110.05</v>
      </c>
      <c r="I1762" s="13">
        <f>' car_sales_data 1'!$G1762*0.2</f>
        <v>9604.6</v>
      </c>
      <c r="J1762" s="13" t="str">
        <f>TEXT(' car_sales_data 1'!$A1762,"mmmm")</f>
        <v>January</v>
      </c>
      <c r="K1762" s="13" t="str">
        <f>IF(' car_sales_data 1'!$G1762&gt;40000,"Premium",
 IF(' car_sales_data 1'!$G1762&gt;=20000,"Mid Range","Budget"))</f>
        <v>Premium</v>
      </c>
      <c r="L1762" s="13">
        <f>YEAR(TODAY())-' car_sales_data 1'!$F1762</f>
        <v>9</v>
      </c>
    </row>
    <row r="1763" ht="15.75" customHeight="1">
      <c r="A1763" s="16">
        <v>44867.0</v>
      </c>
      <c r="B1763" s="13" t="s">
        <v>3478</v>
      </c>
      <c r="C1763" s="13" t="s">
        <v>3479</v>
      </c>
      <c r="D1763" s="13" t="s">
        <v>6</v>
      </c>
      <c r="E1763" s="13" t="s">
        <v>51</v>
      </c>
      <c r="F1763" s="13">
        <v>2020.0</v>
      </c>
      <c r="G1763" s="13">
        <v>47399.0</v>
      </c>
      <c r="H1763" s="13">
        <v>5426.45</v>
      </c>
      <c r="I1763" s="13">
        <f>' car_sales_data 1'!$G1763*0.2</f>
        <v>9479.8</v>
      </c>
      <c r="J1763" s="13" t="str">
        <f>TEXT(' car_sales_data 1'!$A1763,"mmmm")</f>
        <v>November</v>
      </c>
      <c r="K1763" s="13" t="str">
        <f>IF(' car_sales_data 1'!$G1763&gt;40000,"Premium",
 IF(' car_sales_data 1'!$G1763&gt;=20000,"Mid Range","Budget"))</f>
        <v>Premium</v>
      </c>
      <c r="L1763" s="13">
        <f>YEAR(TODAY())-' car_sales_data 1'!$F1763</f>
        <v>5</v>
      </c>
    </row>
    <row r="1764" ht="15.75" customHeight="1">
      <c r="A1764" s="16">
        <v>44718.0</v>
      </c>
      <c r="B1764" s="13" t="s">
        <v>3480</v>
      </c>
      <c r="C1764" s="13" t="s">
        <v>3481</v>
      </c>
      <c r="D1764" s="13" t="s">
        <v>14</v>
      </c>
      <c r="E1764" s="13" t="s">
        <v>62</v>
      </c>
      <c r="F1764" s="13">
        <v>2013.0</v>
      </c>
      <c r="G1764" s="13">
        <v>39763.0</v>
      </c>
      <c r="H1764" s="13">
        <v>4537.91</v>
      </c>
      <c r="I1764" s="13">
        <f>' car_sales_data 1'!$G1764*0.2</f>
        <v>7952.6</v>
      </c>
      <c r="J1764" s="13" t="str">
        <f>TEXT(' car_sales_data 1'!$A1764,"mmmm")</f>
        <v>June</v>
      </c>
      <c r="K1764" s="13" t="str">
        <f>IF(' car_sales_data 1'!$G1764&gt;40000,"Premium",
 IF(' car_sales_data 1'!$G1764&gt;=20000,"Mid Range","Budget"))</f>
        <v>Mid Range</v>
      </c>
      <c r="L1764" s="13">
        <f>YEAR(TODAY())-' car_sales_data 1'!$F1764</f>
        <v>12</v>
      </c>
    </row>
    <row r="1765" ht="15.75" customHeight="1">
      <c r="A1765" s="16">
        <v>44782.0</v>
      </c>
      <c r="B1765" s="13" t="s">
        <v>3482</v>
      </c>
      <c r="C1765" s="13" t="s">
        <v>3483</v>
      </c>
      <c r="D1765" s="13" t="s">
        <v>6</v>
      </c>
      <c r="E1765" s="13" t="s">
        <v>54</v>
      </c>
      <c r="F1765" s="13">
        <v>2022.0</v>
      </c>
      <c r="G1765" s="13">
        <v>40452.0</v>
      </c>
      <c r="H1765" s="13">
        <v>4179.59</v>
      </c>
      <c r="I1765" s="13">
        <f>' car_sales_data 1'!$G1765*0.2</f>
        <v>8090.4</v>
      </c>
      <c r="J1765" s="13" t="str">
        <f>TEXT(' car_sales_data 1'!$A1765,"mmmm")</f>
        <v>August</v>
      </c>
      <c r="K1765" s="13" t="str">
        <f>IF(' car_sales_data 1'!$G1765&gt;40000,"Premium",
 IF(' car_sales_data 1'!$G1765&gt;=20000,"Mid Range","Budget"))</f>
        <v>Premium</v>
      </c>
      <c r="L1765" s="13">
        <f>YEAR(TODAY())-' car_sales_data 1'!$F1765</f>
        <v>3</v>
      </c>
    </row>
    <row r="1766" ht="15.75" customHeight="1">
      <c r="A1766" s="16">
        <v>44921.0</v>
      </c>
      <c r="B1766" s="13" t="s">
        <v>3484</v>
      </c>
      <c r="C1766" s="13" t="s">
        <v>3485</v>
      </c>
      <c r="D1766" s="13" t="s">
        <v>6</v>
      </c>
      <c r="E1766" s="13" t="s">
        <v>54</v>
      </c>
      <c r="F1766" s="13">
        <v>2015.0</v>
      </c>
      <c r="G1766" s="13">
        <v>47550.0</v>
      </c>
      <c r="H1766" s="13">
        <v>4590.36</v>
      </c>
      <c r="I1766" s="13">
        <f>' car_sales_data 1'!$G1766*0.2</f>
        <v>9510</v>
      </c>
      <c r="J1766" s="13" t="str">
        <f>TEXT(' car_sales_data 1'!$A1766,"mmmm")</f>
        <v>December</v>
      </c>
      <c r="K1766" s="13" t="str">
        <f>IF(' car_sales_data 1'!$G1766&gt;40000,"Premium",
 IF(' car_sales_data 1'!$G1766&gt;=20000,"Mid Range","Budget"))</f>
        <v>Premium</v>
      </c>
      <c r="L1766" s="13">
        <f>YEAR(TODAY())-' car_sales_data 1'!$F1766</f>
        <v>10</v>
      </c>
    </row>
    <row r="1767" ht="15.75" customHeight="1">
      <c r="A1767" s="16">
        <v>44868.0</v>
      </c>
      <c r="B1767" s="13" t="s">
        <v>3486</v>
      </c>
      <c r="C1767" s="13" t="s">
        <v>3487</v>
      </c>
      <c r="D1767" s="13" t="s">
        <v>8</v>
      </c>
      <c r="E1767" s="13" t="s">
        <v>54</v>
      </c>
      <c r="F1767" s="13">
        <v>2017.0</v>
      </c>
      <c r="G1767" s="13">
        <v>42723.0</v>
      </c>
      <c r="H1767" s="13">
        <v>5666.12</v>
      </c>
      <c r="I1767" s="13">
        <f>' car_sales_data 1'!$G1767*0.2</f>
        <v>8544.6</v>
      </c>
      <c r="J1767" s="13" t="str">
        <f>TEXT(' car_sales_data 1'!$A1767,"mmmm")</f>
        <v>November</v>
      </c>
      <c r="K1767" s="13" t="str">
        <f>IF(' car_sales_data 1'!$G1767&gt;40000,"Premium",
 IF(' car_sales_data 1'!$G1767&gt;=20000,"Mid Range","Budget"))</f>
        <v>Premium</v>
      </c>
      <c r="L1767" s="13">
        <f>YEAR(TODAY())-' car_sales_data 1'!$F1767</f>
        <v>8</v>
      </c>
    </row>
    <row r="1768" ht="15.75" customHeight="1">
      <c r="A1768" s="16">
        <v>44982.0</v>
      </c>
      <c r="B1768" s="13" t="s">
        <v>3488</v>
      </c>
      <c r="C1768" s="13" t="s">
        <v>3489</v>
      </c>
      <c r="D1768" s="13" t="s">
        <v>10</v>
      </c>
      <c r="E1768" s="13" t="s">
        <v>54</v>
      </c>
      <c r="F1768" s="13">
        <v>2019.0</v>
      </c>
      <c r="G1768" s="13">
        <v>14206.0</v>
      </c>
      <c r="H1768" s="13">
        <v>2037.38</v>
      </c>
      <c r="I1768" s="13">
        <f>' car_sales_data 1'!$G1768*0.2</f>
        <v>2841.2</v>
      </c>
      <c r="J1768" s="13" t="str">
        <f>TEXT(' car_sales_data 1'!$A1768,"mmmm")</f>
        <v>February</v>
      </c>
      <c r="K1768" s="13" t="str">
        <f>IF(' car_sales_data 1'!$G1768&gt;40000,"Premium",
 IF(' car_sales_data 1'!$G1768&gt;=20000,"Mid Range","Budget"))</f>
        <v>Budget</v>
      </c>
      <c r="L1768" s="13">
        <f>YEAR(TODAY())-' car_sales_data 1'!$F1768</f>
        <v>6</v>
      </c>
    </row>
    <row r="1769" ht="15.75" customHeight="1">
      <c r="A1769" s="16">
        <v>44741.0</v>
      </c>
      <c r="B1769" s="13" t="s">
        <v>3490</v>
      </c>
      <c r="C1769" s="13" t="s">
        <v>3491</v>
      </c>
      <c r="D1769" s="13" t="s">
        <v>14</v>
      </c>
      <c r="E1769" s="13" t="s">
        <v>54</v>
      </c>
      <c r="F1769" s="13">
        <v>2015.0</v>
      </c>
      <c r="G1769" s="13">
        <v>15702.0</v>
      </c>
      <c r="H1769" s="13">
        <v>1101.71</v>
      </c>
      <c r="I1769" s="13">
        <f>' car_sales_data 1'!$G1769*0.2</f>
        <v>3140.4</v>
      </c>
      <c r="J1769" s="13" t="str">
        <f>TEXT(' car_sales_data 1'!$A1769,"mmmm")</f>
        <v>June</v>
      </c>
      <c r="K1769" s="13" t="str">
        <f>IF(' car_sales_data 1'!$G1769&gt;40000,"Premium",
 IF(' car_sales_data 1'!$G1769&gt;=20000,"Mid Range","Budget"))</f>
        <v>Budget</v>
      </c>
      <c r="L1769" s="13">
        <f>YEAR(TODAY())-' car_sales_data 1'!$F1769</f>
        <v>10</v>
      </c>
    </row>
    <row r="1770" ht="15.75" customHeight="1">
      <c r="A1770" s="16">
        <v>44763.0</v>
      </c>
      <c r="B1770" s="13" t="s">
        <v>3492</v>
      </c>
      <c r="C1770" s="13" t="s">
        <v>3493</v>
      </c>
      <c r="D1770" s="13" t="s">
        <v>10</v>
      </c>
      <c r="E1770" s="13" t="s">
        <v>57</v>
      </c>
      <c r="F1770" s="13">
        <v>2010.0</v>
      </c>
      <c r="G1770" s="13">
        <v>44431.0</v>
      </c>
      <c r="H1770" s="13">
        <v>4252.85</v>
      </c>
      <c r="I1770" s="13">
        <f>' car_sales_data 1'!$G1770*0.2</f>
        <v>8886.2</v>
      </c>
      <c r="J1770" s="13" t="str">
        <f>TEXT(' car_sales_data 1'!$A1770,"mmmm")</f>
        <v>July</v>
      </c>
      <c r="K1770" s="13" t="str">
        <f>IF(' car_sales_data 1'!$G1770&gt;40000,"Premium",
 IF(' car_sales_data 1'!$G1770&gt;=20000,"Mid Range","Budget"))</f>
        <v>Premium</v>
      </c>
      <c r="L1770" s="13">
        <f>YEAR(TODAY())-' car_sales_data 1'!$F1770</f>
        <v>15</v>
      </c>
    </row>
    <row r="1771" ht="15.75" customHeight="1">
      <c r="A1771" s="16">
        <v>44875.0</v>
      </c>
      <c r="B1771" s="13" t="s">
        <v>3494</v>
      </c>
      <c r="C1771" s="13" t="s">
        <v>3495</v>
      </c>
      <c r="D1771" s="13" t="s">
        <v>6</v>
      </c>
      <c r="E1771" s="13" t="s">
        <v>54</v>
      </c>
      <c r="F1771" s="13">
        <v>2021.0</v>
      </c>
      <c r="G1771" s="13">
        <v>33290.0</v>
      </c>
      <c r="H1771" s="13">
        <v>4644.27</v>
      </c>
      <c r="I1771" s="13">
        <f>' car_sales_data 1'!$G1771*0.2</f>
        <v>6658</v>
      </c>
      <c r="J1771" s="13" t="str">
        <f>TEXT(' car_sales_data 1'!$A1771,"mmmm")</f>
        <v>November</v>
      </c>
      <c r="K1771" s="13" t="str">
        <f>IF(' car_sales_data 1'!$G1771&gt;40000,"Premium",
 IF(' car_sales_data 1'!$G1771&gt;=20000,"Mid Range","Budget"))</f>
        <v>Mid Range</v>
      </c>
      <c r="L1771" s="13">
        <f>YEAR(TODAY())-' car_sales_data 1'!$F1771</f>
        <v>4</v>
      </c>
    </row>
    <row r="1772" ht="15.75" customHeight="1">
      <c r="A1772" s="16">
        <v>44699.0</v>
      </c>
      <c r="B1772" s="13" t="s">
        <v>3496</v>
      </c>
      <c r="C1772" s="13" t="s">
        <v>3497</v>
      </c>
      <c r="D1772" s="13" t="s">
        <v>12</v>
      </c>
      <c r="E1772" s="13" t="s">
        <v>51</v>
      </c>
      <c r="F1772" s="13">
        <v>2016.0</v>
      </c>
      <c r="G1772" s="13">
        <v>27900.0</v>
      </c>
      <c r="H1772" s="13">
        <v>2851.53</v>
      </c>
      <c r="I1772" s="13">
        <f>' car_sales_data 1'!$G1772*0.2</f>
        <v>5580</v>
      </c>
      <c r="J1772" s="13" t="str">
        <f>TEXT(' car_sales_data 1'!$A1772,"mmmm")</f>
        <v>May</v>
      </c>
      <c r="K1772" s="13" t="str">
        <f>IF(' car_sales_data 1'!$G1772&gt;40000,"Premium",
 IF(' car_sales_data 1'!$G1772&gt;=20000,"Mid Range","Budget"))</f>
        <v>Mid Range</v>
      </c>
      <c r="L1772" s="13">
        <f>YEAR(TODAY())-' car_sales_data 1'!$F1772</f>
        <v>9</v>
      </c>
    </row>
    <row r="1773" ht="15.75" customHeight="1">
      <c r="A1773" s="16">
        <v>44743.0</v>
      </c>
      <c r="B1773" s="13" t="s">
        <v>3498</v>
      </c>
      <c r="C1773" s="13" t="s">
        <v>3499</v>
      </c>
      <c r="D1773" s="13" t="s">
        <v>6</v>
      </c>
      <c r="E1773" s="13" t="s">
        <v>54</v>
      </c>
      <c r="F1773" s="13">
        <v>2011.0</v>
      </c>
      <c r="G1773" s="13">
        <v>23552.0</v>
      </c>
      <c r="H1773" s="13">
        <v>1525.68</v>
      </c>
      <c r="I1773" s="13">
        <f>' car_sales_data 1'!$G1773*0.2</f>
        <v>4710.4</v>
      </c>
      <c r="J1773" s="13" t="str">
        <f>TEXT(' car_sales_data 1'!$A1773,"mmmm")</f>
        <v>July</v>
      </c>
      <c r="K1773" s="13" t="str">
        <f>IF(' car_sales_data 1'!$G1773&gt;40000,"Premium",
 IF(' car_sales_data 1'!$G1773&gt;=20000,"Mid Range","Budget"))</f>
        <v>Mid Range</v>
      </c>
      <c r="L1773" s="13">
        <f>YEAR(TODAY())-' car_sales_data 1'!$F1773</f>
        <v>14</v>
      </c>
    </row>
    <row r="1774" ht="15.75" customHeight="1">
      <c r="A1774" s="16">
        <v>44869.0</v>
      </c>
      <c r="B1774" s="13" t="s">
        <v>3500</v>
      </c>
      <c r="C1774" s="13" t="s">
        <v>3501</v>
      </c>
      <c r="D1774" s="13" t="s">
        <v>12</v>
      </c>
      <c r="E1774" s="13" t="s">
        <v>57</v>
      </c>
      <c r="F1774" s="13">
        <v>2014.0</v>
      </c>
      <c r="G1774" s="13">
        <v>15980.0</v>
      </c>
      <c r="H1774" s="13">
        <v>1611.68</v>
      </c>
      <c r="I1774" s="13">
        <f>' car_sales_data 1'!$G1774*0.2</f>
        <v>3196</v>
      </c>
      <c r="J1774" s="13" t="str">
        <f>TEXT(' car_sales_data 1'!$A1774,"mmmm")</f>
        <v>November</v>
      </c>
      <c r="K1774" s="13" t="str">
        <f>IF(' car_sales_data 1'!$G1774&gt;40000,"Premium",
 IF(' car_sales_data 1'!$G1774&gt;=20000,"Mid Range","Budget"))</f>
        <v>Budget</v>
      </c>
      <c r="L1774" s="13">
        <f>YEAR(TODAY())-' car_sales_data 1'!$F1774</f>
        <v>11</v>
      </c>
    </row>
    <row r="1775" ht="15.75" customHeight="1">
      <c r="A1775" s="16">
        <v>44854.0</v>
      </c>
      <c r="B1775" s="13" t="s">
        <v>3502</v>
      </c>
      <c r="C1775" s="13" t="s">
        <v>3503</v>
      </c>
      <c r="D1775" s="13" t="s">
        <v>6</v>
      </c>
      <c r="E1775" s="13" t="s">
        <v>62</v>
      </c>
      <c r="F1775" s="13">
        <v>2018.0</v>
      </c>
      <c r="G1775" s="13">
        <v>43048.0</v>
      </c>
      <c r="H1775" s="13">
        <v>2952.94</v>
      </c>
      <c r="I1775" s="13">
        <f>' car_sales_data 1'!$G1775*0.2</f>
        <v>8609.6</v>
      </c>
      <c r="J1775" s="13" t="str">
        <f>TEXT(' car_sales_data 1'!$A1775,"mmmm")</f>
        <v>October</v>
      </c>
      <c r="K1775" s="13" t="str">
        <f>IF(' car_sales_data 1'!$G1775&gt;40000,"Premium",
 IF(' car_sales_data 1'!$G1775&gt;=20000,"Mid Range","Budget"))</f>
        <v>Premium</v>
      </c>
      <c r="L1775" s="13">
        <f>YEAR(TODAY())-' car_sales_data 1'!$F1775</f>
        <v>7</v>
      </c>
    </row>
    <row r="1776" ht="15.75" customHeight="1">
      <c r="A1776" s="16">
        <v>45045.0</v>
      </c>
      <c r="B1776" s="13" t="s">
        <v>3504</v>
      </c>
      <c r="C1776" s="13" t="s">
        <v>3505</v>
      </c>
      <c r="D1776" s="13" t="s">
        <v>12</v>
      </c>
      <c r="E1776" s="13" t="s">
        <v>54</v>
      </c>
      <c r="F1776" s="13">
        <v>2011.0</v>
      </c>
      <c r="G1776" s="13">
        <v>11329.0</v>
      </c>
      <c r="H1776" s="13">
        <v>1558.97</v>
      </c>
      <c r="I1776" s="13">
        <f>' car_sales_data 1'!$G1776*0.2</f>
        <v>2265.8</v>
      </c>
      <c r="J1776" s="13" t="str">
        <f>TEXT(' car_sales_data 1'!$A1776,"mmmm")</f>
        <v>April</v>
      </c>
      <c r="K1776" s="13" t="str">
        <f>IF(' car_sales_data 1'!$G1776&gt;40000,"Premium",
 IF(' car_sales_data 1'!$G1776&gt;=20000,"Mid Range","Budget"))</f>
        <v>Budget</v>
      </c>
      <c r="L1776" s="13">
        <f>YEAR(TODAY())-' car_sales_data 1'!$F1776</f>
        <v>14</v>
      </c>
    </row>
    <row r="1777" ht="15.75" customHeight="1">
      <c r="A1777" s="16">
        <v>44842.0</v>
      </c>
      <c r="B1777" s="13" t="s">
        <v>3506</v>
      </c>
      <c r="C1777" s="13" t="s">
        <v>3507</v>
      </c>
      <c r="D1777" s="13" t="s">
        <v>8</v>
      </c>
      <c r="E1777" s="13" t="s">
        <v>51</v>
      </c>
      <c r="F1777" s="13">
        <v>2018.0</v>
      </c>
      <c r="G1777" s="13">
        <v>45686.0</v>
      </c>
      <c r="H1777" s="13">
        <v>5727.35</v>
      </c>
      <c r="I1777" s="13">
        <f>' car_sales_data 1'!$G1777*0.2</f>
        <v>9137.2</v>
      </c>
      <c r="J1777" s="13" t="str">
        <f>TEXT(' car_sales_data 1'!$A1777,"mmmm")</f>
        <v>October</v>
      </c>
      <c r="K1777" s="13" t="str">
        <f>IF(' car_sales_data 1'!$G1777&gt;40000,"Premium",
 IF(' car_sales_data 1'!$G1777&gt;=20000,"Mid Range","Budget"))</f>
        <v>Premium</v>
      </c>
      <c r="L1777" s="13">
        <f>YEAR(TODAY())-' car_sales_data 1'!$F1777</f>
        <v>7</v>
      </c>
    </row>
    <row r="1778" ht="15.75" customHeight="1">
      <c r="A1778" s="16">
        <v>44846.0</v>
      </c>
      <c r="B1778" s="13" t="s">
        <v>3508</v>
      </c>
      <c r="C1778" s="13" t="s">
        <v>3509</v>
      </c>
      <c r="D1778" s="13" t="s">
        <v>14</v>
      </c>
      <c r="E1778" s="13" t="s">
        <v>70</v>
      </c>
      <c r="F1778" s="13">
        <v>2019.0</v>
      </c>
      <c r="G1778" s="13">
        <v>18345.0</v>
      </c>
      <c r="H1778" s="13">
        <v>1023.08</v>
      </c>
      <c r="I1778" s="13">
        <f>' car_sales_data 1'!$G1778*0.2</f>
        <v>3669</v>
      </c>
      <c r="J1778" s="13" t="str">
        <f>TEXT(' car_sales_data 1'!$A1778,"mmmm")</f>
        <v>October</v>
      </c>
      <c r="K1778" s="13" t="str">
        <f>IF(' car_sales_data 1'!$G1778&gt;40000,"Premium",
 IF(' car_sales_data 1'!$G1778&gt;=20000,"Mid Range","Budget"))</f>
        <v>Budget</v>
      </c>
      <c r="L1778" s="13">
        <f>YEAR(TODAY())-' car_sales_data 1'!$F1778</f>
        <v>6</v>
      </c>
    </row>
    <row r="1779" ht="15.75" customHeight="1">
      <c r="A1779" s="16">
        <v>44711.0</v>
      </c>
      <c r="B1779" s="13" t="s">
        <v>3510</v>
      </c>
      <c r="C1779" s="13" t="s">
        <v>3511</v>
      </c>
      <c r="D1779" s="13" t="s">
        <v>10</v>
      </c>
      <c r="E1779" s="13" t="s">
        <v>54</v>
      </c>
      <c r="F1779" s="13">
        <v>2011.0</v>
      </c>
      <c r="G1779" s="13">
        <v>38833.0</v>
      </c>
      <c r="H1779" s="13">
        <v>5608.78</v>
      </c>
      <c r="I1779" s="13">
        <f>' car_sales_data 1'!$G1779*0.2</f>
        <v>7766.6</v>
      </c>
      <c r="J1779" s="13" t="str">
        <f>TEXT(' car_sales_data 1'!$A1779,"mmmm")</f>
        <v>May</v>
      </c>
      <c r="K1779" s="13" t="str">
        <f>IF(' car_sales_data 1'!$G1779&gt;40000,"Premium",
 IF(' car_sales_data 1'!$G1779&gt;=20000,"Mid Range","Budget"))</f>
        <v>Mid Range</v>
      </c>
      <c r="L1779" s="13">
        <f>YEAR(TODAY())-' car_sales_data 1'!$F1779</f>
        <v>14</v>
      </c>
    </row>
    <row r="1780" ht="15.75" customHeight="1">
      <c r="A1780" s="16">
        <v>44921.0</v>
      </c>
      <c r="B1780" s="13" t="s">
        <v>3512</v>
      </c>
      <c r="C1780" s="13" t="s">
        <v>3513</v>
      </c>
      <c r="D1780" s="13" t="s">
        <v>12</v>
      </c>
      <c r="E1780" s="13" t="s">
        <v>57</v>
      </c>
      <c r="F1780" s="13">
        <v>2013.0</v>
      </c>
      <c r="G1780" s="13">
        <v>20218.0</v>
      </c>
      <c r="H1780" s="13">
        <v>1238.14</v>
      </c>
      <c r="I1780" s="13">
        <f>' car_sales_data 1'!$G1780*0.2</f>
        <v>4043.6</v>
      </c>
      <c r="J1780" s="13" t="str">
        <f>TEXT(' car_sales_data 1'!$A1780,"mmmm")</f>
        <v>December</v>
      </c>
      <c r="K1780" s="13" t="str">
        <f>IF(' car_sales_data 1'!$G1780&gt;40000,"Premium",
 IF(' car_sales_data 1'!$G1780&gt;=20000,"Mid Range","Budget"))</f>
        <v>Mid Range</v>
      </c>
      <c r="L1780" s="13">
        <f>YEAR(TODAY())-' car_sales_data 1'!$F1780</f>
        <v>12</v>
      </c>
    </row>
    <row r="1781" ht="15.75" customHeight="1">
      <c r="A1781" s="16">
        <v>45043.0</v>
      </c>
      <c r="B1781" s="13" t="s">
        <v>3514</v>
      </c>
      <c r="C1781" s="13" t="s">
        <v>3515</v>
      </c>
      <c r="D1781" s="13" t="s">
        <v>14</v>
      </c>
      <c r="E1781" s="13" t="s">
        <v>51</v>
      </c>
      <c r="F1781" s="13">
        <v>2017.0</v>
      </c>
      <c r="G1781" s="13">
        <v>29274.0</v>
      </c>
      <c r="H1781" s="13">
        <v>3944.14</v>
      </c>
      <c r="I1781" s="13">
        <f>' car_sales_data 1'!$G1781*0.2</f>
        <v>5854.8</v>
      </c>
      <c r="J1781" s="13" t="str">
        <f>TEXT(' car_sales_data 1'!$A1781,"mmmm")</f>
        <v>April</v>
      </c>
      <c r="K1781" s="13" t="str">
        <f>IF(' car_sales_data 1'!$G1781&gt;40000,"Premium",
 IF(' car_sales_data 1'!$G1781&gt;=20000,"Mid Range","Budget"))</f>
        <v>Mid Range</v>
      </c>
      <c r="L1781" s="13">
        <f>YEAR(TODAY())-' car_sales_data 1'!$F1781</f>
        <v>8</v>
      </c>
    </row>
    <row r="1782" ht="15.75" customHeight="1">
      <c r="A1782" s="16">
        <v>45037.0</v>
      </c>
      <c r="B1782" s="13" t="s">
        <v>3516</v>
      </c>
      <c r="C1782" s="13" t="s">
        <v>3517</v>
      </c>
      <c r="D1782" s="13" t="s">
        <v>12</v>
      </c>
      <c r="E1782" s="13" t="s">
        <v>70</v>
      </c>
      <c r="F1782" s="13">
        <v>2015.0</v>
      </c>
      <c r="G1782" s="13">
        <v>44013.0</v>
      </c>
      <c r="H1782" s="13">
        <v>5589.28</v>
      </c>
      <c r="I1782" s="13">
        <f>' car_sales_data 1'!$G1782*0.2</f>
        <v>8802.6</v>
      </c>
      <c r="J1782" s="13" t="str">
        <f>TEXT(' car_sales_data 1'!$A1782,"mmmm")</f>
        <v>April</v>
      </c>
      <c r="K1782" s="13" t="str">
        <f>IF(' car_sales_data 1'!$G1782&gt;40000,"Premium",
 IF(' car_sales_data 1'!$G1782&gt;=20000,"Mid Range","Budget"))</f>
        <v>Premium</v>
      </c>
      <c r="L1782" s="13">
        <f>YEAR(TODAY())-' car_sales_data 1'!$F1782</f>
        <v>10</v>
      </c>
    </row>
    <row r="1783" ht="15.75" customHeight="1">
      <c r="A1783" s="16">
        <v>44998.0</v>
      </c>
      <c r="B1783" s="13" t="s">
        <v>3518</v>
      </c>
      <c r="C1783" s="13" t="s">
        <v>3519</v>
      </c>
      <c r="D1783" s="13" t="s">
        <v>6</v>
      </c>
      <c r="E1783" s="13" t="s">
        <v>57</v>
      </c>
      <c r="F1783" s="13">
        <v>2013.0</v>
      </c>
      <c r="G1783" s="13">
        <v>44873.0</v>
      </c>
      <c r="H1783" s="13">
        <v>4243.13</v>
      </c>
      <c r="I1783" s="13">
        <f>' car_sales_data 1'!$G1783*0.2</f>
        <v>8974.6</v>
      </c>
      <c r="J1783" s="13" t="str">
        <f>TEXT(' car_sales_data 1'!$A1783,"mmmm")</f>
        <v>March</v>
      </c>
      <c r="K1783" s="13" t="str">
        <f>IF(' car_sales_data 1'!$G1783&gt;40000,"Premium",
 IF(' car_sales_data 1'!$G1783&gt;=20000,"Mid Range","Budget"))</f>
        <v>Premium</v>
      </c>
      <c r="L1783" s="13">
        <f>YEAR(TODAY())-' car_sales_data 1'!$F1783</f>
        <v>12</v>
      </c>
    </row>
    <row r="1784" ht="15.75" customHeight="1">
      <c r="A1784" s="16">
        <v>44870.0</v>
      </c>
      <c r="B1784" s="13" t="s">
        <v>3520</v>
      </c>
      <c r="C1784" s="13" t="s">
        <v>3521</v>
      </c>
      <c r="D1784" s="13" t="s">
        <v>8</v>
      </c>
      <c r="E1784" s="13" t="s">
        <v>70</v>
      </c>
      <c r="F1784" s="13">
        <v>2013.0</v>
      </c>
      <c r="G1784" s="13">
        <v>19450.0</v>
      </c>
      <c r="H1784" s="13">
        <v>1665.87</v>
      </c>
      <c r="I1784" s="13">
        <f>' car_sales_data 1'!$G1784*0.2</f>
        <v>3890</v>
      </c>
      <c r="J1784" s="13" t="str">
        <f>TEXT(' car_sales_data 1'!$A1784,"mmmm")</f>
        <v>November</v>
      </c>
      <c r="K1784" s="13" t="str">
        <f>IF(' car_sales_data 1'!$G1784&gt;40000,"Premium",
 IF(' car_sales_data 1'!$G1784&gt;=20000,"Mid Range","Budget"))</f>
        <v>Budget</v>
      </c>
      <c r="L1784" s="13">
        <f>YEAR(TODAY())-' car_sales_data 1'!$F1784</f>
        <v>12</v>
      </c>
    </row>
    <row r="1785" ht="15.75" customHeight="1">
      <c r="A1785" s="16">
        <v>44702.0</v>
      </c>
      <c r="B1785" s="13" t="s">
        <v>3522</v>
      </c>
      <c r="C1785" s="13" t="s">
        <v>3523</v>
      </c>
      <c r="D1785" s="13" t="s">
        <v>14</v>
      </c>
      <c r="E1785" s="13" t="s">
        <v>70</v>
      </c>
      <c r="F1785" s="13">
        <v>2010.0</v>
      </c>
      <c r="G1785" s="13">
        <v>12110.0</v>
      </c>
      <c r="H1785" s="13">
        <v>1652.33</v>
      </c>
      <c r="I1785" s="13">
        <f>' car_sales_data 1'!$G1785*0.2</f>
        <v>2422</v>
      </c>
      <c r="J1785" s="13" t="str">
        <f>TEXT(' car_sales_data 1'!$A1785,"mmmm")</f>
        <v>May</v>
      </c>
      <c r="K1785" s="13" t="str">
        <f>IF(' car_sales_data 1'!$G1785&gt;40000,"Premium",
 IF(' car_sales_data 1'!$G1785&gt;=20000,"Mid Range","Budget"))</f>
        <v>Budget</v>
      </c>
      <c r="L1785" s="13">
        <f>YEAR(TODAY())-' car_sales_data 1'!$F1785</f>
        <v>15</v>
      </c>
    </row>
    <row r="1786" ht="15.75" customHeight="1">
      <c r="A1786" s="16">
        <v>44954.0</v>
      </c>
      <c r="B1786" s="13" t="s">
        <v>3524</v>
      </c>
      <c r="C1786" s="13" t="s">
        <v>3525</v>
      </c>
      <c r="D1786" s="13" t="s">
        <v>12</v>
      </c>
      <c r="E1786" s="13" t="s">
        <v>57</v>
      </c>
      <c r="F1786" s="13">
        <v>2019.0</v>
      </c>
      <c r="G1786" s="13">
        <v>49664.0</v>
      </c>
      <c r="H1786" s="13">
        <v>4419.52</v>
      </c>
      <c r="I1786" s="13">
        <f>' car_sales_data 1'!$G1786*0.2</f>
        <v>9932.8</v>
      </c>
      <c r="J1786" s="13" t="str">
        <f>TEXT(' car_sales_data 1'!$A1786,"mmmm")</f>
        <v>January</v>
      </c>
      <c r="K1786" s="13" t="str">
        <f>IF(' car_sales_data 1'!$G1786&gt;40000,"Premium",
 IF(' car_sales_data 1'!$G1786&gt;=20000,"Mid Range","Budget"))</f>
        <v>Premium</v>
      </c>
      <c r="L1786" s="13">
        <f>YEAR(TODAY())-' car_sales_data 1'!$F1786</f>
        <v>6</v>
      </c>
    </row>
    <row r="1787" ht="15.75" customHeight="1">
      <c r="A1787" s="16">
        <v>44759.0</v>
      </c>
      <c r="B1787" s="13" t="s">
        <v>3526</v>
      </c>
      <c r="C1787" s="13" t="s">
        <v>3527</v>
      </c>
      <c r="D1787" s="13" t="s">
        <v>8</v>
      </c>
      <c r="E1787" s="13" t="s">
        <v>62</v>
      </c>
      <c r="F1787" s="13">
        <v>2010.0</v>
      </c>
      <c r="G1787" s="13">
        <v>23631.0</v>
      </c>
      <c r="H1787" s="13">
        <v>2910.15</v>
      </c>
      <c r="I1787" s="13">
        <f>' car_sales_data 1'!$G1787*0.2</f>
        <v>4726.2</v>
      </c>
      <c r="J1787" s="13" t="str">
        <f>TEXT(' car_sales_data 1'!$A1787,"mmmm")</f>
        <v>July</v>
      </c>
      <c r="K1787" s="13" t="str">
        <f>IF(' car_sales_data 1'!$G1787&gt;40000,"Premium",
 IF(' car_sales_data 1'!$G1787&gt;=20000,"Mid Range","Budget"))</f>
        <v>Mid Range</v>
      </c>
      <c r="L1787" s="13">
        <f>YEAR(TODAY())-' car_sales_data 1'!$F1787</f>
        <v>15</v>
      </c>
    </row>
    <row r="1788" ht="15.75" customHeight="1">
      <c r="A1788" s="16">
        <v>44924.0</v>
      </c>
      <c r="B1788" s="13" t="s">
        <v>3528</v>
      </c>
      <c r="C1788" s="13" t="s">
        <v>3529</v>
      </c>
      <c r="D1788" s="13" t="s">
        <v>12</v>
      </c>
      <c r="E1788" s="13" t="s">
        <v>54</v>
      </c>
      <c r="F1788" s="13">
        <v>2021.0</v>
      </c>
      <c r="G1788" s="13">
        <v>14735.0</v>
      </c>
      <c r="H1788" s="13">
        <v>1207.43</v>
      </c>
      <c r="I1788" s="13">
        <f>' car_sales_data 1'!$G1788*0.2</f>
        <v>2947</v>
      </c>
      <c r="J1788" s="13" t="str">
        <f>TEXT(' car_sales_data 1'!$A1788,"mmmm")</f>
        <v>December</v>
      </c>
      <c r="K1788" s="13" t="str">
        <f>IF(' car_sales_data 1'!$G1788&gt;40000,"Premium",
 IF(' car_sales_data 1'!$G1788&gt;=20000,"Mid Range","Budget"))</f>
        <v>Budget</v>
      </c>
      <c r="L1788" s="13">
        <f>YEAR(TODAY())-' car_sales_data 1'!$F1788</f>
        <v>4</v>
      </c>
    </row>
    <row r="1789" ht="15.75" customHeight="1">
      <c r="A1789" s="16">
        <v>44759.0</v>
      </c>
      <c r="B1789" s="13" t="s">
        <v>3530</v>
      </c>
      <c r="C1789" s="13" t="s">
        <v>3531</v>
      </c>
      <c r="D1789" s="13" t="s">
        <v>8</v>
      </c>
      <c r="E1789" s="13" t="s">
        <v>62</v>
      </c>
      <c r="F1789" s="13">
        <v>2010.0</v>
      </c>
      <c r="G1789" s="13">
        <v>23634.0</v>
      </c>
      <c r="H1789" s="13">
        <v>1479.02</v>
      </c>
      <c r="I1789" s="13">
        <f>' car_sales_data 1'!$G1789*0.2</f>
        <v>4726.8</v>
      </c>
      <c r="J1789" s="13" t="str">
        <f>TEXT(' car_sales_data 1'!$A1789,"mmmm")</f>
        <v>July</v>
      </c>
      <c r="K1789" s="13" t="str">
        <f>IF(' car_sales_data 1'!$G1789&gt;40000,"Premium",
 IF(' car_sales_data 1'!$G1789&gt;=20000,"Mid Range","Budget"))</f>
        <v>Mid Range</v>
      </c>
      <c r="L1789" s="13">
        <f>YEAR(TODAY())-' car_sales_data 1'!$F1789</f>
        <v>15</v>
      </c>
    </row>
    <row r="1790" ht="15.75" customHeight="1">
      <c r="A1790" s="16">
        <v>45037.0</v>
      </c>
      <c r="B1790" s="13" t="s">
        <v>3532</v>
      </c>
      <c r="C1790" s="13" t="s">
        <v>3533</v>
      </c>
      <c r="D1790" s="13" t="s">
        <v>6</v>
      </c>
      <c r="E1790" s="13" t="s">
        <v>62</v>
      </c>
      <c r="F1790" s="13">
        <v>2014.0</v>
      </c>
      <c r="G1790" s="13">
        <v>10082.0</v>
      </c>
      <c r="H1790" s="13">
        <v>1466.08</v>
      </c>
      <c r="I1790" s="13">
        <f>' car_sales_data 1'!$G1790*0.2</f>
        <v>2016.4</v>
      </c>
      <c r="J1790" s="13" t="str">
        <f>TEXT(' car_sales_data 1'!$A1790,"mmmm")</f>
        <v>April</v>
      </c>
      <c r="K1790" s="13" t="str">
        <f>IF(' car_sales_data 1'!$G1790&gt;40000,"Premium",
 IF(' car_sales_data 1'!$G1790&gt;=20000,"Mid Range","Budget"))</f>
        <v>Budget</v>
      </c>
      <c r="L1790" s="13">
        <f>YEAR(TODAY())-' car_sales_data 1'!$F1790</f>
        <v>11</v>
      </c>
    </row>
    <row r="1791" ht="15.75" customHeight="1">
      <c r="A1791" s="16">
        <v>44789.0</v>
      </c>
      <c r="B1791" s="13" t="s">
        <v>3534</v>
      </c>
      <c r="C1791" s="13" t="s">
        <v>3535</v>
      </c>
      <c r="D1791" s="13" t="s">
        <v>10</v>
      </c>
      <c r="E1791" s="13" t="s">
        <v>51</v>
      </c>
      <c r="F1791" s="13">
        <v>2020.0</v>
      </c>
      <c r="G1791" s="13">
        <v>46756.0</v>
      </c>
      <c r="H1791" s="13">
        <v>5674.51</v>
      </c>
      <c r="I1791" s="13">
        <f>' car_sales_data 1'!$G1791*0.2</f>
        <v>9351.2</v>
      </c>
      <c r="J1791" s="13" t="str">
        <f>TEXT(' car_sales_data 1'!$A1791,"mmmm")</f>
        <v>August</v>
      </c>
      <c r="K1791" s="13" t="str">
        <f>IF(' car_sales_data 1'!$G1791&gt;40000,"Premium",
 IF(' car_sales_data 1'!$G1791&gt;=20000,"Mid Range","Budget"))</f>
        <v>Premium</v>
      </c>
      <c r="L1791" s="13">
        <f>YEAR(TODAY())-' car_sales_data 1'!$F1791</f>
        <v>5</v>
      </c>
    </row>
    <row r="1792" ht="15.75" customHeight="1">
      <c r="A1792" s="16">
        <v>44961.0</v>
      </c>
      <c r="B1792" s="13" t="s">
        <v>3536</v>
      </c>
      <c r="C1792" s="13" t="s">
        <v>3537</v>
      </c>
      <c r="D1792" s="13" t="s">
        <v>10</v>
      </c>
      <c r="E1792" s="13" t="s">
        <v>57</v>
      </c>
      <c r="F1792" s="13">
        <v>2010.0</v>
      </c>
      <c r="G1792" s="13">
        <v>28024.0</v>
      </c>
      <c r="H1792" s="13">
        <v>2153.85</v>
      </c>
      <c r="I1792" s="13">
        <f>' car_sales_data 1'!$G1792*0.2</f>
        <v>5604.8</v>
      </c>
      <c r="J1792" s="13" t="str">
        <f>TEXT(' car_sales_data 1'!$A1792,"mmmm")</f>
        <v>February</v>
      </c>
      <c r="K1792" s="13" t="str">
        <f>IF(' car_sales_data 1'!$G1792&gt;40000,"Premium",
 IF(' car_sales_data 1'!$G1792&gt;=20000,"Mid Range","Budget"))</f>
        <v>Mid Range</v>
      </c>
      <c r="L1792" s="13">
        <f>YEAR(TODAY())-' car_sales_data 1'!$F1792</f>
        <v>15</v>
      </c>
    </row>
    <row r="1793" ht="15.75" customHeight="1">
      <c r="A1793" s="16">
        <v>44810.0</v>
      </c>
      <c r="B1793" s="13" t="s">
        <v>3538</v>
      </c>
      <c r="C1793" s="13" t="s">
        <v>3539</v>
      </c>
      <c r="D1793" s="13" t="s">
        <v>12</v>
      </c>
      <c r="E1793" s="13" t="s">
        <v>62</v>
      </c>
      <c r="F1793" s="13">
        <v>2012.0</v>
      </c>
      <c r="G1793" s="13">
        <v>48244.0</v>
      </c>
      <c r="H1793" s="13">
        <v>3133.92</v>
      </c>
      <c r="I1793" s="13">
        <f>' car_sales_data 1'!$G1793*0.2</f>
        <v>9648.8</v>
      </c>
      <c r="J1793" s="13" t="str">
        <f>TEXT(' car_sales_data 1'!$A1793,"mmmm")</f>
        <v>September</v>
      </c>
      <c r="K1793" s="13" t="str">
        <f>IF(' car_sales_data 1'!$G1793&gt;40000,"Premium",
 IF(' car_sales_data 1'!$G1793&gt;=20000,"Mid Range","Budget"))</f>
        <v>Premium</v>
      </c>
      <c r="L1793" s="13">
        <f>YEAR(TODAY())-' car_sales_data 1'!$F1793</f>
        <v>13</v>
      </c>
    </row>
    <row r="1794" ht="15.75" customHeight="1">
      <c r="A1794" s="16">
        <v>44990.0</v>
      </c>
      <c r="B1794" s="13" t="s">
        <v>3540</v>
      </c>
      <c r="C1794" s="13" t="s">
        <v>3541</v>
      </c>
      <c r="D1794" s="13" t="s">
        <v>12</v>
      </c>
      <c r="E1794" s="13" t="s">
        <v>70</v>
      </c>
      <c r="F1794" s="13">
        <v>2010.0</v>
      </c>
      <c r="G1794" s="13">
        <v>34202.0</v>
      </c>
      <c r="H1794" s="13">
        <v>5008.73</v>
      </c>
      <c r="I1794" s="13">
        <f>' car_sales_data 1'!$G1794*0.2</f>
        <v>6840.4</v>
      </c>
      <c r="J1794" s="13" t="str">
        <f>TEXT(' car_sales_data 1'!$A1794,"mmmm")</f>
        <v>March</v>
      </c>
      <c r="K1794" s="13" t="str">
        <f>IF(' car_sales_data 1'!$G1794&gt;40000,"Premium",
 IF(' car_sales_data 1'!$G1794&gt;=20000,"Mid Range","Budget"))</f>
        <v>Mid Range</v>
      </c>
      <c r="L1794" s="13">
        <f>YEAR(TODAY())-' car_sales_data 1'!$F1794</f>
        <v>15</v>
      </c>
    </row>
    <row r="1795" ht="15.75" customHeight="1">
      <c r="A1795" s="16">
        <v>44800.0</v>
      </c>
      <c r="B1795" s="13" t="s">
        <v>2617</v>
      </c>
      <c r="C1795" s="13" t="s">
        <v>3542</v>
      </c>
      <c r="D1795" s="13" t="s">
        <v>8</v>
      </c>
      <c r="E1795" s="13" t="s">
        <v>54</v>
      </c>
      <c r="F1795" s="13">
        <v>2016.0</v>
      </c>
      <c r="G1795" s="13">
        <v>34806.0</v>
      </c>
      <c r="H1795" s="13">
        <v>4936.87</v>
      </c>
      <c r="I1795" s="13">
        <f>' car_sales_data 1'!$G1795*0.2</f>
        <v>6961.2</v>
      </c>
      <c r="J1795" s="13" t="str">
        <f>TEXT(' car_sales_data 1'!$A1795,"mmmm")</f>
        <v>August</v>
      </c>
      <c r="K1795" s="13" t="str">
        <f>IF(' car_sales_data 1'!$G1795&gt;40000,"Premium",
 IF(' car_sales_data 1'!$G1795&gt;=20000,"Mid Range","Budget"))</f>
        <v>Mid Range</v>
      </c>
      <c r="L1795" s="13">
        <f>YEAR(TODAY())-' car_sales_data 1'!$F1795</f>
        <v>9</v>
      </c>
    </row>
    <row r="1796" ht="15.75" customHeight="1">
      <c r="A1796" s="16">
        <v>44854.0</v>
      </c>
      <c r="B1796" s="13" t="s">
        <v>3543</v>
      </c>
      <c r="C1796" s="13" t="s">
        <v>3544</v>
      </c>
      <c r="D1796" s="13" t="s">
        <v>12</v>
      </c>
      <c r="E1796" s="13" t="s">
        <v>70</v>
      </c>
      <c r="F1796" s="13">
        <v>2013.0</v>
      </c>
      <c r="G1796" s="13">
        <v>38253.0</v>
      </c>
      <c r="H1796" s="13">
        <v>5504.29</v>
      </c>
      <c r="I1796" s="13">
        <f>' car_sales_data 1'!$G1796*0.2</f>
        <v>7650.6</v>
      </c>
      <c r="J1796" s="13" t="str">
        <f>TEXT(' car_sales_data 1'!$A1796,"mmmm")</f>
        <v>October</v>
      </c>
      <c r="K1796" s="13" t="str">
        <f>IF(' car_sales_data 1'!$G1796&gt;40000,"Premium",
 IF(' car_sales_data 1'!$G1796&gt;=20000,"Mid Range","Budget"))</f>
        <v>Mid Range</v>
      </c>
      <c r="L1796" s="13">
        <f>YEAR(TODAY())-' car_sales_data 1'!$F1796</f>
        <v>12</v>
      </c>
    </row>
    <row r="1797" ht="15.75" customHeight="1">
      <c r="A1797" s="16">
        <v>45031.0</v>
      </c>
      <c r="B1797" s="13" t="s">
        <v>3545</v>
      </c>
      <c r="C1797" s="13" t="s">
        <v>3546</v>
      </c>
      <c r="D1797" s="13" t="s">
        <v>6</v>
      </c>
      <c r="E1797" s="13" t="s">
        <v>51</v>
      </c>
      <c r="F1797" s="13">
        <v>2018.0</v>
      </c>
      <c r="G1797" s="13">
        <v>19039.0</v>
      </c>
      <c r="H1797" s="13">
        <v>2766.37</v>
      </c>
      <c r="I1797" s="13">
        <f>' car_sales_data 1'!$G1797*0.2</f>
        <v>3807.8</v>
      </c>
      <c r="J1797" s="13" t="str">
        <f>TEXT(' car_sales_data 1'!$A1797,"mmmm")</f>
        <v>April</v>
      </c>
      <c r="K1797" s="13" t="str">
        <f>IF(' car_sales_data 1'!$G1797&gt;40000,"Premium",
 IF(' car_sales_data 1'!$G1797&gt;=20000,"Mid Range","Budget"))</f>
        <v>Budget</v>
      </c>
      <c r="L1797" s="13">
        <f>YEAR(TODAY())-' car_sales_data 1'!$F1797</f>
        <v>7</v>
      </c>
    </row>
    <row r="1798" ht="15.75" customHeight="1">
      <c r="A1798" s="16">
        <v>44696.0</v>
      </c>
      <c r="B1798" s="13" t="s">
        <v>3547</v>
      </c>
      <c r="C1798" s="13" t="s">
        <v>3548</v>
      </c>
      <c r="D1798" s="13" t="s">
        <v>8</v>
      </c>
      <c r="E1798" s="13" t="s">
        <v>54</v>
      </c>
      <c r="F1798" s="13">
        <v>2011.0</v>
      </c>
      <c r="G1798" s="13">
        <v>36284.0</v>
      </c>
      <c r="H1798" s="13">
        <v>3126.19</v>
      </c>
      <c r="I1798" s="13">
        <f>' car_sales_data 1'!$G1798*0.2</f>
        <v>7256.8</v>
      </c>
      <c r="J1798" s="13" t="str">
        <f>TEXT(' car_sales_data 1'!$A1798,"mmmm")</f>
        <v>May</v>
      </c>
      <c r="K1798" s="13" t="str">
        <f>IF(' car_sales_data 1'!$G1798&gt;40000,"Premium",
 IF(' car_sales_data 1'!$G1798&gt;=20000,"Mid Range","Budget"))</f>
        <v>Mid Range</v>
      </c>
      <c r="L1798" s="13">
        <f>YEAR(TODAY())-' car_sales_data 1'!$F1798</f>
        <v>14</v>
      </c>
    </row>
    <row r="1799" ht="15.75" customHeight="1">
      <c r="A1799" s="16">
        <v>44765.0</v>
      </c>
      <c r="B1799" s="13" t="s">
        <v>2777</v>
      </c>
      <c r="C1799" s="13" t="s">
        <v>3549</v>
      </c>
      <c r="D1799" s="13" t="s">
        <v>6</v>
      </c>
      <c r="E1799" s="13" t="s">
        <v>57</v>
      </c>
      <c r="F1799" s="13">
        <v>2017.0</v>
      </c>
      <c r="G1799" s="13">
        <v>21426.0</v>
      </c>
      <c r="H1799" s="13">
        <v>1418.58</v>
      </c>
      <c r="I1799" s="13">
        <f>' car_sales_data 1'!$G1799*0.2</f>
        <v>4285.2</v>
      </c>
      <c r="J1799" s="13" t="str">
        <f>TEXT(' car_sales_data 1'!$A1799,"mmmm")</f>
        <v>July</v>
      </c>
      <c r="K1799" s="13" t="str">
        <f>IF(' car_sales_data 1'!$G1799&gt;40000,"Premium",
 IF(' car_sales_data 1'!$G1799&gt;=20000,"Mid Range","Budget"))</f>
        <v>Mid Range</v>
      </c>
      <c r="L1799" s="13">
        <f>YEAR(TODAY())-' car_sales_data 1'!$F1799</f>
        <v>8</v>
      </c>
    </row>
    <row r="1800" ht="15.75" customHeight="1">
      <c r="A1800" s="16">
        <v>44984.0</v>
      </c>
      <c r="B1800" s="13" t="s">
        <v>3550</v>
      </c>
      <c r="C1800" s="13" t="s">
        <v>3551</v>
      </c>
      <c r="D1800" s="13" t="s">
        <v>10</v>
      </c>
      <c r="E1800" s="13" t="s">
        <v>54</v>
      </c>
      <c r="F1800" s="13">
        <v>2014.0</v>
      </c>
      <c r="G1800" s="13">
        <v>19327.0</v>
      </c>
      <c r="H1800" s="13">
        <v>1796.31</v>
      </c>
      <c r="I1800" s="13">
        <f>' car_sales_data 1'!$G1800*0.2</f>
        <v>3865.4</v>
      </c>
      <c r="J1800" s="13" t="str">
        <f>TEXT(' car_sales_data 1'!$A1800,"mmmm")</f>
        <v>February</v>
      </c>
      <c r="K1800" s="13" t="str">
        <f>IF(' car_sales_data 1'!$G1800&gt;40000,"Premium",
 IF(' car_sales_data 1'!$G1800&gt;=20000,"Mid Range","Budget"))</f>
        <v>Budget</v>
      </c>
      <c r="L1800" s="13">
        <f>YEAR(TODAY())-' car_sales_data 1'!$F1800</f>
        <v>11</v>
      </c>
    </row>
    <row r="1801" ht="15.75" customHeight="1">
      <c r="A1801" s="16">
        <v>45005.0</v>
      </c>
      <c r="B1801" s="13" t="s">
        <v>3552</v>
      </c>
      <c r="C1801" s="13" t="s">
        <v>3553</v>
      </c>
      <c r="D1801" s="13" t="s">
        <v>8</v>
      </c>
      <c r="E1801" s="13" t="s">
        <v>54</v>
      </c>
      <c r="F1801" s="13">
        <v>2019.0</v>
      </c>
      <c r="G1801" s="13">
        <v>38715.0</v>
      </c>
      <c r="H1801" s="13">
        <v>5764.57</v>
      </c>
      <c r="I1801" s="13">
        <f>' car_sales_data 1'!$G1801*0.2</f>
        <v>7743</v>
      </c>
      <c r="J1801" s="13" t="str">
        <f>TEXT(' car_sales_data 1'!$A1801,"mmmm")</f>
        <v>March</v>
      </c>
      <c r="K1801" s="13" t="str">
        <f>IF(' car_sales_data 1'!$G1801&gt;40000,"Premium",
 IF(' car_sales_data 1'!$G1801&gt;=20000,"Mid Range","Budget"))</f>
        <v>Mid Range</v>
      </c>
      <c r="L1801" s="13">
        <f>YEAR(TODAY())-' car_sales_data 1'!$F1801</f>
        <v>6</v>
      </c>
    </row>
    <row r="1802" ht="15.75" customHeight="1">
      <c r="A1802" s="16">
        <v>45038.0</v>
      </c>
      <c r="B1802" s="13" t="s">
        <v>3554</v>
      </c>
      <c r="C1802" s="13" t="s">
        <v>3555</v>
      </c>
      <c r="D1802" s="13" t="s">
        <v>6</v>
      </c>
      <c r="E1802" s="13" t="s">
        <v>70</v>
      </c>
      <c r="F1802" s="13">
        <v>2011.0</v>
      </c>
      <c r="G1802" s="13">
        <v>23119.0</v>
      </c>
      <c r="H1802" s="13">
        <v>1769.08</v>
      </c>
      <c r="I1802" s="13">
        <f>' car_sales_data 1'!$G1802*0.2</f>
        <v>4623.8</v>
      </c>
      <c r="J1802" s="13" t="str">
        <f>TEXT(' car_sales_data 1'!$A1802,"mmmm")</f>
        <v>April</v>
      </c>
      <c r="K1802" s="13" t="str">
        <f>IF(' car_sales_data 1'!$G1802&gt;40000,"Premium",
 IF(' car_sales_data 1'!$G1802&gt;=20000,"Mid Range","Budget"))</f>
        <v>Mid Range</v>
      </c>
      <c r="L1802" s="13">
        <f>YEAR(TODAY())-' car_sales_data 1'!$F1802</f>
        <v>14</v>
      </c>
    </row>
    <row r="1803" ht="15.75" customHeight="1">
      <c r="A1803" s="16">
        <v>45028.0</v>
      </c>
      <c r="B1803" s="13" t="s">
        <v>3556</v>
      </c>
      <c r="C1803" s="13" t="s">
        <v>3557</v>
      </c>
      <c r="D1803" s="13" t="s">
        <v>8</v>
      </c>
      <c r="E1803" s="13" t="s">
        <v>57</v>
      </c>
      <c r="F1803" s="13">
        <v>2011.0</v>
      </c>
      <c r="G1803" s="13">
        <v>11261.0</v>
      </c>
      <c r="H1803" s="13">
        <v>1296.83</v>
      </c>
      <c r="I1803" s="13">
        <f>' car_sales_data 1'!$G1803*0.2</f>
        <v>2252.2</v>
      </c>
      <c r="J1803" s="13" t="str">
        <f>TEXT(' car_sales_data 1'!$A1803,"mmmm")</f>
        <v>April</v>
      </c>
      <c r="K1803" s="13" t="str">
        <f>IF(' car_sales_data 1'!$G1803&gt;40000,"Premium",
 IF(' car_sales_data 1'!$G1803&gt;=20000,"Mid Range","Budget"))</f>
        <v>Budget</v>
      </c>
      <c r="L1803" s="13">
        <f>YEAR(TODAY())-' car_sales_data 1'!$F1803</f>
        <v>14</v>
      </c>
    </row>
    <row r="1804" ht="15.75" customHeight="1">
      <c r="A1804" s="16">
        <v>45038.0</v>
      </c>
      <c r="B1804" s="13" t="s">
        <v>3558</v>
      </c>
      <c r="C1804" s="13" t="s">
        <v>3559</v>
      </c>
      <c r="D1804" s="13" t="s">
        <v>6</v>
      </c>
      <c r="E1804" s="13" t="s">
        <v>51</v>
      </c>
      <c r="F1804" s="13">
        <v>2022.0</v>
      </c>
      <c r="G1804" s="13">
        <v>34840.0</v>
      </c>
      <c r="H1804" s="13">
        <v>4751.0</v>
      </c>
      <c r="I1804" s="13">
        <f>' car_sales_data 1'!$G1804*0.2</f>
        <v>6968</v>
      </c>
      <c r="J1804" s="13" t="str">
        <f>TEXT(' car_sales_data 1'!$A1804,"mmmm")</f>
        <v>April</v>
      </c>
      <c r="K1804" s="13" t="str">
        <f>IF(' car_sales_data 1'!$G1804&gt;40000,"Premium",
 IF(' car_sales_data 1'!$G1804&gt;=20000,"Mid Range","Budget"))</f>
        <v>Mid Range</v>
      </c>
      <c r="L1804" s="13">
        <f>YEAR(TODAY())-' car_sales_data 1'!$F1804</f>
        <v>3</v>
      </c>
    </row>
    <row r="1805" ht="15.75" customHeight="1">
      <c r="A1805" s="16">
        <v>44823.0</v>
      </c>
      <c r="B1805" s="13" t="s">
        <v>3560</v>
      </c>
      <c r="C1805" s="13" t="s">
        <v>3561</v>
      </c>
      <c r="D1805" s="13" t="s">
        <v>12</v>
      </c>
      <c r="E1805" s="13" t="s">
        <v>62</v>
      </c>
      <c r="F1805" s="13">
        <v>2015.0</v>
      </c>
      <c r="G1805" s="13">
        <v>47105.0</v>
      </c>
      <c r="H1805" s="13">
        <v>6075.44</v>
      </c>
      <c r="I1805" s="13">
        <f>' car_sales_data 1'!$G1805*0.2</f>
        <v>9421</v>
      </c>
      <c r="J1805" s="13" t="str">
        <f>TEXT(' car_sales_data 1'!$A1805,"mmmm")</f>
        <v>September</v>
      </c>
      <c r="K1805" s="13" t="str">
        <f>IF(' car_sales_data 1'!$G1805&gt;40000,"Premium",
 IF(' car_sales_data 1'!$G1805&gt;=20000,"Mid Range","Budget"))</f>
        <v>Premium</v>
      </c>
      <c r="L1805" s="13">
        <f>YEAR(TODAY())-' car_sales_data 1'!$F1805</f>
        <v>10</v>
      </c>
    </row>
    <row r="1806" ht="15.75" customHeight="1">
      <c r="A1806" s="16">
        <v>44873.0</v>
      </c>
      <c r="B1806" s="13" t="s">
        <v>3562</v>
      </c>
      <c r="C1806" s="13" t="s">
        <v>3563</v>
      </c>
      <c r="D1806" s="13" t="s">
        <v>6</v>
      </c>
      <c r="E1806" s="13" t="s">
        <v>62</v>
      </c>
      <c r="F1806" s="13">
        <v>2014.0</v>
      </c>
      <c r="G1806" s="13">
        <v>13203.0</v>
      </c>
      <c r="H1806" s="13">
        <v>1794.09</v>
      </c>
      <c r="I1806" s="13">
        <f>' car_sales_data 1'!$G1806*0.2</f>
        <v>2640.6</v>
      </c>
      <c r="J1806" s="13" t="str">
        <f>TEXT(' car_sales_data 1'!$A1806,"mmmm")</f>
        <v>November</v>
      </c>
      <c r="K1806" s="13" t="str">
        <f>IF(' car_sales_data 1'!$G1806&gt;40000,"Premium",
 IF(' car_sales_data 1'!$G1806&gt;=20000,"Mid Range","Budget"))</f>
        <v>Budget</v>
      </c>
      <c r="L1806" s="13">
        <f>YEAR(TODAY())-' car_sales_data 1'!$F1806</f>
        <v>11</v>
      </c>
    </row>
    <row r="1807" ht="15.75" customHeight="1">
      <c r="A1807" s="16">
        <v>44772.0</v>
      </c>
      <c r="B1807" s="13" t="s">
        <v>3564</v>
      </c>
      <c r="C1807" s="13" t="s">
        <v>3565</v>
      </c>
      <c r="D1807" s="13" t="s">
        <v>6</v>
      </c>
      <c r="E1807" s="13" t="s">
        <v>57</v>
      </c>
      <c r="F1807" s="13">
        <v>2013.0</v>
      </c>
      <c r="G1807" s="13">
        <v>24374.0</v>
      </c>
      <c r="H1807" s="13">
        <v>2385.85</v>
      </c>
      <c r="I1807" s="13">
        <f>' car_sales_data 1'!$G1807*0.2</f>
        <v>4874.8</v>
      </c>
      <c r="J1807" s="13" t="str">
        <f>TEXT(' car_sales_data 1'!$A1807,"mmmm")</f>
        <v>July</v>
      </c>
      <c r="K1807" s="13" t="str">
        <f>IF(' car_sales_data 1'!$G1807&gt;40000,"Premium",
 IF(' car_sales_data 1'!$G1807&gt;=20000,"Mid Range","Budget"))</f>
        <v>Mid Range</v>
      </c>
      <c r="L1807" s="13">
        <f>YEAR(TODAY())-' car_sales_data 1'!$F1807</f>
        <v>12</v>
      </c>
    </row>
    <row r="1808" ht="15.75" customHeight="1">
      <c r="A1808" s="16">
        <v>44778.0</v>
      </c>
      <c r="B1808" s="13" t="s">
        <v>3566</v>
      </c>
      <c r="C1808" s="13" t="s">
        <v>3567</v>
      </c>
      <c r="D1808" s="13" t="s">
        <v>14</v>
      </c>
      <c r="E1808" s="13" t="s">
        <v>62</v>
      </c>
      <c r="F1808" s="13">
        <v>2010.0</v>
      </c>
      <c r="G1808" s="13">
        <v>32451.0</v>
      </c>
      <c r="H1808" s="13">
        <v>4531.05</v>
      </c>
      <c r="I1808" s="13">
        <f>' car_sales_data 1'!$G1808*0.2</f>
        <v>6490.2</v>
      </c>
      <c r="J1808" s="13" t="str">
        <f>TEXT(' car_sales_data 1'!$A1808,"mmmm")</f>
        <v>August</v>
      </c>
      <c r="K1808" s="13" t="str">
        <f>IF(' car_sales_data 1'!$G1808&gt;40000,"Premium",
 IF(' car_sales_data 1'!$G1808&gt;=20000,"Mid Range","Budget"))</f>
        <v>Mid Range</v>
      </c>
      <c r="L1808" s="13">
        <f>YEAR(TODAY())-' car_sales_data 1'!$F1808</f>
        <v>15</v>
      </c>
    </row>
    <row r="1809" ht="15.75" customHeight="1">
      <c r="A1809" s="16">
        <v>45040.0</v>
      </c>
      <c r="B1809" s="13" t="s">
        <v>3568</v>
      </c>
      <c r="C1809" s="13" t="s">
        <v>3569</v>
      </c>
      <c r="D1809" s="13" t="s">
        <v>10</v>
      </c>
      <c r="E1809" s="13" t="s">
        <v>70</v>
      </c>
      <c r="F1809" s="13">
        <v>2021.0</v>
      </c>
      <c r="G1809" s="13">
        <v>20893.0</v>
      </c>
      <c r="H1809" s="13">
        <v>1696.0</v>
      </c>
      <c r="I1809" s="13">
        <f>' car_sales_data 1'!$G1809*0.2</f>
        <v>4178.6</v>
      </c>
      <c r="J1809" s="13" t="str">
        <f>TEXT(' car_sales_data 1'!$A1809,"mmmm")</f>
        <v>April</v>
      </c>
      <c r="K1809" s="13" t="str">
        <f>IF(' car_sales_data 1'!$G1809&gt;40000,"Premium",
 IF(' car_sales_data 1'!$G1809&gt;=20000,"Mid Range","Budget"))</f>
        <v>Mid Range</v>
      </c>
      <c r="L1809" s="13">
        <f>YEAR(TODAY())-' car_sales_data 1'!$F1809</f>
        <v>4</v>
      </c>
    </row>
    <row r="1810" ht="15.75" customHeight="1">
      <c r="A1810" s="16">
        <v>44710.0</v>
      </c>
      <c r="B1810" s="13" t="s">
        <v>3570</v>
      </c>
      <c r="C1810" s="13" t="s">
        <v>3571</v>
      </c>
      <c r="D1810" s="13" t="s">
        <v>10</v>
      </c>
      <c r="E1810" s="13" t="s">
        <v>62</v>
      </c>
      <c r="F1810" s="13">
        <v>2020.0</v>
      </c>
      <c r="G1810" s="13">
        <v>25334.0</v>
      </c>
      <c r="H1810" s="13">
        <v>2491.11</v>
      </c>
      <c r="I1810" s="13">
        <f>' car_sales_data 1'!$G1810*0.2</f>
        <v>5066.8</v>
      </c>
      <c r="J1810" s="13" t="str">
        <f>TEXT(' car_sales_data 1'!$A1810,"mmmm")</f>
        <v>May</v>
      </c>
      <c r="K1810" s="13" t="str">
        <f>IF(' car_sales_data 1'!$G1810&gt;40000,"Premium",
 IF(' car_sales_data 1'!$G1810&gt;=20000,"Mid Range","Budget"))</f>
        <v>Mid Range</v>
      </c>
      <c r="L1810" s="13">
        <f>YEAR(TODAY())-' car_sales_data 1'!$F1810</f>
        <v>5</v>
      </c>
    </row>
    <row r="1811" ht="15.75" customHeight="1">
      <c r="A1811" s="16">
        <v>44889.0</v>
      </c>
      <c r="B1811" s="13" t="s">
        <v>3572</v>
      </c>
      <c r="C1811" s="13" t="s">
        <v>3573</v>
      </c>
      <c r="D1811" s="13" t="s">
        <v>10</v>
      </c>
      <c r="E1811" s="13" t="s">
        <v>62</v>
      </c>
      <c r="F1811" s="13">
        <v>2022.0</v>
      </c>
      <c r="G1811" s="13">
        <v>22786.0</v>
      </c>
      <c r="H1811" s="13">
        <v>3053.83</v>
      </c>
      <c r="I1811" s="13">
        <f>' car_sales_data 1'!$G1811*0.2</f>
        <v>4557.2</v>
      </c>
      <c r="J1811" s="13" t="str">
        <f>TEXT(' car_sales_data 1'!$A1811,"mmmm")</f>
        <v>November</v>
      </c>
      <c r="K1811" s="13" t="str">
        <f>IF(' car_sales_data 1'!$G1811&gt;40000,"Premium",
 IF(' car_sales_data 1'!$G1811&gt;=20000,"Mid Range","Budget"))</f>
        <v>Mid Range</v>
      </c>
      <c r="L1811" s="13">
        <f>YEAR(TODAY())-' car_sales_data 1'!$F1811</f>
        <v>3</v>
      </c>
    </row>
    <row r="1812" ht="15.75" customHeight="1">
      <c r="A1812" s="16">
        <v>44872.0</v>
      </c>
      <c r="B1812" s="13" t="s">
        <v>3574</v>
      </c>
      <c r="C1812" s="13" t="s">
        <v>3575</v>
      </c>
      <c r="D1812" s="13" t="s">
        <v>12</v>
      </c>
      <c r="E1812" s="13" t="s">
        <v>62</v>
      </c>
      <c r="F1812" s="13">
        <v>2019.0</v>
      </c>
      <c r="G1812" s="13">
        <v>29285.0</v>
      </c>
      <c r="H1812" s="13">
        <v>1632.07</v>
      </c>
      <c r="I1812" s="13">
        <f>' car_sales_data 1'!$G1812*0.2</f>
        <v>5857</v>
      </c>
      <c r="J1812" s="13" t="str">
        <f>TEXT(' car_sales_data 1'!$A1812,"mmmm")</f>
        <v>November</v>
      </c>
      <c r="K1812" s="13" t="str">
        <f>IF(' car_sales_data 1'!$G1812&gt;40000,"Premium",
 IF(' car_sales_data 1'!$G1812&gt;=20000,"Mid Range","Budget"))</f>
        <v>Mid Range</v>
      </c>
      <c r="L1812" s="13">
        <f>YEAR(TODAY())-' car_sales_data 1'!$F1812</f>
        <v>6</v>
      </c>
    </row>
    <row r="1813" ht="15.75" customHeight="1">
      <c r="A1813" s="16">
        <v>45003.0</v>
      </c>
      <c r="B1813" s="13" t="s">
        <v>3576</v>
      </c>
      <c r="C1813" s="13" t="s">
        <v>3577</v>
      </c>
      <c r="D1813" s="13" t="s">
        <v>10</v>
      </c>
      <c r="E1813" s="13" t="s">
        <v>54</v>
      </c>
      <c r="F1813" s="13">
        <v>2022.0</v>
      </c>
      <c r="G1813" s="13">
        <v>28014.0</v>
      </c>
      <c r="H1813" s="13">
        <v>3185.3</v>
      </c>
      <c r="I1813" s="13">
        <f>' car_sales_data 1'!$G1813*0.2</f>
        <v>5602.8</v>
      </c>
      <c r="J1813" s="13" t="str">
        <f>TEXT(' car_sales_data 1'!$A1813,"mmmm")</f>
        <v>March</v>
      </c>
      <c r="K1813" s="13" t="str">
        <f>IF(' car_sales_data 1'!$G1813&gt;40000,"Premium",
 IF(' car_sales_data 1'!$G1813&gt;=20000,"Mid Range","Budget"))</f>
        <v>Mid Range</v>
      </c>
      <c r="L1813" s="13">
        <f>YEAR(TODAY())-' car_sales_data 1'!$F1813</f>
        <v>3</v>
      </c>
    </row>
    <row r="1814" ht="15.75" customHeight="1">
      <c r="A1814" s="16">
        <v>44915.0</v>
      </c>
      <c r="B1814" s="13" t="s">
        <v>3578</v>
      </c>
      <c r="C1814" s="13" t="s">
        <v>3579</v>
      </c>
      <c r="D1814" s="13" t="s">
        <v>8</v>
      </c>
      <c r="E1814" s="13" t="s">
        <v>62</v>
      </c>
      <c r="F1814" s="13">
        <v>2020.0</v>
      </c>
      <c r="G1814" s="13">
        <v>42234.0</v>
      </c>
      <c r="H1814" s="13">
        <v>3157.61</v>
      </c>
      <c r="I1814" s="13">
        <f>' car_sales_data 1'!$G1814*0.2</f>
        <v>8446.8</v>
      </c>
      <c r="J1814" s="13" t="str">
        <f>TEXT(' car_sales_data 1'!$A1814,"mmmm")</f>
        <v>December</v>
      </c>
      <c r="K1814" s="13" t="str">
        <f>IF(' car_sales_data 1'!$G1814&gt;40000,"Premium",
 IF(' car_sales_data 1'!$G1814&gt;=20000,"Mid Range","Budget"))</f>
        <v>Premium</v>
      </c>
      <c r="L1814" s="13">
        <f>YEAR(TODAY())-' car_sales_data 1'!$F1814</f>
        <v>5</v>
      </c>
    </row>
    <row r="1815" ht="15.75" customHeight="1">
      <c r="A1815" s="16">
        <v>45022.0</v>
      </c>
      <c r="B1815" s="13" t="s">
        <v>3580</v>
      </c>
      <c r="C1815" s="13" t="s">
        <v>3581</v>
      </c>
      <c r="D1815" s="13" t="s">
        <v>14</v>
      </c>
      <c r="E1815" s="13" t="s">
        <v>51</v>
      </c>
      <c r="F1815" s="13">
        <v>2011.0</v>
      </c>
      <c r="G1815" s="13">
        <v>18285.0</v>
      </c>
      <c r="H1815" s="13">
        <v>2352.12</v>
      </c>
      <c r="I1815" s="13">
        <f>' car_sales_data 1'!$G1815*0.2</f>
        <v>3657</v>
      </c>
      <c r="J1815" s="13" t="str">
        <f>TEXT(' car_sales_data 1'!$A1815,"mmmm")</f>
        <v>April</v>
      </c>
      <c r="K1815" s="13" t="str">
        <f>IF(' car_sales_data 1'!$G1815&gt;40000,"Premium",
 IF(' car_sales_data 1'!$G1815&gt;=20000,"Mid Range","Budget"))</f>
        <v>Budget</v>
      </c>
      <c r="L1815" s="13">
        <f>YEAR(TODAY())-' car_sales_data 1'!$F1815</f>
        <v>14</v>
      </c>
    </row>
    <row r="1816" ht="15.75" customHeight="1">
      <c r="A1816" s="16">
        <v>44860.0</v>
      </c>
      <c r="B1816" s="13" t="s">
        <v>3582</v>
      </c>
      <c r="C1816" s="13" t="s">
        <v>3583</v>
      </c>
      <c r="D1816" s="13" t="s">
        <v>10</v>
      </c>
      <c r="E1816" s="13" t="s">
        <v>70</v>
      </c>
      <c r="F1816" s="13">
        <v>2012.0</v>
      </c>
      <c r="G1816" s="13">
        <v>30107.0</v>
      </c>
      <c r="H1816" s="13">
        <v>4013.15</v>
      </c>
      <c r="I1816" s="13">
        <f>' car_sales_data 1'!$G1816*0.2</f>
        <v>6021.4</v>
      </c>
      <c r="J1816" s="13" t="str">
        <f>TEXT(' car_sales_data 1'!$A1816,"mmmm")</f>
        <v>October</v>
      </c>
      <c r="K1816" s="13" t="str">
        <f>IF(' car_sales_data 1'!$G1816&gt;40000,"Premium",
 IF(' car_sales_data 1'!$G1816&gt;=20000,"Mid Range","Budget"))</f>
        <v>Mid Range</v>
      </c>
      <c r="L1816" s="13">
        <f>YEAR(TODAY())-' car_sales_data 1'!$F1816</f>
        <v>13</v>
      </c>
    </row>
    <row r="1817" ht="15.75" customHeight="1">
      <c r="A1817" s="16">
        <v>44849.0</v>
      </c>
      <c r="B1817" s="13" t="s">
        <v>3584</v>
      </c>
      <c r="C1817" s="13" t="s">
        <v>3585</v>
      </c>
      <c r="D1817" s="13" t="s">
        <v>6</v>
      </c>
      <c r="E1817" s="13" t="s">
        <v>57</v>
      </c>
      <c r="F1817" s="13">
        <v>2011.0</v>
      </c>
      <c r="G1817" s="13">
        <v>22101.0</v>
      </c>
      <c r="H1817" s="13">
        <v>2475.37</v>
      </c>
      <c r="I1817" s="13">
        <f>' car_sales_data 1'!$G1817*0.2</f>
        <v>4420.2</v>
      </c>
      <c r="J1817" s="13" t="str">
        <f>TEXT(' car_sales_data 1'!$A1817,"mmmm")</f>
        <v>October</v>
      </c>
      <c r="K1817" s="13" t="str">
        <f>IF(' car_sales_data 1'!$G1817&gt;40000,"Premium",
 IF(' car_sales_data 1'!$G1817&gt;=20000,"Mid Range","Budget"))</f>
        <v>Mid Range</v>
      </c>
      <c r="L1817" s="13">
        <f>YEAR(TODAY())-' car_sales_data 1'!$F1817</f>
        <v>14</v>
      </c>
    </row>
    <row r="1818" ht="15.75" customHeight="1">
      <c r="A1818" s="16">
        <v>44917.0</v>
      </c>
      <c r="B1818" s="13" t="s">
        <v>3586</v>
      </c>
      <c r="C1818" s="13" t="s">
        <v>3587</v>
      </c>
      <c r="D1818" s="13" t="s">
        <v>12</v>
      </c>
      <c r="E1818" s="13" t="s">
        <v>70</v>
      </c>
      <c r="F1818" s="13">
        <v>2021.0</v>
      </c>
      <c r="G1818" s="13">
        <v>45673.0</v>
      </c>
      <c r="H1818" s="13">
        <v>2358.53</v>
      </c>
      <c r="I1818" s="13">
        <f>' car_sales_data 1'!$G1818*0.2</f>
        <v>9134.6</v>
      </c>
      <c r="J1818" s="13" t="str">
        <f>TEXT(' car_sales_data 1'!$A1818,"mmmm")</f>
        <v>December</v>
      </c>
      <c r="K1818" s="13" t="str">
        <f>IF(' car_sales_data 1'!$G1818&gt;40000,"Premium",
 IF(' car_sales_data 1'!$G1818&gt;=20000,"Mid Range","Budget"))</f>
        <v>Premium</v>
      </c>
      <c r="L1818" s="13">
        <f>YEAR(TODAY())-' car_sales_data 1'!$F1818</f>
        <v>4</v>
      </c>
    </row>
    <row r="1819" ht="15.75" customHeight="1">
      <c r="A1819" s="16">
        <v>44832.0</v>
      </c>
      <c r="B1819" s="13" t="s">
        <v>3588</v>
      </c>
      <c r="C1819" s="13" t="s">
        <v>3589</v>
      </c>
      <c r="D1819" s="13" t="s">
        <v>6</v>
      </c>
      <c r="E1819" s="13" t="s">
        <v>70</v>
      </c>
      <c r="F1819" s="13">
        <v>2018.0</v>
      </c>
      <c r="G1819" s="13">
        <v>34152.0</v>
      </c>
      <c r="H1819" s="13">
        <v>3504.59</v>
      </c>
      <c r="I1819" s="13">
        <f>' car_sales_data 1'!$G1819*0.2</f>
        <v>6830.4</v>
      </c>
      <c r="J1819" s="13" t="str">
        <f>TEXT(' car_sales_data 1'!$A1819,"mmmm")</f>
        <v>September</v>
      </c>
      <c r="K1819" s="13" t="str">
        <f>IF(' car_sales_data 1'!$G1819&gt;40000,"Premium",
 IF(' car_sales_data 1'!$G1819&gt;=20000,"Mid Range","Budget"))</f>
        <v>Mid Range</v>
      </c>
      <c r="L1819" s="13">
        <f>YEAR(TODAY())-' car_sales_data 1'!$F1819</f>
        <v>7</v>
      </c>
    </row>
    <row r="1820" ht="15.75" customHeight="1">
      <c r="A1820" s="16">
        <v>44722.0</v>
      </c>
      <c r="B1820" s="13" t="s">
        <v>3590</v>
      </c>
      <c r="C1820" s="13" t="s">
        <v>3591</v>
      </c>
      <c r="D1820" s="13" t="s">
        <v>12</v>
      </c>
      <c r="E1820" s="13" t="s">
        <v>57</v>
      </c>
      <c r="F1820" s="13">
        <v>2019.0</v>
      </c>
      <c r="G1820" s="13">
        <v>46836.0</v>
      </c>
      <c r="H1820" s="13">
        <v>3648.03</v>
      </c>
      <c r="I1820" s="13">
        <f>' car_sales_data 1'!$G1820*0.2</f>
        <v>9367.2</v>
      </c>
      <c r="J1820" s="13" t="str">
        <f>TEXT(' car_sales_data 1'!$A1820,"mmmm")</f>
        <v>June</v>
      </c>
      <c r="K1820" s="13" t="str">
        <f>IF(' car_sales_data 1'!$G1820&gt;40000,"Premium",
 IF(' car_sales_data 1'!$G1820&gt;=20000,"Mid Range","Budget"))</f>
        <v>Premium</v>
      </c>
      <c r="L1820" s="13">
        <f>YEAR(TODAY())-' car_sales_data 1'!$F1820</f>
        <v>6</v>
      </c>
    </row>
    <row r="1821" ht="15.75" customHeight="1">
      <c r="A1821" s="16">
        <v>44745.0</v>
      </c>
      <c r="B1821" s="13" t="s">
        <v>3592</v>
      </c>
      <c r="C1821" s="13" t="s">
        <v>3593</v>
      </c>
      <c r="D1821" s="13" t="s">
        <v>8</v>
      </c>
      <c r="E1821" s="13" t="s">
        <v>70</v>
      </c>
      <c r="F1821" s="13">
        <v>2015.0</v>
      </c>
      <c r="G1821" s="13">
        <v>22865.0</v>
      </c>
      <c r="H1821" s="13">
        <v>1714.38</v>
      </c>
      <c r="I1821" s="13">
        <f>' car_sales_data 1'!$G1821*0.2</f>
        <v>4573</v>
      </c>
      <c r="J1821" s="13" t="str">
        <f>TEXT(' car_sales_data 1'!$A1821,"mmmm")</f>
        <v>July</v>
      </c>
      <c r="K1821" s="13" t="str">
        <f>IF(' car_sales_data 1'!$G1821&gt;40000,"Premium",
 IF(' car_sales_data 1'!$G1821&gt;=20000,"Mid Range","Budget"))</f>
        <v>Mid Range</v>
      </c>
      <c r="L1821" s="13">
        <f>YEAR(TODAY())-' car_sales_data 1'!$F1821</f>
        <v>10</v>
      </c>
    </row>
    <row r="1822" ht="15.75" customHeight="1">
      <c r="A1822" s="16">
        <v>44740.0</v>
      </c>
      <c r="B1822" s="13" t="s">
        <v>3594</v>
      </c>
      <c r="C1822" s="13" t="s">
        <v>3595</v>
      </c>
      <c r="D1822" s="13" t="s">
        <v>10</v>
      </c>
      <c r="E1822" s="13" t="s">
        <v>57</v>
      </c>
      <c r="F1822" s="13">
        <v>2022.0</v>
      </c>
      <c r="G1822" s="13">
        <v>29453.0</v>
      </c>
      <c r="H1822" s="13">
        <v>2525.15</v>
      </c>
      <c r="I1822" s="13">
        <f>' car_sales_data 1'!$G1822*0.2</f>
        <v>5890.6</v>
      </c>
      <c r="J1822" s="13" t="str">
        <f>TEXT(' car_sales_data 1'!$A1822,"mmmm")</f>
        <v>June</v>
      </c>
      <c r="K1822" s="13" t="str">
        <f>IF(' car_sales_data 1'!$G1822&gt;40000,"Premium",
 IF(' car_sales_data 1'!$G1822&gt;=20000,"Mid Range","Budget"))</f>
        <v>Mid Range</v>
      </c>
      <c r="L1822" s="13">
        <f>YEAR(TODAY())-' car_sales_data 1'!$F1822</f>
        <v>3</v>
      </c>
    </row>
    <row r="1823" ht="15.75" customHeight="1">
      <c r="A1823" s="16">
        <v>44706.0</v>
      </c>
      <c r="B1823" s="13" t="s">
        <v>3596</v>
      </c>
      <c r="C1823" s="13" t="s">
        <v>3597</v>
      </c>
      <c r="D1823" s="13" t="s">
        <v>8</v>
      </c>
      <c r="E1823" s="13" t="s">
        <v>70</v>
      </c>
      <c r="F1823" s="13">
        <v>2017.0</v>
      </c>
      <c r="G1823" s="13">
        <v>46220.0</v>
      </c>
      <c r="H1823" s="13">
        <v>3015.67</v>
      </c>
      <c r="I1823" s="13">
        <f>' car_sales_data 1'!$G1823*0.2</f>
        <v>9244</v>
      </c>
      <c r="J1823" s="13" t="str">
        <f>TEXT(' car_sales_data 1'!$A1823,"mmmm")</f>
        <v>May</v>
      </c>
      <c r="K1823" s="13" t="str">
        <f>IF(' car_sales_data 1'!$G1823&gt;40000,"Premium",
 IF(' car_sales_data 1'!$G1823&gt;=20000,"Mid Range","Budget"))</f>
        <v>Premium</v>
      </c>
      <c r="L1823" s="13">
        <f>YEAR(TODAY())-' car_sales_data 1'!$F1823</f>
        <v>8</v>
      </c>
    </row>
    <row r="1824" ht="15.75" customHeight="1">
      <c r="A1824" s="16">
        <v>44805.0</v>
      </c>
      <c r="B1824" s="13" t="s">
        <v>3598</v>
      </c>
      <c r="C1824" s="13" t="s">
        <v>3599</v>
      </c>
      <c r="D1824" s="13" t="s">
        <v>8</v>
      </c>
      <c r="E1824" s="13" t="s">
        <v>57</v>
      </c>
      <c r="F1824" s="13">
        <v>2017.0</v>
      </c>
      <c r="G1824" s="13">
        <v>30535.0</v>
      </c>
      <c r="H1824" s="13">
        <v>4538.77</v>
      </c>
      <c r="I1824" s="13">
        <f>' car_sales_data 1'!$G1824*0.2</f>
        <v>6107</v>
      </c>
      <c r="J1824" s="13" t="str">
        <f>TEXT(' car_sales_data 1'!$A1824,"mmmm")</f>
        <v>September</v>
      </c>
      <c r="K1824" s="13" t="str">
        <f>IF(' car_sales_data 1'!$G1824&gt;40000,"Premium",
 IF(' car_sales_data 1'!$G1824&gt;=20000,"Mid Range","Budget"))</f>
        <v>Mid Range</v>
      </c>
      <c r="L1824" s="13">
        <f>YEAR(TODAY())-' car_sales_data 1'!$F1824</f>
        <v>8</v>
      </c>
    </row>
    <row r="1825" ht="15.75" customHeight="1">
      <c r="A1825" s="16">
        <v>44804.0</v>
      </c>
      <c r="B1825" s="13" t="s">
        <v>3600</v>
      </c>
      <c r="C1825" s="13" t="s">
        <v>3601</v>
      </c>
      <c r="D1825" s="13" t="s">
        <v>10</v>
      </c>
      <c r="E1825" s="13" t="s">
        <v>51</v>
      </c>
      <c r="F1825" s="13">
        <v>2012.0</v>
      </c>
      <c r="G1825" s="13">
        <v>16372.0</v>
      </c>
      <c r="H1825" s="13">
        <v>1633.65</v>
      </c>
      <c r="I1825" s="13">
        <f>' car_sales_data 1'!$G1825*0.2</f>
        <v>3274.4</v>
      </c>
      <c r="J1825" s="13" t="str">
        <f>TEXT(' car_sales_data 1'!$A1825,"mmmm")</f>
        <v>August</v>
      </c>
      <c r="K1825" s="13" t="str">
        <f>IF(' car_sales_data 1'!$G1825&gt;40000,"Premium",
 IF(' car_sales_data 1'!$G1825&gt;=20000,"Mid Range","Budget"))</f>
        <v>Budget</v>
      </c>
      <c r="L1825" s="13">
        <f>YEAR(TODAY())-' car_sales_data 1'!$F1825</f>
        <v>13</v>
      </c>
    </row>
    <row r="1826" ht="15.75" customHeight="1">
      <c r="A1826" s="16">
        <v>44917.0</v>
      </c>
      <c r="B1826" s="13" t="s">
        <v>3602</v>
      </c>
      <c r="C1826" s="13" t="s">
        <v>3603</v>
      </c>
      <c r="D1826" s="13" t="s">
        <v>14</v>
      </c>
      <c r="E1826" s="13" t="s">
        <v>51</v>
      </c>
      <c r="F1826" s="13">
        <v>2016.0</v>
      </c>
      <c r="G1826" s="13">
        <v>43647.0</v>
      </c>
      <c r="H1826" s="13">
        <v>2415.45</v>
      </c>
      <c r="I1826" s="13">
        <f>' car_sales_data 1'!$G1826*0.2</f>
        <v>8729.4</v>
      </c>
      <c r="J1826" s="13" t="str">
        <f>TEXT(' car_sales_data 1'!$A1826,"mmmm")</f>
        <v>December</v>
      </c>
      <c r="K1826" s="13" t="str">
        <f>IF(' car_sales_data 1'!$G1826&gt;40000,"Premium",
 IF(' car_sales_data 1'!$G1826&gt;=20000,"Mid Range","Budget"))</f>
        <v>Premium</v>
      </c>
      <c r="L1826" s="13">
        <f>YEAR(TODAY())-' car_sales_data 1'!$F1826</f>
        <v>9</v>
      </c>
    </row>
    <row r="1827" ht="15.75" customHeight="1">
      <c r="A1827" s="16">
        <v>45019.0</v>
      </c>
      <c r="B1827" s="13" t="s">
        <v>3604</v>
      </c>
      <c r="C1827" s="13" t="s">
        <v>3605</v>
      </c>
      <c r="D1827" s="13" t="s">
        <v>12</v>
      </c>
      <c r="E1827" s="13" t="s">
        <v>70</v>
      </c>
      <c r="F1827" s="13">
        <v>2019.0</v>
      </c>
      <c r="G1827" s="13">
        <v>45909.0</v>
      </c>
      <c r="H1827" s="13">
        <v>2543.54</v>
      </c>
      <c r="I1827" s="13">
        <f>' car_sales_data 1'!$G1827*0.2</f>
        <v>9181.8</v>
      </c>
      <c r="J1827" s="13" t="str">
        <f>TEXT(' car_sales_data 1'!$A1827,"mmmm")</f>
        <v>April</v>
      </c>
      <c r="K1827" s="13" t="str">
        <f>IF(' car_sales_data 1'!$G1827&gt;40000,"Premium",
 IF(' car_sales_data 1'!$G1827&gt;=20000,"Mid Range","Budget"))</f>
        <v>Premium</v>
      </c>
      <c r="L1827" s="13">
        <f>YEAR(TODAY())-' car_sales_data 1'!$F1827</f>
        <v>6</v>
      </c>
    </row>
    <row r="1828" ht="15.75" customHeight="1">
      <c r="A1828" s="16">
        <v>44998.0</v>
      </c>
      <c r="B1828" s="13" t="s">
        <v>3606</v>
      </c>
      <c r="C1828" s="13" t="s">
        <v>3607</v>
      </c>
      <c r="D1828" s="13" t="s">
        <v>6</v>
      </c>
      <c r="E1828" s="13" t="s">
        <v>54</v>
      </c>
      <c r="F1828" s="13">
        <v>2019.0</v>
      </c>
      <c r="G1828" s="13">
        <v>31115.0</v>
      </c>
      <c r="H1828" s="13">
        <v>2873.09</v>
      </c>
      <c r="I1828" s="13">
        <f>' car_sales_data 1'!$G1828*0.2</f>
        <v>6223</v>
      </c>
      <c r="J1828" s="13" t="str">
        <f>TEXT(' car_sales_data 1'!$A1828,"mmmm")</f>
        <v>March</v>
      </c>
      <c r="K1828" s="13" t="str">
        <f>IF(' car_sales_data 1'!$G1828&gt;40000,"Premium",
 IF(' car_sales_data 1'!$G1828&gt;=20000,"Mid Range","Budget"))</f>
        <v>Mid Range</v>
      </c>
      <c r="L1828" s="13">
        <f>YEAR(TODAY())-' car_sales_data 1'!$F1828</f>
        <v>6</v>
      </c>
    </row>
    <row r="1829" ht="15.75" customHeight="1">
      <c r="A1829" s="16">
        <v>44802.0</v>
      </c>
      <c r="B1829" s="13" t="s">
        <v>3608</v>
      </c>
      <c r="C1829" s="13" t="s">
        <v>3609</v>
      </c>
      <c r="D1829" s="13" t="s">
        <v>8</v>
      </c>
      <c r="E1829" s="13" t="s">
        <v>70</v>
      </c>
      <c r="F1829" s="13">
        <v>2020.0</v>
      </c>
      <c r="G1829" s="13">
        <v>34243.0</v>
      </c>
      <c r="H1829" s="13">
        <v>3535.81</v>
      </c>
      <c r="I1829" s="13">
        <f>' car_sales_data 1'!$G1829*0.2</f>
        <v>6848.6</v>
      </c>
      <c r="J1829" s="13" t="str">
        <f>TEXT(' car_sales_data 1'!$A1829,"mmmm")</f>
        <v>August</v>
      </c>
      <c r="K1829" s="13" t="str">
        <f>IF(' car_sales_data 1'!$G1829&gt;40000,"Premium",
 IF(' car_sales_data 1'!$G1829&gt;=20000,"Mid Range","Budget"))</f>
        <v>Mid Range</v>
      </c>
      <c r="L1829" s="13">
        <f>YEAR(TODAY())-' car_sales_data 1'!$F1829</f>
        <v>5</v>
      </c>
    </row>
    <row r="1830" ht="15.75" customHeight="1">
      <c r="A1830" s="16">
        <v>44775.0</v>
      </c>
      <c r="B1830" s="13" t="s">
        <v>3610</v>
      </c>
      <c r="C1830" s="13" t="s">
        <v>3611</v>
      </c>
      <c r="D1830" s="13" t="s">
        <v>10</v>
      </c>
      <c r="E1830" s="13" t="s">
        <v>62</v>
      </c>
      <c r="F1830" s="13">
        <v>2014.0</v>
      </c>
      <c r="G1830" s="13">
        <v>39092.0</v>
      </c>
      <c r="H1830" s="13">
        <v>3732.44</v>
      </c>
      <c r="I1830" s="13">
        <f>' car_sales_data 1'!$G1830*0.2</f>
        <v>7818.4</v>
      </c>
      <c r="J1830" s="13" t="str">
        <f>TEXT(' car_sales_data 1'!$A1830,"mmmm")</f>
        <v>August</v>
      </c>
      <c r="K1830" s="13" t="str">
        <f>IF(' car_sales_data 1'!$G1830&gt;40000,"Premium",
 IF(' car_sales_data 1'!$G1830&gt;=20000,"Mid Range","Budget"))</f>
        <v>Mid Range</v>
      </c>
      <c r="L1830" s="13">
        <f>YEAR(TODAY())-' car_sales_data 1'!$F1830</f>
        <v>11</v>
      </c>
    </row>
    <row r="1831" ht="15.75" customHeight="1">
      <c r="A1831" s="16">
        <v>44748.0</v>
      </c>
      <c r="B1831" s="13" t="s">
        <v>3612</v>
      </c>
      <c r="C1831" s="13" t="s">
        <v>3613</v>
      </c>
      <c r="D1831" s="13" t="s">
        <v>10</v>
      </c>
      <c r="E1831" s="13" t="s">
        <v>57</v>
      </c>
      <c r="F1831" s="13">
        <v>2015.0</v>
      </c>
      <c r="G1831" s="13">
        <v>18721.0</v>
      </c>
      <c r="H1831" s="13">
        <v>2451.0</v>
      </c>
      <c r="I1831" s="13">
        <f>' car_sales_data 1'!$G1831*0.2</f>
        <v>3744.2</v>
      </c>
      <c r="J1831" s="13" t="str">
        <f>TEXT(' car_sales_data 1'!$A1831,"mmmm")</f>
        <v>July</v>
      </c>
      <c r="K1831" s="13" t="str">
        <f>IF(' car_sales_data 1'!$G1831&gt;40000,"Premium",
 IF(' car_sales_data 1'!$G1831&gt;=20000,"Mid Range","Budget"))</f>
        <v>Budget</v>
      </c>
      <c r="L1831" s="13">
        <f>YEAR(TODAY())-' car_sales_data 1'!$F1831</f>
        <v>10</v>
      </c>
    </row>
    <row r="1832" ht="15.75" customHeight="1">
      <c r="A1832" s="16">
        <v>45028.0</v>
      </c>
      <c r="B1832" s="13" t="s">
        <v>3614</v>
      </c>
      <c r="C1832" s="13" t="s">
        <v>3615</v>
      </c>
      <c r="D1832" s="13" t="s">
        <v>12</v>
      </c>
      <c r="E1832" s="13" t="s">
        <v>62</v>
      </c>
      <c r="F1832" s="13">
        <v>2017.0</v>
      </c>
      <c r="G1832" s="13">
        <v>45730.0</v>
      </c>
      <c r="H1832" s="13">
        <v>5237.33</v>
      </c>
      <c r="I1832" s="13">
        <f>' car_sales_data 1'!$G1832*0.2</f>
        <v>9146</v>
      </c>
      <c r="J1832" s="13" t="str">
        <f>TEXT(' car_sales_data 1'!$A1832,"mmmm")</f>
        <v>April</v>
      </c>
      <c r="K1832" s="13" t="str">
        <f>IF(' car_sales_data 1'!$G1832&gt;40000,"Premium",
 IF(' car_sales_data 1'!$G1832&gt;=20000,"Mid Range","Budget"))</f>
        <v>Premium</v>
      </c>
      <c r="L1832" s="13">
        <f>YEAR(TODAY())-' car_sales_data 1'!$F1832</f>
        <v>8</v>
      </c>
    </row>
    <row r="1833" ht="15.75" customHeight="1">
      <c r="A1833" s="16">
        <v>45031.0</v>
      </c>
      <c r="B1833" s="13" t="s">
        <v>3616</v>
      </c>
      <c r="C1833" s="13" t="s">
        <v>3617</v>
      </c>
      <c r="D1833" s="13" t="s">
        <v>8</v>
      </c>
      <c r="E1833" s="13" t="s">
        <v>70</v>
      </c>
      <c r="F1833" s="13">
        <v>2018.0</v>
      </c>
      <c r="G1833" s="13">
        <v>42237.0</v>
      </c>
      <c r="H1833" s="13">
        <v>6141.77</v>
      </c>
      <c r="I1833" s="13">
        <f>' car_sales_data 1'!$G1833*0.2</f>
        <v>8447.4</v>
      </c>
      <c r="J1833" s="13" t="str">
        <f>TEXT(' car_sales_data 1'!$A1833,"mmmm")</f>
        <v>April</v>
      </c>
      <c r="K1833" s="13" t="str">
        <f>IF(' car_sales_data 1'!$G1833&gt;40000,"Premium",
 IF(' car_sales_data 1'!$G1833&gt;=20000,"Mid Range","Budget"))</f>
        <v>Premium</v>
      </c>
      <c r="L1833" s="13">
        <f>YEAR(TODAY())-' car_sales_data 1'!$F1833</f>
        <v>7</v>
      </c>
    </row>
    <row r="1834" ht="15.75" customHeight="1">
      <c r="A1834" s="16">
        <v>44790.0</v>
      </c>
      <c r="B1834" s="13" t="s">
        <v>3618</v>
      </c>
      <c r="C1834" s="13" t="s">
        <v>3619</v>
      </c>
      <c r="D1834" s="13" t="s">
        <v>14</v>
      </c>
      <c r="E1834" s="13" t="s">
        <v>62</v>
      </c>
      <c r="F1834" s="13">
        <v>2016.0</v>
      </c>
      <c r="G1834" s="13">
        <v>25707.0</v>
      </c>
      <c r="H1834" s="13">
        <v>2483.82</v>
      </c>
      <c r="I1834" s="13">
        <f>' car_sales_data 1'!$G1834*0.2</f>
        <v>5141.4</v>
      </c>
      <c r="J1834" s="13" t="str">
        <f>TEXT(' car_sales_data 1'!$A1834,"mmmm")</f>
        <v>August</v>
      </c>
      <c r="K1834" s="13" t="str">
        <f>IF(' car_sales_data 1'!$G1834&gt;40000,"Premium",
 IF(' car_sales_data 1'!$G1834&gt;=20000,"Mid Range","Budget"))</f>
        <v>Mid Range</v>
      </c>
      <c r="L1834" s="13">
        <f>YEAR(TODAY())-' car_sales_data 1'!$F1834</f>
        <v>9</v>
      </c>
    </row>
    <row r="1835" ht="15.75" customHeight="1">
      <c r="A1835" s="16">
        <v>44914.0</v>
      </c>
      <c r="B1835" s="13" t="s">
        <v>3620</v>
      </c>
      <c r="C1835" s="13" t="s">
        <v>3621</v>
      </c>
      <c r="D1835" s="13" t="s">
        <v>8</v>
      </c>
      <c r="E1835" s="13" t="s">
        <v>57</v>
      </c>
      <c r="F1835" s="13">
        <v>2015.0</v>
      </c>
      <c r="G1835" s="13">
        <v>40445.0</v>
      </c>
      <c r="H1835" s="13">
        <v>4190.1</v>
      </c>
      <c r="I1835" s="13">
        <f>' car_sales_data 1'!$G1835*0.2</f>
        <v>8089</v>
      </c>
      <c r="J1835" s="13" t="str">
        <f>TEXT(' car_sales_data 1'!$A1835,"mmmm")</f>
        <v>December</v>
      </c>
      <c r="K1835" s="13" t="str">
        <f>IF(' car_sales_data 1'!$G1835&gt;40000,"Premium",
 IF(' car_sales_data 1'!$G1835&gt;=20000,"Mid Range","Budget"))</f>
        <v>Premium</v>
      </c>
      <c r="L1835" s="13">
        <f>YEAR(TODAY())-' car_sales_data 1'!$F1835</f>
        <v>10</v>
      </c>
    </row>
    <row r="1836" ht="15.75" customHeight="1">
      <c r="A1836" s="16">
        <v>44749.0</v>
      </c>
      <c r="B1836" s="13" t="s">
        <v>1463</v>
      </c>
      <c r="C1836" s="13" t="s">
        <v>3622</v>
      </c>
      <c r="D1836" s="13" t="s">
        <v>14</v>
      </c>
      <c r="E1836" s="13" t="s">
        <v>62</v>
      </c>
      <c r="F1836" s="13">
        <v>2020.0</v>
      </c>
      <c r="G1836" s="13">
        <v>35924.0</v>
      </c>
      <c r="H1836" s="13">
        <v>5311.87</v>
      </c>
      <c r="I1836" s="13">
        <f>' car_sales_data 1'!$G1836*0.2</f>
        <v>7184.8</v>
      </c>
      <c r="J1836" s="13" t="str">
        <f>TEXT(' car_sales_data 1'!$A1836,"mmmm")</f>
        <v>July</v>
      </c>
      <c r="K1836" s="13" t="str">
        <f>IF(' car_sales_data 1'!$G1836&gt;40000,"Premium",
 IF(' car_sales_data 1'!$G1836&gt;=20000,"Mid Range","Budget"))</f>
        <v>Mid Range</v>
      </c>
      <c r="L1836" s="13">
        <f>YEAR(TODAY())-' car_sales_data 1'!$F1836</f>
        <v>5</v>
      </c>
    </row>
    <row r="1837" ht="15.75" customHeight="1">
      <c r="A1837" s="16">
        <v>44777.0</v>
      </c>
      <c r="B1837" s="13" t="s">
        <v>3623</v>
      </c>
      <c r="C1837" s="13" t="s">
        <v>3624</v>
      </c>
      <c r="D1837" s="13" t="s">
        <v>8</v>
      </c>
      <c r="E1837" s="13" t="s">
        <v>62</v>
      </c>
      <c r="F1837" s="13">
        <v>2018.0</v>
      </c>
      <c r="G1837" s="13">
        <v>35573.0</v>
      </c>
      <c r="H1837" s="13">
        <v>2719.39</v>
      </c>
      <c r="I1837" s="13">
        <f>' car_sales_data 1'!$G1837*0.2</f>
        <v>7114.6</v>
      </c>
      <c r="J1837" s="13" t="str">
        <f>TEXT(' car_sales_data 1'!$A1837,"mmmm")</f>
        <v>August</v>
      </c>
      <c r="K1837" s="13" t="str">
        <f>IF(' car_sales_data 1'!$G1837&gt;40000,"Premium",
 IF(' car_sales_data 1'!$G1837&gt;=20000,"Mid Range","Budget"))</f>
        <v>Mid Range</v>
      </c>
      <c r="L1837" s="13">
        <f>YEAR(TODAY())-' car_sales_data 1'!$F1837</f>
        <v>7</v>
      </c>
    </row>
    <row r="1838" ht="15.75" customHeight="1">
      <c r="A1838" s="16">
        <v>44920.0</v>
      </c>
      <c r="B1838" s="13" t="s">
        <v>3625</v>
      </c>
      <c r="C1838" s="13" t="s">
        <v>3626</v>
      </c>
      <c r="D1838" s="13" t="s">
        <v>14</v>
      </c>
      <c r="E1838" s="13" t="s">
        <v>70</v>
      </c>
      <c r="F1838" s="13">
        <v>2017.0</v>
      </c>
      <c r="G1838" s="13">
        <v>43702.0</v>
      </c>
      <c r="H1838" s="13">
        <v>3322.51</v>
      </c>
      <c r="I1838" s="13">
        <f>' car_sales_data 1'!$G1838*0.2</f>
        <v>8740.4</v>
      </c>
      <c r="J1838" s="13" t="str">
        <f>TEXT(' car_sales_data 1'!$A1838,"mmmm")</f>
        <v>December</v>
      </c>
      <c r="K1838" s="13" t="str">
        <f>IF(' car_sales_data 1'!$G1838&gt;40000,"Premium",
 IF(' car_sales_data 1'!$G1838&gt;=20000,"Mid Range","Budget"))</f>
        <v>Premium</v>
      </c>
      <c r="L1838" s="13">
        <f>YEAR(TODAY())-' car_sales_data 1'!$F1838</f>
        <v>8</v>
      </c>
    </row>
    <row r="1839" ht="15.75" customHeight="1">
      <c r="A1839" s="16">
        <v>45012.0</v>
      </c>
      <c r="B1839" s="13" t="s">
        <v>3627</v>
      </c>
      <c r="C1839" s="13" t="s">
        <v>3628</v>
      </c>
      <c r="D1839" s="13" t="s">
        <v>10</v>
      </c>
      <c r="E1839" s="13" t="s">
        <v>54</v>
      </c>
      <c r="F1839" s="13">
        <v>2017.0</v>
      </c>
      <c r="G1839" s="13">
        <v>41448.0</v>
      </c>
      <c r="H1839" s="13">
        <v>2163.88</v>
      </c>
      <c r="I1839" s="13">
        <f>' car_sales_data 1'!$G1839*0.2</f>
        <v>8289.6</v>
      </c>
      <c r="J1839" s="13" t="str">
        <f>TEXT(' car_sales_data 1'!$A1839,"mmmm")</f>
        <v>March</v>
      </c>
      <c r="K1839" s="13" t="str">
        <f>IF(' car_sales_data 1'!$G1839&gt;40000,"Premium",
 IF(' car_sales_data 1'!$G1839&gt;=20000,"Mid Range","Budget"))</f>
        <v>Premium</v>
      </c>
      <c r="L1839" s="13">
        <f>YEAR(TODAY())-' car_sales_data 1'!$F1839</f>
        <v>8</v>
      </c>
    </row>
    <row r="1840" ht="15.75" customHeight="1">
      <c r="A1840" s="16">
        <v>44848.0</v>
      </c>
      <c r="B1840" s="13" t="s">
        <v>3629</v>
      </c>
      <c r="C1840" s="13" t="s">
        <v>3630</v>
      </c>
      <c r="D1840" s="13" t="s">
        <v>8</v>
      </c>
      <c r="E1840" s="13" t="s">
        <v>62</v>
      </c>
      <c r="F1840" s="13">
        <v>2012.0</v>
      </c>
      <c r="G1840" s="13">
        <v>25131.0</v>
      </c>
      <c r="H1840" s="13">
        <v>2761.71</v>
      </c>
      <c r="I1840" s="13">
        <f>' car_sales_data 1'!$G1840*0.2</f>
        <v>5026.2</v>
      </c>
      <c r="J1840" s="13" t="str">
        <f>TEXT(' car_sales_data 1'!$A1840,"mmmm")</f>
        <v>October</v>
      </c>
      <c r="K1840" s="13" t="str">
        <f>IF(' car_sales_data 1'!$G1840&gt;40000,"Premium",
 IF(' car_sales_data 1'!$G1840&gt;=20000,"Mid Range","Budget"))</f>
        <v>Mid Range</v>
      </c>
      <c r="L1840" s="13">
        <f>YEAR(TODAY())-' car_sales_data 1'!$F1840</f>
        <v>13</v>
      </c>
    </row>
    <row r="1841" ht="15.75" customHeight="1">
      <c r="A1841" s="16">
        <v>45038.0</v>
      </c>
      <c r="B1841" s="13" t="s">
        <v>3631</v>
      </c>
      <c r="C1841" s="13" t="s">
        <v>3632</v>
      </c>
      <c r="D1841" s="13" t="s">
        <v>8</v>
      </c>
      <c r="E1841" s="13" t="s">
        <v>62</v>
      </c>
      <c r="F1841" s="13">
        <v>2017.0</v>
      </c>
      <c r="G1841" s="13">
        <v>41602.0</v>
      </c>
      <c r="H1841" s="13">
        <v>4029.5</v>
      </c>
      <c r="I1841" s="13">
        <f>' car_sales_data 1'!$G1841*0.2</f>
        <v>8320.4</v>
      </c>
      <c r="J1841" s="13" t="str">
        <f>TEXT(' car_sales_data 1'!$A1841,"mmmm")</f>
        <v>April</v>
      </c>
      <c r="K1841" s="13" t="str">
        <f>IF(' car_sales_data 1'!$G1841&gt;40000,"Premium",
 IF(' car_sales_data 1'!$G1841&gt;=20000,"Mid Range","Budget"))</f>
        <v>Premium</v>
      </c>
      <c r="L1841" s="13">
        <f>YEAR(TODAY())-' car_sales_data 1'!$F1841</f>
        <v>8</v>
      </c>
    </row>
    <row r="1842" ht="15.75" customHeight="1">
      <c r="A1842" s="16">
        <v>44781.0</v>
      </c>
      <c r="B1842" s="13" t="s">
        <v>3633</v>
      </c>
      <c r="C1842" s="13" t="s">
        <v>3634</v>
      </c>
      <c r="D1842" s="13" t="s">
        <v>12</v>
      </c>
      <c r="E1842" s="13" t="s">
        <v>57</v>
      </c>
      <c r="F1842" s="13">
        <v>2016.0</v>
      </c>
      <c r="G1842" s="13">
        <v>27582.0</v>
      </c>
      <c r="H1842" s="13">
        <v>3537.55</v>
      </c>
      <c r="I1842" s="13">
        <f>' car_sales_data 1'!$G1842*0.2</f>
        <v>5516.4</v>
      </c>
      <c r="J1842" s="13" t="str">
        <f>TEXT(' car_sales_data 1'!$A1842,"mmmm")</f>
        <v>August</v>
      </c>
      <c r="K1842" s="13" t="str">
        <f>IF(' car_sales_data 1'!$G1842&gt;40000,"Premium",
 IF(' car_sales_data 1'!$G1842&gt;=20000,"Mid Range","Budget"))</f>
        <v>Mid Range</v>
      </c>
      <c r="L1842" s="13">
        <f>YEAR(TODAY())-' car_sales_data 1'!$F1842</f>
        <v>9</v>
      </c>
    </row>
    <row r="1843" ht="15.75" customHeight="1">
      <c r="A1843" s="16">
        <v>44833.0</v>
      </c>
      <c r="B1843" s="13" t="s">
        <v>3635</v>
      </c>
      <c r="C1843" s="13" t="s">
        <v>3636</v>
      </c>
      <c r="D1843" s="13" t="s">
        <v>8</v>
      </c>
      <c r="E1843" s="13" t="s">
        <v>62</v>
      </c>
      <c r="F1843" s="13">
        <v>2012.0</v>
      </c>
      <c r="G1843" s="13">
        <v>21886.0</v>
      </c>
      <c r="H1843" s="13">
        <v>2809.67</v>
      </c>
      <c r="I1843" s="13">
        <f>' car_sales_data 1'!$G1843*0.2</f>
        <v>4377.2</v>
      </c>
      <c r="J1843" s="13" t="str">
        <f>TEXT(' car_sales_data 1'!$A1843,"mmmm")</f>
        <v>September</v>
      </c>
      <c r="K1843" s="13" t="str">
        <f>IF(' car_sales_data 1'!$G1843&gt;40000,"Premium",
 IF(' car_sales_data 1'!$G1843&gt;=20000,"Mid Range","Budget"))</f>
        <v>Mid Range</v>
      </c>
      <c r="L1843" s="13">
        <f>YEAR(TODAY())-' car_sales_data 1'!$F1843</f>
        <v>13</v>
      </c>
    </row>
    <row r="1844" ht="15.75" customHeight="1">
      <c r="A1844" s="16">
        <v>44987.0</v>
      </c>
      <c r="B1844" s="13" t="s">
        <v>3637</v>
      </c>
      <c r="C1844" s="13" t="s">
        <v>3638</v>
      </c>
      <c r="D1844" s="13" t="s">
        <v>12</v>
      </c>
      <c r="E1844" s="13" t="s">
        <v>51</v>
      </c>
      <c r="F1844" s="13">
        <v>2016.0</v>
      </c>
      <c r="G1844" s="13">
        <v>33830.0</v>
      </c>
      <c r="H1844" s="13">
        <v>2107.32</v>
      </c>
      <c r="I1844" s="13">
        <f>' car_sales_data 1'!$G1844*0.2</f>
        <v>6766</v>
      </c>
      <c r="J1844" s="13" t="str">
        <f>TEXT(' car_sales_data 1'!$A1844,"mmmm")</f>
        <v>March</v>
      </c>
      <c r="K1844" s="13" t="str">
        <f>IF(' car_sales_data 1'!$G1844&gt;40000,"Premium",
 IF(' car_sales_data 1'!$G1844&gt;=20000,"Mid Range","Budget"))</f>
        <v>Mid Range</v>
      </c>
      <c r="L1844" s="13">
        <f>YEAR(TODAY())-' car_sales_data 1'!$F1844</f>
        <v>9</v>
      </c>
    </row>
    <row r="1845" ht="15.75" customHeight="1">
      <c r="A1845" s="16">
        <v>44732.0</v>
      </c>
      <c r="B1845" s="13" t="s">
        <v>3639</v>
      </c>
      <c r="C1845" s="13" t="s">
        <v>3640</v>
      </c>
      <c r="D1845" s="13" t="s">
        <v>14</v>
      </c>
      <c r="E1845" s="13" t="s">
        <v>51</v>
      </c>
      <c r="F1845" s="13">
        <v>2021.0</v>
      </c>
      <c r="G1845" s="13">
        <v>46815.0</v>
      </c>
      <c r="H1845" s="13">
        <v>4606.91</v>
      </c>
      <c r="I1845" s="13">
        <f>' car_sales_data 1'!$G1845*0.2</f>
        <v>9363</v>
      </c>
      <c r="J1845" s="13" t="str">
        <f>TEXT(' car_sales_data 1'!$A1845,"mmmm")</f>
        <v>June</v>
      </c>
      <c r="K1845" s="13" t="str">
        <f>IF(' car_sales_data 1'!$G1845&gt;40000,"Premium",
 IF(' car_sales_data 1'!$G1845&gt;=20000,"Mid Range","Budget"))</f>
        <v>Premium</v>
      </c>
      <c r="L1845" s="13">
        <f>YEAR(TODAY())-' car_sales_data 1'!$F1845</f>
        <v>4</v>
      </c>
    </row>
    <row r="1846" ht="15.75" customHeight="1">
      <c r="A1846" s="16">
        <v>44971.0</v>
      </c>
      <c r="B1846" s="13" t="s">
        <v>3641</v>
      </c>
      <c r="C1846" s="13" t="s">
        <v>3642</v>
      </c>
      <c r="D1846" s="13" t="s">
        <v>12</v>
      </c>
      <c r="E1846" s="13" t="s">
        <v>57</v>
      </c>
      <c r="F1846" s="13">
        <v>2010.0</v>
      </c>
      <c r="G1846" s="13">
        <v>19921.0</v>
      </c>
      <c r="H1846" s="13">
        <v>2759.93</v>
      </c>
      <c r="I1846" s="13">
        <f>' car_sales_data 1'!$G1846*0.2</f>
        <v>3984.2</v>
      </c>
      <c r="J1846" s="13" t="str">
        <f>TEXT(' car_sales_data 1'!$A1846,"mmmm")</f>
        <v>February</v>
      </c>
      <c r="K1846" s="13" t="str">
        <f>IF(' car_sales_data 1'!$G1846&gt;40000,"Premium",
 IF(' car_sales_data 1'!$G1846&gt;=20000,"Mid Range","Budget"))</f>
        <v>Budget</v>
      </c>
      <c r="L1846" s="13">
        <f>YEAR(TODAY())-' car_sales_data 1'!$F1846</f>
        <v>15</v>
      </c>
    </row>
    <row r="1847" ht="15.75" customHeight="1">
      <c r="A1847" s="16">
        <v>44690.0</v>
      </c>
      <c r="B1847" s="13" t="s">
        <v>3643</v>
      </c>
      <c r="C1847" s="13" t="s">
        <v>3644</v>
      </c>
      <c r="D1847" s="13" t="s">
        <v>10</v>
      </c>
      <c r="E1847" s="13" t="s">
        <v>57</v>
      </c>
      <c r="F1847" s="13">
        <v>2010.0</v>
      </c>
      <c r="G1847" s="13">
        <v>46846.0</v>
      </c>
      <c r="H1847" s="13">
        <v>5094.7</v>
      </c>
      <c r="I1847" s="13">
        <f>' car_sales_data 1'!$G1847*0.2</f>
        <v>9369.2</v>
      </c>
      <c r="J1847" s="13" t="str">
        <f>TEXT(' car_sales_data 1'!$A1847,"mmmm")</f>
        <v>May</v>
      </c>
      <c r="K1847" s="13" t="str">
        <f>IF(' car_sales_data 1'!$G1847&gt;40000,"Premium",
 IF(' car_sales_data 1'!$G1847&gt;=20000,"Mid Range","Budget"))</f>
        <v>Premium</v>
      </c>
      <c r="L1847" s="13">
        <f>YEAR(TODAY())-' car_sales_data 1'!$F1847</f>
        <v>15</v>
      </c>
    </row>
    <row r="1848" ht="15.75" customHeight="1">
      <c r="A1848" s="16">
        <v>45026.0</v>
      </c>
      <c r="B1848" s="13" t="s">
        <v>3645</v>
      </c>
      <c r="C1848" s="13" t="s">
        <v>3646</v>
      </c>
      <c r="D1848" s="13" t="s">
        <v>14</v>
      </c>
      <c r="E1848" s="13" t="s">
        <v>57</v>
      </c>
      <c r="F1848" s="13">
        <v>2011.0</v>
      </c>
      <c r="G1848" s="13">
        <v>27592.0</v>
      </c>
      <c r="H1848" s="13">
        <v>2887.72</v>
      </c>
      <c r="I1848" s="13">
        <f>' car_sales_data 1'!$G1848*0.2</f>
        <v>5518.4</v>
      </c>
      <c r="J1848" s="13" t="str">
        <f>TEXT(' car_sales_data 1'!$A1848,"mmmm")</f>
        <v>April</v>
      </c>
      <c r="K1848" s="13" t="str">
        <f>IF(' car_sales_data 1'!$G1848&gt;40000,"Premium",
 IF(' car_sales_data 1'!$G1848&gt;=20000,"Mid Range","Budget"))</f>
        <v>Mid Range</v>
      </c>
      <c r="L1848" s="13">
        <f>YEAR(TODAY())-' car_sales_data 1'!$F1848</f>
        <v>14</v>
      </c>
    </row>
    <row r="1849" ht="15.75" customHeight="1">
      <c r="A1849" s="16">
        <v>44764.0</v>
      </c>
      <c r="B1849" s="13" t="s">
        <v>3647</v>
      </c>
      <c r="C1849" s="13" t="s">
        <v>3648</v>
      </c>
      <c r="D1849" s="13" t="s">
        <v>14</v>
      </c>
      <c r="E1849" s="13" t="s">
        <v>62</v>
      </c>
      <c r="F1849" s="13">
        <v>2011.0</v>
      </c>
      <c r="G1849" s="13">
        <v>11677.0</v>
      </c>
      <c r="H1849" s="13">
        <v>741.06</v>
      </c>
      <c r="I1849" s="13">
        <f>' car_sales_data 1'!$G1849*0.2</f>
        <v>2335.4</v>
      </c>
      <c r="J1849" s="13" t="str">
        <f>TEXT(' car_sales_data 1'!$A1849,"mmmm")</f>
        <v>July</v>
      </c>
      <c r="K1849" s="13" t="str">
        <f>IF(' car_sales_data 1'!$G1849&gt;40000,"Premium",
 IF(' car_sales_data 1'!$G1849&gt;=20000,"Mid Range","Budget"))</f>
        <v>Budget</v>
      </c>
      <c r="L1849" s="13">
        <f>YEAR(TODAY())-' car_sales_data 1'!$F1849</f>
        <v>14</v>
      </c>
    </row>
    <row r="1850" ht="15.75" customHeight="1">
      <c r="A1850" s="16">
        <v>44857.0</v>
      </c>
      <c r="B1850" s="13" t="s">
        <v>3649</v>
      </c>
      <c r="C1850" s="13" t="s">
        <v>3650</v>
      </c>
      <c r="D1850" s="13" t="s">
        <v>12</v>
      </c>
      <c r="E1850" s="13" t="s">
        <v>54</v>
      </c>
      <c r="F1850" s="13">
        <v>2022.0</v>
      </c>
      <c r="G1850" s="13">
        <v>36452.0</v>
      </c>
      <c r="H1850" s="13">
        <v>3602.15</v>
      </c>
      <c r="I1850" s="13">
        <f>' car_sales_data 1'!$G1850*0.2</f>
        <v>7290.4</v>
      </c>
      <c r="J1850" s="13" t="str">
        <f>TEXT(' car_sales_data 1'!$A1850,"mmmm")</f>
        <v>October</v>
      </c>
      <c r="K1850" s="13" t="str">
        <f>IF(' car_sales_data 1'!$G1850&gt;40000,"Premium",
 IF(' car_sales_data 1'!$G1850&gt;=20000,"Mid Range","Budget"))</f>
        <v>Mid Range</v>
      </c>
      <c r="L1850" s="13">
        <f>YEAR(TODAY())-' car_sales_data 1'!$F1850</f>
        <v>3</v>
      </c>
    </row>
    <row r="1851" ht="15.75" customHeight="1">
      <c r="A1851" s="16">
        <v>44825.0</v>
      </c>
      <c r="B1851" s="13" t="s">
        <v>3651</v>
      </c>
      <c r="C1851" s="13" t="s">
        <v>3652</v>
      </c>
      <c r="D1851" s="13" t="s">
        <v>10</v>
      </c>
      <c r="E1851" s="13" t="s">
        <v>51</v>
      </c>
      <c r="F1851" s="13">
        <v>2014.0</v>
      </c>
      <c r="G1851" s="13">
        <v>38590.0</v>
      </c>
      <c r="H1851" s="13">
        <v>5349.03</v>
      </c>
      <c r="I1851" s="13">
        <f>' car_sales_data 1'!$G1851*0.2</f>
        <v>7718</v>
      </c>
      <c r="J1851" s="13" t="str">
        <f>TEXT(' car_sales_data 1'!$A1851,"mmmm")</f>
        <v>September</v>
      </c>
      <c r="K1851" s="13" t="str">
        <f>IF(' car_sales_data 1'!$G1851&gt;40000,"Premium",
 IF(' car_sales_data 1'!$G1851&gt;=20000,"Mid Range","Budget"))</f>
        <v>Mid Range</v>
      </c>
      <c r="L1851" s="13">
        <f>YEAR(TODAY())-' car_sales_data 1'!$F1851</f>
        <v>11</v>
      </c>
    </row>
    <row r="1852" ht="15.75" customHeight="1">
      <c r="A1852" s="16">
        <v>44819.0</v>
      </c>
      <c r="B1852" s="13" t="s">
        <v>3653</v>
      </c>
      <c r="C1852" s="13" t="s">
        <v>3565</v>
      </c>
      <c r="D1852" s="13" t="s">
        <v>6</v>
      </c>
      <c r="E1852" s="13" t="s">
        <v>51</v>
      </c>
      <c r="F1852" s="13">
        <v>2018.0</v>
      </c>
      <c r="G1852" s="13">
        <v>48833.0</v>
      </c>
      <c r="H1852" s="13">
        <v>5285.71</v>
      </c>
      <c r="I1852" s="13">
        <f>' car_sales_data 1'!$G1852*0.2</f>
        <v>9766.6</v>
      </c>
      <c r="J1852" s="13" t="str">
        <f>TEXT(' car_sales_data 1'!$A1852,"mmmm")</f>
        <v>September</v>
      </c>
      <c r="K1852" s="13" t="str">
        <f>IF(' car_sales_data 1'!$G1852&gt;40000,"Premium",
 IF(' car_sales_data 1'!$G1852&gt;=20000,"Mid Range","Budget"))</f>
        <v>Premium</v>
      </c>
      <c r="L1852" s="13">
        <f>YEAR(TODAY())-' car_sales_data 1'!$F1852</f>
        <v>7</v>
      </c>
    </row>
    <row r="1853" ht="15.75" customHeight="1">
      <c r="A1853" s="16">
        <v>44875.0</v>
      </c>
      <c r="B1853" s="13" t="s">
        <v>1482</v>
      </c>
      <c r="C1853" s="13" t="s">
        <v>3654</v>
      </c>
      <c r="D1853" s="13" t="s">
        <v>6</v>
      </c>
      <c r="E1853" s="13" t="s">
        <v>54</v>
      </c>
      <c r="F1853" s="13">
        <v>2021.0</v>
      </c>
      <c r="G1853" s="13">
        <v>39346.0</v>
      </c>
      <c r="H1853" s="13">
        <v>3008.67</v>
      </c>
      <c r="I1853" s="13">
        <f>' car_sales_data 1'!$G1853*0.2</f>
        <v>7869.2</v>
      </c>
      <c r="J1853" s="13" t="str">
        <f>TEXT(' car_sales_data 1'!$A1853,"mmmm")</f>
        <v>November</v>
      </c>
      <c r="K1853" s="13" t="str">
        <f>IF(' car_sales_data 1'!$G1853&gt;40000,"Premium",
 IF(' car_sales_data 1'!$G1853&gt;=20000,"Mid Range","Budget"))</f>
        <v>Mid Range</v>
      </c>
      <c r="L1853" s="13">
        <f>YEAR(TODAY())-' car_sales_data 1'!$F1853</f>
        <v>4</v>
      </c>
    </row>
    <row r="1854" ht="15.75" customHeight="1">
      <c r="A1854" s="16">
        <v>44773.0</v>
      </c>
      <c r="B1854" s="13" t="s">
        <v>3655</v>
      </c>
      <c r="C1854" s="13" t="s">
        <v>3656</v>
      </c>
      <c r="D1854" s="13" t="s">
        <v>12</v>
      </c>
      <c r="E1854" s="13" t="s">
        <v>57</v>
      </c>
      <c r="F1854" s="13">
        <v>2022.0</v>
      </c>
      <c r="G1854" s="13">
        <v>34281.0</v>
      </c>
      <c r="H1854" s="13">
        <v>3457.95</v>
      </c>
      <c r="I1854" s="13">
        <f>' car_sales_data 1'!$G1854*0.2</f>
        <v>6856.2</v>
      </c>
      <c r="J1854" s="13" t="str">
        <f>TEXT(' car_sales_data 1'!$A1854,"mmmm")</f>
        <v>July</v>
      </c>
      <c r="K1854" s="13" t="str">
        <f>IF(' car_sales_data 1'!$G1854&gt;40000,"Premium",
 IF(' car_sales_data 1'!$G1854&gt;=20000,"Mid Range","Budget"))</f>
        <v>Mid Range</v>
      </c>
      <c r="L1854" s="13">
        <f>YEAR(TODAY())-' car_sales_data 1'!$F1854</f>
        <v>3</v>
      </c>
    </row>
    <row r="1855" ht="15.75" customHeight="1">
      <c r="A1855" s="16">
        <v>44946.0</v>
      </c>
      <c r="B1855" s="13" t="s">
        <v>3657</v>
      </c>
      <c r="C1855" s="13" t="s">
        <v>3658</v>
      </c>
      <c r="D1855" s="13" t="s">
        <v>12</v>
      </c>
      <c r="E1855" s="13" t="s">
        <v>57</v>
      </c>
      <c r="F1855" s="13">
        <v>2020.0</v>
      </c>
      <c r="G1855" s="13">
        <v>32584.0</v>
      </c>
      <c r="H1855" s="13">
        <v>2309.65</v>
      </c>
      <c r="I1855" s="13">
        <f>' car_sales_data 1'!$G1855*0.2</f>
        <v>6516.8</v>
      </c>
      <c r="J1855" s="13" t="str">
        <f>TEXT(' car_sales_data 1'!$A1855,"mmmm")</f>
        <v>January</v>
      </c>
      <c r="K1855" s="13" t="str">
        <f>IF(' car_sales_data 1'!$G1855&gt;40000,"Premium",
 IF(' car_sales_data 1'!$G1855&gt;=20000,"Mid Range","Budget"))</f>
        <v>Mid Range</v>
      </c>
      <c r="L1855" s="13">
        <f>YEAR(TODAY())-' car_sales_data 1'!$F1855</f>
        <v>5</v>
      </c>
    </row>
    <row r="1856" ht="15.75" customHeight="1">
      <c r="A1856" s="16">
        <v>44721.0</v>
      </c>
      <c r="B1856" s="13" t="s">
        <v>3659</v>
      </c>
      <c r="C1856" s="13" t="s">
        <v>1686</v>
      </c>
      <c r="D1856" s="13" t="s">
        <v>14</v>
      </c>
      <c r="E1856" s="13" t="s">
        <v>54</v>
      </c>
      <c r="F1856" s="13">
        <v>2014.0</v>
      </c>
      <c r="G1856" s="13">
        <v>34621.0</v>
      </c>
      <c r="H1856" s="13">
        <v>2432.15</v>
      </c>
      <c r="I1856" s="13">
        <f>' car_sales_data 1'!$G1856*0.2</f>
        <v>6924.2</v>
      </c>
      <c r="J1856" s="13" t="str">
        <f>TEXT(' car_sales_data 1'!$A1856,"mmmm")</f>
        <v>June</v>
      </c>
      <c r="K1856" s="13" t="str">
        <f>IF(' car_sales_data 1'!$G1856&gt;40000,"Premium",
 IF(' car_sales_data 1'!$G1856&gt;=20000,"Mid Range","Budget"))</f>
        <v>Mid Range</v>
      </c>
      <c r="L1856" s="13">
        <f>YEAR(TODAY())-' car_sales_data 1'!$F1856</f>
        <v>11</v>
      </c>
    </row>
    <row r="1857" ht="15.75" customHeight="1">
      <c r="A1857" s="16">
        <v>44876.0</v>
      </c>
      <c r="B1857" s="13" t="s">
        <v>3660</v>
      </c>
      <c r="C1857" s="13" t="s">
        <v>3661</v>
      </c>
      <c r="D1857" s="13" t="s">
        <v>14</v>
      </c>
      <c r="E1857" s="13" t="s">
        <v>51</v>
      </c>
      <c r="F1857" s="13">
        <v>2013.0</v>
      </c>
      <c r="G1857" s="13">
        <v>44162.0</v>
      </c>
      <c r="H1857" s="13">
        <v>5582.95</v>
      </c>
      <c r="I1857" s="13">
        <f>' car_sales_data 1'!$G1857*0.2</f>
        <v>8832.4</v>
      </c>
      <c r="J1857" s="13" t="str">
        <f>TEXT(' car_sales_data 1'!$A1857,"mmmm")</f>
        <v>November</v>
      </c>
      <c r="K1857" s="13" t="str">
        <f>IF(' car_sales_data 1'!$G1857&gt;40000,"Premium",
 IF(' car_sales_data 1'!$G1857&gt;=20000,"Mid Range","Budget"))</f>
        <v>Premium</v>
      </c>
      <c r="L1857" s="13">
        <f>YEAR(TODAY())-' car_sales_data 1'!$F1857</f>
        <v>12</v>
      </c>
    </row>
    <row r="1858" ht="15.75" customHeight="1">
      <c r="A1858" s="16">
        <v>44990.0</v>
      </c>
      <c r="B1858" s="13" t="s">
        <v>3662</v>
      </c>
      <c r="C1858" s="13" t="s">
        <v>3663</v>
      </c>
      <c r="D1858" s="13" t="s">
        <v>6</v>
      </c>
      <c r="E1858" s="13" t="s">
        <v>70</v>
      </c>
      <c r="F1858" s="13">
        <v>2015.0</v>
      </c>
      <c r="G1858" s="13">
        <v>22356.0</v>
      </c>
      <c r="H1858" s="13">
        <v>1366.42</v>
      </c>
      <c r="I1858" s="13">
        <f>' car_sales_data 1'!$G1858*0.2</f>
        <v>4471.2</v>
      </c>
      <c r="J1858" s="13" t="str">
        <f>TEXT(' car_sales_data 1'!$A1858,"mmmm")</f>
        <v>March</v>
      </c>
      <c r="K1858" s="13" t="str">
        <f>IF(' car_sales_data 1'!$G1858&gt;40000,"Premium",
 IF(' car_sales_data 1'!$G1858&gt;=20000,"Mid Range","Budget"))</f>
        <v>Mid Range</v>
      </c>
      <c r="L1858" s="13">
        <f>YEAR(TODAY())-' car_sales_data 1'!$F1858</f>
        <v>10</v>
      </c>
    </row>
    <row r="1859" ht="15.75" customHeight="1">
      <c r="A1859" s="16">
        <v>45047.0</v>
      </c>
      <c r="B1859" s="13" t="s">
        <v>3664</v>
      </c>
      <c r="C1859" s="13" t="s">
        <v>3665</v>
      </c>
      <c r="D1859" s="13" t="s">
        <v>6</v>
      </c>
      <c r="E1859" s="13" t="s">
        <v>51</v>
      </c>
      <c r="F1859" s="13">
        <v>2017.0</v>
      </c>
      <c r="G1859" s="13">
        <v>40799.0</v>
      </c>
      <c r="H1859" s="13">
        <v>4888.01</v>
      </c>
      <c r="I1859" s="13">
        <f>' car_sales_data 1'!$G1859*0.2</f>
        <v>8159.8</v>
      </c>
      <c r="J1859" s="13" t="str">
        <f>TEXT(' car_sales_data 1'!$A1859,"mmmm")</f>
        <v>May</v>
      </c>
      <c r="K1859" s="13" t="str">
        <f>IF(' car_sales_data 1'!$G1859&gt;40000,"Premium",
 IF(' car_sales_data 1'!$G1859&gt;=20000,"Mid Range","Budget"))</f>
        <v>Premium</v>
      </c>
      <c r="L1859" s="13">
        <f>YEAR(TODAY())-' car_sales_data 1'!$F1859</f>
        <v>8</v>
      </c>
    </row>
    <row r="1860" ht="15.75" customHeight="1">
      <c r="A1860" s="16">
        <v>44883.0</v>
      </c>
      <c r="B1860" s="13" t="s">
        <v>3666</v>
      </c>
      <c r="C1860" s="13" t="s">
        <v>3667</v>
      </c>
      <c r="D1860" s="13" t="s">
        <v>8</v>
      </c>
      <c r="E1860" s="13" t="s">
        <v>62</v>
      </c>
      <c r="F1860" s="13">
        <v>2021.0</v>
      </c>
      <c r="G1860" s="13">
        <v>34880.0</v>
      </c>
      <c r="H1860" s="13">
        <v>4297.41</v>
      </c>
      <c r="I1860" s="13">
        <f>' car_sales_data 1'!$G1860*0.2</f>
        <v>6976</v>
      </c>
      <c r="J1860" s="13" t="str">
        <f>TEXT(' car_sales_data 1'!$A1860,"mmmm")</f>
        <v>November</v>
      </c>
      <c r="K1860" s="13" t="str">
        <f>IF(' car_sales_data 1'!$G1860&gt;40000,"Premium",
 IF(' car_sales_data 1'!$G1860&gt;=20000,"Mid Range","Budget"))</f>
        <v>Mid Range</v>
      </c>
      <c r="L1860" s="13">
        <f>YEAR(TODAY())-' car_sales_data 1'!$F1860</f>
        <v>4</v>
      </c>
    </row>
    <row r="1861" ht="15.75" customHeight="1">
      <c r="A1861" s="16">
        <v>44683.0</v>
      </c>
      <c r="B1861" s="13" t="s">
        <v>3668</v>
      </c>
      <c r="C1861" s="13" t="s">
        <v>3669</v>
      </c>
      <c r="D1861" s="13" t="s">
        <v>12</v>
      </c>
      <c r="E1861" s="13" t="s">
        <v>54</v>
      </c>
      <c r="F1861" s="13">
        <v>2015.0</v>
      </c>
      <c r="G1861" s="13">
        <v>23706.0</v>
      </c>
      <c r="H1861" s="13">
        <v>1715.92</v>
      </c>
      <c r="I1861" s="13">
        <f>' car_sales_data 1'!$G1861*0.2</f>
        <v>4741.2</v>
      </c>
      <c r="J1861" s="13" t="str">
        <f>TEXT(' car_sales_data 1'!$A1861,"mmmm")</f>
        <v>May</v>
      </c>
      <c r="K1861" s="13" t="str">
        <f>IF(' car_sales_data 1'!$G1861&gt;40000,"Premium",
 IF(' car_sales_data 1'!$G1861&gt;=20000,"Mid Range","Budget"))</f>
        <v>Mid Range</v>
      </c>
      <c r="L1861" s="13">
        <f>YEAR(TODAY())-' car_sales_data 1'!$F1861</f>
        <v>10</v>
      </c>
    </row>
    <row r="1862" ht="15.75" customHeight="1">
      <c r="A1862" s="16">
        <v>44989.0</v>
      </c>
      <c r="B1862" s="13" t="s">
        <v>3670</v>
      </c>
      <c r="C1862" s="13" t="s">
        <v>3671</v>
      </c>
      <c r="D1862" s="13" t="s">
        <v>8</v>
      </c>
      <c r="E1862" s="13" t="s">
        <v>62</v>
      </c>
      <c r="F1862" s="13">
        <v>2010.0</v>
      </c>
      <c r="G1862" s="13">
        <v>30644.0</v>
      </c>
      <c r="H1862" s="13">
        <v>2821.74</v>
      </c>
      <c r="I1862" s="13">
        <f>' car_sales_data 1'!$G1862*0.2</f>
        <v>6128.8</v>
      </c>
      <c r="J1862" s="13" t="str">
        <f>TEXT(' car_sales_data 1'!$A1862,"mmmm")</f>
        <v>March</v>
      </c>
      <c r="K1862" s="13" t="str">
        <f>IF(' car_sales_data 1'!$G1862&gt;40000,"Premium",
 IF(' car_sales_data 1'!$G1862&gt;=20000,"Mid Range","Budget"))</f>
        <v>Mid Range</v>
      </c>
      <c r="L1862" s="13">
        <f>YEAR(TODAY())-' car_sales_data 1'!$F1862</f>
        <v>15</v>
      </c>
    </row>
    <row r="1863" ht="15.75" customHeight="1">
      <c r="A1863" s="16">
        <v>44775.0</v>
      </c>
      <c r="B1863" s="13" t="s">
        <v>3672</v>
      </c>
      <c r="C1863" s="13" t="s">
        <v>3673</v>
      </c>
      <c r="D1863" s="13" t="s">
        <v>8</v>
      </c>
      <c r="E1863" s="13" t="s">
        <v>54</v>
      </c>
      <c r="F1863" s="13">
        <v>2013.0</v>
      </c>
      <c r="G1863" s="13">
        <v>41836.0</v>
      </c>
      <c r="H1863" s="13">
        <v>3496.3</v>
      </c>
      <c r="I1863" s="13">
        <f>' car_sales_data 1'!$G1863*0.2</f>
        <v>8367.2</v>
      </c>
      <c r="J1863" s="13" t="str">
        <f>TEXT(' car_sales_data 1'!$A1863,"mmmm")</f>
        <v>August</v>
      </c>
      <c r="K1863" s="13" t="str">
        <f>IF(' car_sales_data 1'!$G1863&gt;40000,"Premium",
 IF(' car_sales_data 1'!$G1863&gt;=20000,"Mid Range","Budget"))</f>
        <v>Premium</v>
      </c>
      <c r="L1863" s="13">
        <f>YEAR(TODAY())-' car_sales_data 1'!$F1863</f>
        <v>12</v>
      </c>
    </row>
    <row r="1864" ht="15.75" customHeight="1">
      <c r="A1864" s="16">
        <v>45000.0</v>
      </c>
      <c r="B1864" s="13" t="s">
        <v>3674</v>
      </c>
      <c r="C1864" s="13" t="s">
        <v>3675</v>
      </c>
      <c r="D1864" s="13" t="s">
        <v>8</v>
      </c>
      <c r="E1864" s="13" t="s">
        <v>62</v>
      </c>
      <c r="F1864" s="13">
        <v>2010.0</v>
      </c>
      <c r="G1864" s="13">
        <v>48775.0</v>
      </c>
      <c r="H1864" s="13">
        <v>2513.84</v>
      </c>
      <c r="I1864" s="13">
        <f>' car_sales_data 1'!$G1864*0.2</f>
        <v>9755</v>
      </c>
      <c r="J1864" s="13" t="str">
        <f>TEXT(' car_sales_data 1'!$A1864,"mmmm")</f>
        <v>March</v>
      </c>
      <c r="K1864" s="13" t="str">
        <f>IF(' car_sales_data 1'!$G1864&gt;40000,"Premium",
 IF(' car_sales_data 1'!$G1864&gt;=20000,"Mid Range","Budget"))</f>
        <v>Premium</v>
      </c>
      <c r="L1864" s="13">
        <f>YEAR(TODAY())-' car_sales_data 1'!$F1864</f>
        <v>15</v>
      </c>
    </row>
    <row r="1865" ht="15.75" customHeight="1">
      <c r="A1865" s="16">
        <v>44984.0</v>
      </c>
      <c r="B1865" s="13" t="s">
        <v>3676</v>
      </c>
      <c r="C1865" s="13" t="s">
        <v>3677</v>
      </c>
      <c r="D1865" s="13" t="s">
        <v>8</v>
      </c>
      <c r="E1865" s="13" t="s">
        <v>54</v>
      </c>
      <c r="F1865" s="13">
        <v>2017.0</v>
      </c>
      <c r="G1865" s="13">
        <v>29554.0</v>
      </c>
      <c r="H1865" s="13">
        <v>3420.69</v>
      </c>
      <c r="I1865" s="13">
        <f>' car_sales_data 1'!$G1865*0.2</f>
        <v>5910.8</v>
      </c>
      <c r="J1865" s="13" t="str">
        <f>TEXT(' car_sales_data 1'!$A1865,"mmmm")</f>
        <v>February</v>
      </c>
      <c r="K1865" s="13" t="str">
        <f>IF(' car_sales_data 1'!$G1865&gt;40000,"Premium",
 IF(' car_sales_data 1'!$G1865&gt;=20000,"Mid Range","Budget"))</f>
        <v>Mid Range</v>
      </c>
      <c r="L1865" s="13">
        <f>YEAR(TODAY())-' car_sales_data 1'!$F1865</f>
        <v>8</v>
      </c>
    </row>
    <row r="1866" ht="15.75" customHeight="1">
      <c r="A1866" s="16">
        <v>45035.0</v>
      </c>
      <c r="B1866" s="13" t="s">
        <v>3678</v>
      </c>
      <c r="C1866" s="13" t="s">
        <v>3679</v>
      </c>
      <c r="D1866" s="13" t="s">
        <v>6</v>
      </c>
      <c r="E1866" s="13" t="s">
        <v>54</v>
      </c>
      <c r="F1866" s="13">
        <v>2018.0</v>
      </c>
      <c r="G1866" s="13">
        <v>29256.0</v>
      </c>
      <c r="H1866" s="13">
        <v>1688.94</v>
      </c>
      <c r="I1866" s="13">
        <f>' car_sales_data 1'!$G1866*0.2</f>
        <v>5851.2</v>
      </c>
      <c r="J1866" s="13" t="str">
        <f>TEXT(' car_sales_data 1'!$A1866,"mmmm")</f>
        <v>April</v>
      </c>
      <c r="K1866" s="13" t="str">
        <f>IF(' car_sales_data 1'!$G1866&gt;40000,"Premium",
 IF(' car_sales_data 1'!$G1866&gt;=20000,"Mid Range","Budget"))</f>
        <v>Mid Range</v>
      </c>
      <c r="L1866" s="13">
        <f>YEAR(TODAY())-' car_sales_data 1'!$F1866</f>
        <v>7</v>
      </c>
    </row>
    <row r="1867" ht="15.75" customHeight="1">
      <c r="A1867" s="16">
        <v>45047.0</v>
      </c>
      <c r="B1867" s="13" t="s">
        <v>3680</v>
      </c>
      <c r="C1867" s="13" t="s">
        <v>3681</v>
      </c>
      <c r="D1867" s="13" t="s">
        <v>12</v>
      </c>
      <c r="E1867" s="13" t="s">
        <v>51</v>
      </c>
      <c r="F1867" s="13">
        <v>2017.0</v>
      </c>
      <c r="G1867" s="13">
        <v>38884.0</v>
      </c>
      <c r="H1867" s="13">
        <v>5486.38</v>
      </c>
      <c r="I1867" s="13">
        <f>' car_sales_data 1'!$G1867*0.2</f>
        <v>7776.8</v>
      </c>
      <c r="J1867" s="13" t="str">
        <f>TEXT(' car_sales_data 1'!$A1867,"mmmm")</f>
        <v>May</v>
      </c>
      <c r="K1867" s="13" t="str">
        <f>IF(' car_sales_data 1'!$G1867&gt;40000,"Premium",
 IF(' car_sales_data 1'!$G1867&gt;=20000,"Mid Range","Budget"))</f>
        <v>Mid Range</v>
      </c>
      <c r="L1867" s="13">
        <f>YEAR(TODAY())-' car_sales_data 1'!$F1867</f>
        <v>8</v>
      </c>
    </row>
    <row r="1868" ht="15.75" customHeight="1">
      <c r="A1868" s="16">
        <v>44926.0</v>
      </c>
      <c r="B1868" s="13" t="s">
        <v>3682</v>
      </c>
      <c r="C1868" s="13" t="s">
        <v>3683</v>
      </c>
      <c r="D1868" s="13" t="s">
        <v>6</v>
      </c>
      <c r="E1868" s="13" t="s">
        <v>70</v>
      </c>
      <c r="F1868" s="13">
        <v>2013.0</v>
      </c>
      <c r="G1868" s="13">
        <v>30997.0</v>
      </c>
      <c r="H1868" s="13">
        <v>3132.43</v>
      </c>
      <c r="I1868" s="13">
        <f>' car_sales_data 1'!$G1868*0.2</f>
        <v>6199.4</v>
      </c>
      <c r="J1868" s="13" t="str">
        <f>TEXT(' car_sales_data 1'!$A1868,"mmmm")</f>
        <v>December</v>
      </c>
      <c r="K1868" s="13" t="str">
        <f>IF(' car_sales_data 1'!$G1868&gt;40000,"Premium",
 IF(' car_sales_data 1'!$G1868&gt;=20000,"Mid Range","Budget"))</f>
        <v>Mid Range</v>
      </c>
      <c r="L1868" s="13">
        <f>YEAR(TODAY())-' car_sales_data 1'!$F1868</f>
        <v>12</v>
      </c>
    </row>
    <row r="1869" ht="15.75" customHeight="1">
      <c r="A1869" s="16">
        <v>44714.0</v>
      </c>
      <c r="B1869" s="13" t="s">
        <v>3684</v>
      </c>
      <c r="C1869" s="13" t="s">
        <v>3685</v>
      </c>
      <c r="D1869" s="13" t="s">
        <v>10</v>
      </c>
      <c r="E1869" s="13" t="s">
        <v>62</v>
      </c>
      <c r="F1869" s="13">
        <v>2015.0</v>
      </c>
      <c r="G1869" s="13">
        <v>11147.0</v>
      </c>
      <c r="H1869" s="13">
        <v>1352.11</v>
      </c>
      <c r="I1869" s="13">
        <f>' car_sales_data 1'!$G1869*0.2</f>
        <v>2229.4</v>
      </c>
      <c r="J1869" s="13" t="str">
        <f>TEXT(' car_sales_data 1'!$A1869,"mmmm")</f>
        <v>June</v>
      </c>
      <c r="K1869" s="13" t="str">
        <f>IF(' car_sales_data 1'!$G1869&gt;40000,"Premium",
 IF(' car_sales_data 1'!$G1869&gt;=20000,"Mid Range","Budget"))</f>
        <v>Budget</v>
      </c>
      <c r="L1869" s="13">
        <f>YEAR(TODAY())-' car_sales_data 1'!$F1869</f>
        <v>10</v>
      </c>
    </row>
    <row r="1870" ht="15.75" customHeight="1">
      <c r="A1870" s="16">
        <v>44831.0</v>
      </c>
      <c r="B1870" s="13" t="s">
        <v>3686</v>
      </c>
      <c r="C1870" s="13" t="s">
        <v>3687</v>
      </c>
      <c r="D1870" s="13" t="s">
        <v>8</v>
      </c>
      <c r="E1870" s="13" t="s">
        <v>54</v>
      </c>
      <c r="F1870" s="13">
        <v>2022.0</v>
      </c>
      <c r="G1870" s="13">
        <v>26627.0</v>
      </c>
      <c r="H1870" s="13">
        <v>1953.23</v>
      </c>
      <c r="I1870" s="13">
        <f>' car_sales_data 1'!$G1870*0.2</f>
        <v>5325.4</v>
      </c>
      <c r="J1870" s="13" t="str">
        <f>TEXT(' car_sales_data 1'!$A1870,"mmmm")</f>
        <v>September</v>
      </c>
      <c r="K1870" s="13" t="str">
        <f>IF(' car_sales_data 1'!$G1870&gt;40000,"Premium",
 IF(' car_sales_data 1'!$G1870&gt;=20000,"Mid Range","Budget"))</f>
        <v>Mid Range</v>
      </c>
      <c r="L1870" s="13">
        <f>YEAR(TODAY())-' car_sales_data 1'!$F1870</f>
        <v>3</v>
      </c>
    </row>
    <row r="1871" ht="15.75" customHeight="1">
      <c r="A1871" s="16">
        <v>44792.0</v>
      </c>
      <c r="B1871" s="13" t="s">
        <v>3688</v>
      </c>
      <c r="C1871" s="13" t="s">
        <v>3689</v>
      </c>
      <c r="D1871" s="13" t="s">
        <v>10</v>
      </c>
      <c r="E1871" s="13" t="s">
        <v>57</v>
      </c>
      <c r="F1871" s="13">
        <v>2020.0</v>
      </c>
      <c r="G1871" s="13">
        <v>15399.0</v>
      </c>
      <c r="H1871" s="13">
        <v>2095.75</v>
      </c>
      <c r="I1871" s="13">
        <f>' car_sales_data 1'!$G1871*0.2</f>
        <v>3079.8</v>
      </c>
      <c r="J1871" s="13" t="str">
        <f>TEXT(' car_sales_data 1'!$A1871,"mmmm")</f>
        <v>August</v>
      </c>
      <c r="K1871" s="13" t="str">
        <f>IF(' car_sales_data 1'!$G1871&gt;40000,"Premium",
 IF(' car_sales_data 1'!$G1871&gt;=20000,"Mid Range","Budget"))</f>
        <v>Budget</v>
      </c>
      <c r="L1871" s="13">
        <f>YEAR(TODAY())-' car_sales_data 1'!$F1871</f>
        <v>5</v>
      </c>
    </row>
    <row r="1872" ht="15.75" customHeight="1">
      <c r="A1872" s="16">
        <v>44718.0</v>
      </c>
      <c r="B1872" s="13" t="s">
        <v>3690</v>
      </c>
      <c r="C1872" s="13" t="s">
        <v>3691</v>
      </c>
      <c r="D1872" s="13" t="s">
        <v>8</v>
      </c>
      <c r="E1872" s="13" t="s">
        <v>57</v>
      </c>
      <c r="F1872" s="13">
        <v>2011.0</v>
      </c>
      <c r="G1872" s="13">
        <v>32238.0</v>
      </c>
      <c r="H1872" s="13">
        <v>2229.45</v>
      </c>
      <c r="I1872" s="13">
        <f>' car_sales_data 1'!$G1872*0.2</f>
        <v>6447.6</v>
      </c>
      <c r="J1872" s="13" t="str">
        <f>TEXT(' car_sales_data 1'!$A1872,"mmmm")</f>
        <v>June</v>
      </c>
      <c r="K1872" s="13" t="str">
        <f>IF(' car_sales_data 1'!$G1872&gt;40000,"Premium",
 IF(' car_sales_data 1'!$G1872&gt;=20000,"Mid Range","Budget"))</f>
        <v>Mid Range</v>
      </c>
      <c r="L1872" s="13">
        <f>YEAR(TODAY())-' car_sales_data 1'!$F1872</f>
        <v>14</v>
      </c>
    </row>
    <row r="1873" ht="15.75" customHeight="1">
      <c r="A1873" s="16">
        <v>45024.0</v>
      </c>
      <c r="B1873" s="13" t="s">
        <v>3692</v>
      </c>
      <c r="C1873" s="13" t="s">
        <v>3693</v>
      </c>
      <c r="D1873" s="13" t="s">
        <v>8</v>
      </c>
      <c r="E1873" s="13" t="s">
        <v>51</v>
      </c>
      <c r="F1873" s="13">
        <v>2010.0</v>
      </c>
      <c r="G1873" s="13">
        <v>44060.0</v>
      </c>
      <c r="H1873" s="13">
        <v>5682.35</v>
      </c>
      <c r="I1873" s="13">
        <f>' car_sales_data 1'!$G1873*0.2</f>
        <v>8812</v>
      </c>
      <c r="J1873" s="13" t="str">
        <f>TEXT(' car_sales_data 1'!$A1873,"mmmm")</f>
        <v>April</v>
      </c>
      <c r="K1873" s="13" t="str">
        <f>IF(' car_sales_data 1'!$G1873&gt;40000,"Premium",
 IF(' car_sales_data 1'!$G1873&gt;=20000,"Mid Range","Budget"))</f>
        <v>Premium</v>
      </c>
      <c r="L1873" s="13">
        <f>YEAR(TODAY())-' car_sales_data 1'!$F1873</f>
        <v>15</v>
      </c>
    </row>
    <row r="1874" ht="15.75" customHeight="1">
      <c r="A1874" s="16">
        <v>44926.0</v>
      </c>
      <c r="B1874" s="13" t="s">
        <v>3694</v>
      </c>
      <c r="C1874" s="13" t="s">
        <v>1626</v>
      </c>
      <c r="D1874" s="13" t="s">
        <v>8</v>
      </c>
      <c r="E1874" s="13" t="s">
        <v>51</v>
      </c>
      <c r="F1874" s="13">
        <v>2016.0</v>
      </c>
      <c r="G1874" s="13">
        <v>33966.0</v>
      </c>
      <c r="H1874" s="13">
        <v>3544.22</v>
      </c>
      <c r="I1874" s="13">
        <f>' car_sales_data 1'!$G1874*0.2</f>
        <v>6793.2</v>
      </c>
      <c r="J1874" s="13" t="str">
        <f>TEXT(' car_sales_data 1'!$A1874,"mmmm")</f>
        <v>December</v>
      </c>
      <c r="K1874" s="13" t="str">
        <f>IF(' car_sales_data 1'!$G1874&gt;40000,"Premium",
 IF(' car_sales_data 1'!$G1874&gt;=20000,"Mid Range","Budget"))</f>
        <v>Mid Range</v>
      </c>
      <c r="L1874" s="13">
        <f>YEAR(TODAY())-' car_sales_data 1'!$F1874</f>
        <v>9</v>
      </c>
    </row>
    <row r="1875" ht="15.75" customHeight="1">
      <c r="A1875" s="16">
        <v>44907.0</v>
      </c>
      <c r="B1875" s="13" t="s">
        <v>3695</v>
      </c>
      <c r="C1875" s="13" t="s">
        <v>3696</v>
      </c>
      <c r="D1875" s="13" t="s">
        <v>8</v>
      </c>
      <c r="E1875" s="13" t="s">
        <v>54</v>
      </c>
      <c r="F1875" s="13">
        <v>2020.0</v>
      </c>
      <c r="G1875" s="13">
        <v>30509.0</v>
      </c>
      <c r="H1875" s="13">
        <v>4469.73</v>
      </c>
      <c r="I1875" s="13">
        <f>' car_sales_data 1'!$G1875*0.2</f>
        <v>6101.8</v>
      </c>
      <c r="J1875" s="13" t="str">
        <f>TEXT(' car_sales_data 1'!$A1875,"mmmm")</f>
        <v>December</v>
      </c>
      <c r="K1875" s="13" t="str">
        <f>IF(' car_sales_data 1'!$G1875&gt;40000,"Premium",
 IF(' car_sales_data 1'!$G1875&gt;=20000,"Mid Range","Budget"))</f>
        <v>Mid Range</v>
      </c>
      <c r="L1875" s="13">
        <f>YEAR(TODAY())-' car_sales_data 1'!$F1875</f>
        <v>5</v>
      </c>
    </row>
    <row r="1876" ht="15.75" customHeight="1">
      <c r="A1876" s="16">
        <v>44871.0</v>
      </c>
      <c r="B1876" s="13" t="s">
        <v>3697</v>
      </c>
      <c r="C1876" s="13" t="s">
        <v>3698</v>
      </c>
      <c r="D1876" s="13" t="s">
        <v>14</v>
      </c>
      <c r="E1876" s="13" t="s">
        <v>51</v>
      </c>
      <c r="F1876" s="13">
        <v>2021.0</v>
      </c>
      <c r="G1876" s="13">
        <v>21418.0</v>
      </c>
      <c r="H1876" s="13">
        <v>1326.63</v>
      </c>
      <c r="I1876" s="13">
        <f>' car_sales_data 1'!$G1876*0.2</f>
        <v>4283.6</v>
      </c>
      <c r="J1876" s="13" t="str">
        <f>TEXT(' car_sales_data 1'!$A1876,"mmmm")</f>
        <v>November</v>
      </c>
      <c r="K1876" s="13" t="str">
        <f>IF(' car_sales_data 1'!$G1876&gt;40000,"Premium",
 IF(' car_sales_data 1'!$G1876&gt;=20000,"Mid Range","Budget"))</f>
        <v>Mid Range</v>
      </c>
      <c r="L1876" s="13">
        <f>YEAR(TODAY())-' car_sales_data 1'!$F1876</f>
        <v>4</v>
      </c>
    </row>
    <row r="1877" ht="15.75" customHeight="1">
      <c r="A1877" s="16">
        <v>44987.0</v>
      </c>
      <c r="B1877" s="13" t="s">
        <v>3699</v>
      </c>
      <c r="C1877" s="13" t="s">
        <v>1446</v>
      </c>
      <c r="D1877" s="13" t="s">
        <v>6</v>
      </c>
      <c r="E1877" s="13" t="s">
        <v>54</v>
      </c>
      <c r="F1877" s="13">
        <v>2022.0</v>
      </c>
      <c r="G1877" s="13">
        <v>23632.0</v>
      </c>
      <c r="H1877" s="13">
        <v>3334.72</v>
      </c>
      <c r="I1877" s="13">
        <f>' car_sales_data 1'!$G1877*0.2</f>
        <v>4726.4</v>
      </c>
      <c r="J1877" s="13" t="str">
        <f>TEXT(' car_sales_data 1'!$A1877,"mmmm")</f>
        <v>March</v>
      </c>
      <c r="K1877" s="13" t="str">
        <f>IF(' car_sales_data 1'!$G1877&gt;40000,"Premium",
 IF(' car_sales_data 1'!$G1877&gt;=20000,"Mid Range","Budget"))</f>
        <v>Mid Range</v>
      </c>
      <c r="L1877" s="13">
        <f>YEAR(TODAY())-' car_sales_data 1'!$F1877</f>
        <v>3</v>
      </c>
    </row>
    <row r="1878" ht="15.75" customHeight="1">
      <c r="A1878" s="16">
        <v>44789.0</v>
      </c>
      <c r="B1878" s="13" t="s">
        <v>3700</v>
      </c>
      <c r="C1878" s="13" t="s">
        <v>3701</v>
      </c>
      <c r="D1878" s="13" t="s">
        <v>6</v>
      </c>
      <c r="E1878" s="13" t="s">
        <v>62</v>
      </c>
      <c r="F1878" s="13">
        <v>2021.0</v>
      </c>
      <c r="G1878" s="13">
        <v>28436.0</v>
      </c>
      <c r="H1878" s="13">
        <v>4018.52</v>
      </c>
      <c r="I1878" s="13">
        <f>' car_sales_data 1'!$G1878*0.2</f>
        <v>5687.2</v>
      </c>
      <c r="J1878" s="13" t="str">
        <f>TEXT(' car_sales_data 1'!$A1878,"mmmm")</f>
        <v>August</v>
      </c>
      <c r="K1878" s="13" t="str">
        <f>IF(' car_sales_data 1'!$G1878&gt;40000,"Premium",
 IF(' car_sales_data 1'!$G1878&gt;=20000,"Mid Range","Budget"))</f>
        <v>Mid Range</v>
      </c>
      <c r="L1878" s="13">
        <f>YEAR(TODAY())-' car_sales_data 1'!$F1878</f>
        <v>4</v>
      </c>
    </row>
    <row r="1879" ht="15.75" customHeight="1">
      <c r="A1879" s="16">
        <v>44892.0</v>
      </c>
      <c r="B1879" s="13" t="s">
        <v>3702</v>
      </c>
      <c r="C1879" s="13" t="s">
        <v>3703</v>
      </c>
      <c r="D1879" s="13" t="s">
        <v>14</v>
      </c>
      <c r="E1879" s="13" t="s">
        <v>51</v>
      </c>
      <c r="F1879" s="13">
        <v>2011.0</v>
      </c>
      <c r="G1879" s="13">
        <v>33738.0</v>
      </c>
      <c r="H1879" s="13">
        <v>2101.79</v>
      </c>
      <c r="I1879" s="13">
        <f>' car_sales_data 1'!$G1879*0.2</f>
        <v>6747.6</v>
      </c>
      <c r="J1879" s="13" t="str">
        <f>TEXT(' car_sales_data 1'!$A1879,"mmmm")</f>
        <v>November</v>
      </c>
      <c r="K1879" s="13" t="str">
        <f>IF(' car_sales_data 1'!$G1879&gt;40000,"Premium",
 IF(' car_sales_data 1'!$G1879&gt;=20000,"Mid Range","Budget"))</f>
        <v>Mid Range</v>
      </c>
      <c r="L1879" s="13">
        <f>YEAR(TODAY())-' car_sales_data 1'!$F1879</f>
        <v>14</v>
      </c>
    </row>
    <row r="1880" ht="15.75" customHeight="1">
      <c r="A1880" s="16">
        <v>44935.0</v>
      </c>
      <c r="B1880" s="13" t="s">
        <v>3704</v>
      </c>
      <c r="C1880" s="13" t="s">
        <v>3705</v>
      </c>
      <c r="D1880" s="13" t="s">
        <v>12</v>
      </c>
      <c r="E1880" s="13" t="s">
        <v>54</v>
      </c>
      <c r="F1880" s="13">
        <v>2015.0</v>
      </c>
      <c r="G1880" s="13">
        <v>10037.0</v>
      </c>
      <c r="H1880" s="13">
        <v>816.82</v>
      </c>
      <c r="I1880" s="13">
        <f>' car_sales_data 1'!$G1880*0.2</f>
        <v>2007.4</v>
      </c>
      <c r="J1880" s="13" t="str">
        <f>TEXT(' car_sales_data 1'!$A1880,"mmmm")</f>
        <v>January</v>
      </c>
      <c r="K1880" s="13" t="str">
        <f>IF(' car_sales_data 1'!$G1880&gt;40000,"Premium",
 IF(' car_sales_data 1'!$G1880&gt;=20000,"Mid Range","Budget"))</f>
        <v>Budget</v>
      </c>
      <c r="L1880" s="13">
        <f>YEAR(TODAY())-' car_sales_data 1'!$F1880</f>
        <v>10</v>
      </c>
    </row>
    <row r="1881" ht="15.75" customHeight="1">
      <c r="A1881" s="16">
        <v>44721.0</v>
      </c>
      <c r="B1881" s="13" t="s">
        <v>3706</v>
      </c>
      <c r="C1881" s="13" t="s">
        <v>3707</v>
      </c>
      <c r="D1881" s="13" t="s">
        <v>10</v>
      </c>
      <c r="E1881" s="13" t="s">
        <v>51</v>
      </c>
      <c r="F1881" s="13">
        <v>2016.0</v>
      </c>
      <c r="G1881" s="13">
        <v>12211.0</v>
      </c>
      <c r="H1881" s="13">
        <v>1446.87</v>
      </c>
      <c r="I1881" s="13">
        <f>' car_sales_data 1'!$G1881*0.2</f>
        <v>2442.2</v>
      </c>
      <c r="J1881" s="13" t="str">
        <f>TEXT(' car_sales_data 1'!$A1881,"mmmm")</f>
        <v>June</v>
      </c>
      <c r="K1881" s="13" t="str">
        <f>IF(' car_sales_data 1'!$G1881&gt;40000,"Premium",
 IF(' car_sales_data 1'!$G1881&gt;=20000,"Mid Range","Budget"))</f>
        <v>Budget</v>
      </c>
      <c r="L1881" s="13">
        <f>YEAR(TODAY())-' car_sales_data 1'!$F1881</f>
        <v>9</v>
      </c>
    </row>
    <row r="1882" ht="15.75" customHeight="1">
      <c r="A1882" s="16">
        <v>44931.0</v>
      </c>
      <c r="B1882" s="13" t="s">
        <v>3708</v>
      </c>
      <c r="C1882" s="13" t="s">
        <v>3709</v>
      </c>
      <c r="D1882" s="13" t="s">
        <v>12</v>
      </c>
      <c r="E1882" s="13" t="s">
        <v>70</v>
      </c>
      <c r="F1882" s="13">
        <v>2014.0</v>
      </c>
      <c r="G1882" s="13">
        <v>45307.0</v>
      </c>
      <c r="H1882" s="13">
        <v>4310.77</v>
      </c>
      <c r="I1882" s="13">
        <f>' car_sales_data 1'!$G1882*0.2</f>
        <v>9061.4</v>
      </c>
      <c r="J1882" s="13" t="str">
        <f>TEXT(' car_sales_data 1'!$A1882,"mmmm")</f>
        <v>January</v>
      </c>
      <c r="K1882" s="13" t="str">
        <f>IF(' car_sales_data 1'!$G1882&gt;40000,"Premium",
 IF(' car_sales_data 1'!$G1882&gt;=20000,"Mid Range","Budget"))</f>
        <v>Premium</v>
      </c>
      <c r="L1882" s="13">
        <f>YEAR(TODAY())-' car_sales_data 1'!$F1882</f>
        <v>11</v>
      </c>
    </row>
    <row r="1883" ht="15.75" customHeight="1">
      <c r="A1883" s="16">
        <v>44925.0</v>
      </c>
      <c r="B1883" s="13" t="s">
        <v>3710</v>
      </c>
      <c r="C1883" s="13" t="s">
        <v>3711</v>
      </c>
      <c r="D1883" s="13" t="s">
        <v>8</v>
      </c>
      <c r="E1883" s="13" t="s">
        <v>51</v>
      </c>
      <c r="F1883" s="13">
        <v>2019.0</v>
      </c>
      <c r="G1883" s="13">
        <v>12380.0</v>
      </c>
      <c r="H1883" s="13">
        <v>1295.11</v>
      </c>
      <c r="I1883" s="13">
        <f>' car_sales_data 1'!$G1883*0.2</f>
        <v>2476</v>
      </c>
      <c r="J1883" s="13" t="str">
        <f>TEXT(' car_sales_data 1'!$A1883,"mmmm")</f>
        <v>December</v>
      </c>
      <c r="K1883" s="13" t="str">
        <f>IF(' car_sales_data 1'!$G1883&gt;40000,"Premium",
 IF(' car_sales_data 1'!$G1883&gt;=20000,"Mid Range","Budget"))</f>
        <v>Budget</v>
      </c>
      <c r="L1883" s="13">
        <f>YEAR(TODAY())-' car_sales_data 1'!$F1883</f>
        <v>6</v>
      </c>
    </row>
    <row r="1884" ht="15.75" customHeight="1">
      <c r="A1884" s="16">
        <v>44822.0</v>
      </c>
      <c r="B1884" s="13" t="s">
        <v>3712</v>
      </c>
      <c r="C1884" s="13" t="s">
        <v>3713</v>
      </c>
      <c r="D1884" s="13" t="s">
        <v>10</v>
      </c>
      <c r="E1884" s="13" t="s">
        <v>62</v>
      </c>
      <c r="F1884" s="13">
        <v>2016.0</v>
      </c>
      <c r="G1884" s="13">
        <v>46931.0</v>
      </c>
      <c r="H1884" s="13">
        <v>4343.39</v>
      </c>
      <c r="I1884" s="13">
        <f>' car_sales_data 1'!$G1884*0.2</f>
        <v>9386.2</v>
      </c>
      <c r="J1884" s="13" t="str">
        <f>TEXT(' car_sales_data 1'!$A1884,"mmmm")</f>
        <v>September</v>
      </c>
      <c r="K1884" s="13" t="str">
        <f>IF(' car_sales_data 1'!$G1884&gt;40000,"Premium",
 IF(' car_sales_data 1'!$G1884&gt;=20000,"Mid Range","Budget"))</f>
        <v>Premium</v>
      </c>
      <c r="L1884" s="13">
        <f>YEAR(TODAY())-' car_sales_data 1'!$F1884</f>
        <v>9</v>
      </c>
    </row>
    <row r="1885" ht="15.75" customHeight="1">
      <c r="A1885" s="16">
        <v>44820.0</v>
      </c>
      <c r="B1885" s="13" t="s">
        <v>3714</v>
      </c>
      <c r="C1885" s="13" t="s">
        <v>3715</v>
      </c>
      <c r="D1885" s="13" t="s">
        <v>8</v>
      </c>
      <c r="E1885" s="13" t="s">
        <v>51</v>
      </c>
      <c r="F1885" s="13">
        <v>2022.0</v>
      </c>
      <c r="G1885" s="13">
        <v>36564.0</v>
      </c>
      <c r="H1885" s="13">
        <v>3790.88</v>
      </c>
      <c r="I1885" s="13">
        <f>' car_sales_data 1'!$G1885*0.2</f>
        <v>7312.8</v>
      </c>
      <c r="J1885" s="13" t="str">
        <f>TEXT(' car_sales_data 1'!$A1885,"mmmm")</f>
        <v>September</v>
      </c>
      <c r="K1885" s="13" t="str">
        <f>IF(' car_sales_data 1'!$G1885&gt;40000,"Premium",
 IF(' car_sales_data 1'!$G1885&gt;=20000,"Mid Range","Budget"))</f>
        <v>Mid Range</v>
      </c>
      <c r="L1885" s="13">
        <f>YEAR(TODAY())-' car_sales_data 1'!$F1885</f>
        <v>3</v>
      </c>
    </row>
    <row r="1886" ht="15.75" customHeight="1">
      <c r="A1886" s="16">
        <v>44949.0</v>
      </c>
      <c r="B1886" s="13" t="s">
        <v>3716</v>
      </c>
      <c r="C1886" s="13" t="s">
        <v>3717</v>
      </c>
      <c r="D1886" s="13" t="s">
        <v>10</v>
      </c>
      <c r="E1886" s="13" t="s">
        <v>54</v>
      </c>
      <c r="F1886" s="13">
        <v>2022.0</v>
      </c>
      <c r="G1886" s="13">
        <v>39519.0</v>
      </c>
      <c r="H1886" s="13">
        <v>3025.76</v>
      </c>
      <c r="I1886" s="13">
        <f>' car_sales_data 1'!$G1886*0.2</f>
        <v>7903.8</v>
      </c>
      <c r="J1886" s="13" t="str">
        <f>TEXT(' car_sales_data 1'!$A1886,"mmmm")</f>
        <v>January</v>
      </c>
      <c r="K1886" s="13" t="str">
        <f>IF(' car_sales_data 1'!$G1886&gt;40000,"Premium",
 IF(' car_sales_data 1'!$G1886&gt;=20000,"Mid Range","Budget"))</f>
        <v>Mid Range</v>
      </c>
      <c r="L1886" s="13">
        <f>YEAR(TODAY())-' car_sales_data 1'!$F1886</f>
        <v>3</v>
      </c>
    </row>
    <row r="1887" ht="15.75" customHeight="1">
      <c r="A1887" s="16">
        <v>44780.0</v>
      </c>
      <c r="B1887" s="13" t="s">
        <v>3718</v>
      </c>
      <c r="C1887" s="13" t="s">
        <v>3719</v>
      </c>
      <c r="D1887" s="13" t="s">
        <v>12</v>
      </c>
      <c r="E1887" s="13" t="s">
        <v>57</v>
      </c>
      <c r="F1887" s="13">
        <v>2012.0</v>
      </c>
      <c r="G1887" s="13">
        <v>15573.0</v>
      </c>
      <c r="H1887" s="13">
        <v>1053.66</v>
      </c>
      <c r="I1887" s="13">
        <f>' car_sales_data 1'!$G1887*0.2</f>
        <v>3114.6</v>
      </c>
      <c r="J1887" s="13" t="str">
        <f>TEXT(' car_sales_data 1'!$A1887,"mmmm")</f>
        <v>August</v>
      </c>
      <c r="K1887" s="13" t="str">
        <f>IF(' car_sales_data 1'!$G1887&gt;40000,"Premium",
 IF(' car_sales_data 1'!$G1887&gt;=20000,"Mid Range","Budget"))</f>
        <v>Budget</v>
      </c>
      <c r="L1887" s="13">
        <f>YEAR(TODAY())-' car_sales_data 1'!$F1887</f>
        <v>13</v>
      </c>
    </row>
    <row r="1888" ht="15.75" customHeight="1">
      <c r="A1888" s="16">
        <v>45047.0</v>
      </c>
      <c r="B1888" s="13" t="s">
        <v>3720</v>
      </c>
      <c r="C1888" s="13" t="s">
        <v>3721</v>
      </c>
      <c r="D1888" s="13" t="s">
        <v>10</v>
      </c>
      <c r="E1888" s="13" t="s">
        <v>70</v>
      </c>
      <c r="F1888" s="13">
        <v>2013.0</v>
      </c>
      <c r="G1888" s="13">
        <v>28605.0</v>
      </c>
      <c r="H1888" s="13">
        <v>4259.52</v>
      </c>
      <c r="I1888" s="13">
        <f>' car_sales_data 1'!$G1888*0.2</f>
        <v>5721</v>
      </c>
      <c r="J1888" s="13" t="str">
        <f>TEXT(' car_sales_data 1'!$A1888,"mmmm")</f>
        <v>May</v>
      </c>
      <c r="K1888" s="13" t="str">
        <f>IF(' car_sales_data 1'!$G1888&gt;40000,"Premium",
 IF(' car_sales_data 1'!$G1888&gt;=20000,"Mid Range","Budget"))</f>
        <v>Mid Range</v>
      </c>
      <c r="L1888" s="13">
        <f>YEAR(TODAY())-' car_sales_data 1'!$F1888</f>
        <v>12</v>
      </c>
    </row>
    <row r="1889" ht="15.75" customHeight="1">
      <c r="A1889" s="16">
        <v>44771.0</v>
      </c>
      <c r="B1889" s="13" t="s">
        <v>3722</v>
      </c>
      <c r="C1889" s="13" t="s">
        <v>3723</v>
      </c>
      <c r="D1889" s="13" t="s">
        <v>12</v>
      </c>
      <c r="E1889" s="13" t="s">
        <v>62</v>
      </c>
      <c r="F1889" s="13">
        <v>2018.0</v>
      </c>
      <c r="G1889" s="13">
        <v>40928.0</v>
      </c>
      <c r="H1889" s="13">
        <v>2224.28</v>
      </c>
      <c r="I1889" s="13">
        <f>' car_sales_data 1'!$G1889*0.2</f>
        <v>8185.6</v>
      </c>
      <c r="J1889" s="13" t="str">
        <f>TEXT(' car_sales_data 1'!$A1889,"mmmm")</f>
        <v>July</v>
      </c>
      <c r="K1889" s="13" t="str">
        <f>IF(' car_sales_data 1'!$G1889&gt;40000,"Premium",
 IF(' car_sales_data 1'!$G1889&gt;=20000,"Mid Range","Budget"))</f>
        <v>Premium</v>
      </c>
      <c r="L1889" s="13">
        <f>YEAR(TODAY())-' car_sales_data 1'!$F1889</f>
        <v>7</v>
      </c>
    </row>
    <row r="1890" ht="15.75" customHeight="1">
      <c r="A1890" s="16">
        <v>44694.0</v>
      </c>
      <c r="B1890" s="13" t="s">
        <v>3724</v>
      </c>
      <c r="C1890" s="13" t="s">
        <v>3725</v>
      </c>
      <c r="D1890" s="13" t="s">
        <v>8</v>
      </c>
      <c r="E1890" s="13" t="s">
        <v>57</v>
      </c>
      <c r="F1890" s="13">
        <v>2018.0</v>
      </c>
      <c r="G1890" s="13">
        <v>31434.0</v>
      </c>
      <c r="H1890" s="13">
        <v>1932.71</v>
      </c>
      <c r="I1890" s="13">
        <f>' car_sales_data 1'!$G1890*0.2</f>
        <v>6286.8</v>
      </c>
      <c r="J1890" s="13" t="str">
        <f>TEXT(' car_sales_data 1'!$A1890,"mmmm")</f>
        <v>May</v>
      </c>
      <c r="K1890" s="13" t="str">
        <f>IF(' car_sales_data 1'!$G1890&gt;40000,"Premium",
 IF(' car_sales_data 1'!$G1890&gt;=20000,"Mid Range","Budget"))</f>
        <v>Mid Range</v>
      </c>
      <c r="L1890" s="13">
        <f>YEAR(TODAY())-' car_sales_data 1'!$F1890</f>
        <v>7</v>
      </c>
    </row>
    <row r="1891" ht="15.75" customHeight="1">
      <c r="A1891" s="16">
        <v>44889.0</v>
      </c>
      <c r="B1891" s="13" t="s">
        <v>3726</v>
      </c>
      <c r="C1891" s="13" t="s">
        <v>3727</v>
      </c>
      <c r="D1891" s="13" t="s">
        <v>12</v>
      </c>
      <c r="E1891" s="13" t="s">
        <v>51</v>
      </c>
      <c r="F1891" s="13">
        <v>2020.0</v>
      </c>
      <c r="G1891" s="13">
        <v>32004.0</v>
      </c>
      <c r="H1891" s="13">
        <v>4457.97</v>
      </c>
      <c r="I1891" s="13">
        <f>' car_sales_data 1'!$G1891*0.2</f>
        <v>6400.8</v>
      </c>
      <c r="J1891" s="13" t="str">
        <f>TEXT(' car_sales_data 1'!$A1891,"mmmm")</f>
        <v>November</v>
      </c>
      <c r="K1891" s="13" t="str">
        <f>IF(' car_sales_data 1'!$G1891&gt;40000,"Premium",
 IF(' car_sales_data 1'!$G1891&gt;=20000,"Mid Range","Budget"))</f>
        <v>Mid Range</v>
      </c>
      <c r="L1891" s="13">
        <f>YEAR(TODAY())-' car_sales_data 1'!$F1891</f>
        <v>5</v>
      </c>
    </row>
    <row r="1892" ht="15.75" customHeight="1">
      <c r="A1892" s="16">
        <v>44972.0</v>
      </c>
      <c r="B1892" s="13" t="s">
        <v>3728</v>
      </c>
      <c r="C1892" s="13" t="s">
        <v>3729</v>
      </c>
      <c r="D1892" s="13" t="s">
        <v>8</v>
      </c>
      <c r="E1892" s="13" t="s">
        <v>62</v>
      </c>
      <c r="F1892" s="13">
        <v>2017.0</v>
      </c>
      <c r="G1892" s="13">
        <v>49808.0</v>
      </c>
      <c r="H1892" s="13">
        <v>6013.98</v>
      </c>
      <c r="I1892" s="13">
        <f>' car_sales_data 1'!$G1892*0.2</f>
        <v>9961.6</v>
      </c>
      <c r="J1892" s="13" t="str">
        <f>TEXT(' car_sales_data 1'!$A1892,"mmmm")</f>
        <v>February</v>
      </c>
      <c r="K1892" s="13" t="str">
        <f>IF(' car_sales_data 1'!$G1892&gt;40000,"Premium",
 IF(' car_sales_data 1'!$G1892&gt;=20000,"Mid Range","Budget"))</f>
        <v>Premium</v>
      </c>
      <c r="L1892" s="13">
        <f>YEAR(TODAY())-' car_sales_data 1'!$F1892</f>
        <v>8</v>
      </c>
    </row>
    <row r="1893" ht="15.75" customHeight="1">
      <c r="A1893" s="16">
        <v>44723.0</v>
      </c>
      <c r="B1893" s="13" t="s">
        <v>3730</v>
      </c>
      <c r="C1893" s="13" t="s">
        <v>3731</v>
      </c>
      <c r="D1893" s="13" t="s">
        <v>14</v>
      </c>
      <c r="E1893" s="13" t="s">
        <v>62</v>
      </c>
      <c r="F1893" s="13">
        <v>2019.0</v>
      </c>
      <c r="G1893" s="13">
        <v>31880.0</v>
      </c>
      <c r="H1893" s="13">
        <v>3195.62</v>
      </c>
      <c r="I1893" s="13">
        <f>' car_sales_data 1'!$G1893*0.2</f>
        <v>6376</v>
      </c>
      <c r="J1893" s="13" t="str">
        <f>TEXT(' car_sales_data 1'!$A1893,"mmmm")</f>
        <v>June</v>
      </c>
      <c r="K1893" s="13" t="str">
        <f>IF(' car_sales_data 1'!$G1893&gt;40000,"Premium",
 IF(' car_sales_data 1'!$G1893&gt;=20000,"Mid Range","Budget"))</f>
        <v>Mid Range</v>
      </c>
      <c r="L1893" s="13">
        <f>YEAR(TODAY())-' car_sales_data 1'!$F1893</f>
        <v>6</v>
      </c>
    </row>
    <row r="1894" ht="15.75" customHeight="1">
      <c r="A1894" s="16">
        <v>44726.0</v>
      </c>
      <c r="B1894" s="13" t="s">
        <v>3732</v>
      </c>
      <c r="C1894" s="13" t="s">
        <v>3733</v>
      </c>
      <c r="D1894" s="13" t="s">
        <v>12</v>
      </c>
      <c r="E1894" s="13" t="s">
        <v>54</v>
      </c>
      <c r="F1894" s="13">
        <v>2014.0</v>
      </c>
      <c r="G1894" s="13">
        <v>15570.0</v>
      </c>
      <c r="H1894" s="13">
        <v>911.9</v>
      </c>
      <c r="I1894" s="13">
        <f>' car_sales_data 1'!$G1894*0.2</f>
        <v>3114</v>
      </c>
      <c r="J1894" s="13" t="str">
        <f>TEXT(' car_sales_data 1'!$A1894,"mmmm")</f>
        <v>June</v>
      </c>
      <c r="K1894" s="13" t="str">
        <f>IF(' car_sales_data 1'!$G1894&gt;40000,"Premium",
 IF(' car_sales_data 1'!$G1894&gt;=20000,"Mid Range","Budget"))</f>
        <v>Budget</v>
      </c>
      <c r="L1894" s="13">
        <f>YEAR(TODAY())-' car_sales_data 1'!$F1894</f>
        <v>11</v>
      </c>
    </row>
    <row r="1895" ht="15.75" customHeight="1">
      <c r="A1895" s="16">
        <v>44863.0</v>
      </c>
      <c r="B1895" s="13" t="s">
        <v>3734</v>
      </c>
      <c r="C1895" s="13" t="s">
        <v>3735</v>
      </c>
      <c r="D1895" s="13" t="s">
        <v>6</v>
      </c>
      <c r="E1895" s="13" t="s">
        <v>54</v>
      </c>
      <c r="F1895" s="13">
        <v>2015.0</v>
      </c>
      <c r="G1895" s="13">
        <v>44582.0</v>
      </c>
      <c r="H1895" s="13">
        <v>6584.66</v>
      </c>
      <c r="I1895" s="13">
        <f>' car_sales_data 1'!$G1895*0.2</f>
        <v>8916.4</v>
      </c>
      <c r="J1895" s="13" t="str">
        <f>TEXT(' car_sales_data 1'!$A1895,"mmmm")</f>
        <v>October</v>
      </c>
      <c r="K1895" s="13" t="str">
        <f>IF(' car_sales_data 1'!$G1895&gt;40000,"Premium",
 IF(' car_sales_data 1'!$G1895&gt;=20000,"Mid Range","Budget"))</f>
        <v>Premium</v>
      </c>
      <c r="L1895" s="13">
        <f>YEAR(TODAY())-' car_sales_data 1'!$F1895</f>
        <v>10</v>
      </c>
    </row>
    <row r="1896" ht="15.75" customHeight="1">
      <c r="A1896" s="16">
        <v>45003.0</v>
      </c>
      <c r="B1896" s="13" t="s">
        <v>3736</v>
      </c>
      <c r="C1896" s="13" t="s">
        <v>3737</v>
      </c>
      <c r="D1896" s="13" t="s">
        <v>10</v>
      </c>
      <c r="E1896" s="13" t="s">
        <v>54</v>
      </c>
      <c r="F1896" s="13">
        <v>2013.0</v>
      </c>
      <c r="G1896" s="13">
        <v>42706.0</v>
      </c>
      <c r="H1896" s="13">
        <v>4092.35</v>
      </c>
      <c r="I1896" s="13">
        <f>' car_sales_data 1'!$G1896*0.2</f>
        <v>8541.2</v>
      </c>
      <c r="J1896" s="13" t="str">
        <f>TEXT(' car_sales_data 1'!$A1896,"mmmm")</f>
        <v>March</v>
      </c>
      <c r="K1896" s="13" t="str">
        <f>IF(' car_sales_data 1'!$G1896&gt;40000,"Premium",
 IF(' car_sales_data 1'!$G1896&gt;=20000,"Mid Range","Budget"))</f>
        <v>Premium</v>
      </c>
      <c r="L1896" s="13">
        <f>YEAR(TODAY())-' car_sales_data 1'!$F1896</f>
        <v>12</v>
      </c>
    </row>
    <row r="1897" ht="15.75" customHeight="1">
      <c r="A1897" s="16">
        <v>44705.0</v>
      </c>
      <c r="B1897" s="13" t="s">
        <v>3738</v>
      </c>
      <c r="C1897" s="13" t="s">
        <v>3739</v>
      </c>
      <c r="D1897" s="13" t="s">
        <v>10</v>
      </c>
      <c r="E1897" s="13" t="s">
        <v>57</v>
      </c>
      <c r="F1897" s="13">
        <v>2018.0</v>
      </c>
      <c r="G1897" s="13">
        <v>17437.0</v>
      </c>
      <c r="H1897" s="13">
        <v>1844.12</v>
      </c>
      <c r="I1897" s="13">
        <f>' car_sales_data 1'!$G1897*0.2</f>
        <v>3487.4</v>
      </c>
      <c r="J1897" s="13" t="str">
        <f>TEXT(' car_sales_data 1'!$A1897,"mmmm")</f>
        <v>May</v>
      </c>
      <c r="K1897" s="13" t="str">
        <f>IF(' car_sales_data 1'!$G1897&gt;40000,"Premium",
 IF(' car_sales_data 1'!$G1897&gt;=20000,"Mid Range","Budget"))</f>
        <v>Budget</v>
      </c>
      <c r="L1897" s="13">
        <f>YEAR(TODAY())-' car_sales_data 1'!$F1897</f>
        <v>7</v>
      </c>
    </row>
    <row r="1898" ht="15.75" customHeight="1">
      <c r="A1898" s="16">
        <v>44784.0</v>
      </c>
      <c r="B1898" s="13" t="s">
        <v>3740</v>
      </c>
      <c r="C1898" s="13" t="s">
        <v>3741</v>
      </c>
      <c r="D1898" s="13" t="s">
        <v>12</v>
      </c>
      <c r="E1898" s="13" t="s">
        <v>62</v>
      </c>
      <c r="F1898" s="13">
        <v>2021.0</v>
      </c>
      <c r="G1898" s="13">
        <v>38226.0</v>
      </c>
      <c r="H1898" s="13">
        <v>4764.85</v>
      </c>
      <c r="I1898" s="13">
        <f>' car_sales_data 1'!$G1898*0.2</f>
        <v>7645.2</v>
      </c>
      <c r="J1898" s="13" t="str">
        <f>TEXT(' car_sales_data 1'!$A1898,"mmmm")</f>
        <v>August</v>
      </c>
      <c r="K1898" s="13" t="str">
        <f>IF(' car_sales_data 1'!$G1898&gt;40000,"Premium",
 IF(' car_sales_data 1'!$G1898&gt;=20000,"Mid Range","Budget"))</f>
        <v>Mid Range</v>
      </c>
      <c r="L1898" s="13">
        <f>YEAR(TODAY())-' car_sales_data 1'!$F1898</f>
        <v>4</v>
      </c>
    </row>
    <row r="1899" ht="15.75" customHeight="1">
      <c r="A1899" s="16">
        <v>44886.0</v>
      </c>
      <c r="B1899" s="13" t="s">
        <v>3742</v>
      </c>
      <c r="C1899" s="13" t="s">
        <v>3743</v>
      </c>
      <c r="D1899" s="13" t="s">
        <v>8</v>
      </c>
      <c r="E1899" s="13" t="s">
        <v>70</v>
      </c>
      <c r="F1899" s="13">
        <v>2021.0</v>
      </c>
      <c r="G1899" s="13">
        <v>44988.0</v>
      </c>
      <c r="H1899" s="13">
        <v>5706.25</v>
      </c>
      <c r="I1899" s="13">
        <f>' car_sales_data 1'!$G1899*0.2</f>
        <v>8997.6</v>
      </c>
      <c r="J1899" s="13" t="str">
        <f>TEXT(' car_sales_data 1'!$A1899,"mmmm")</f>
        <v>November</v>
      </c>
      <c r="K1899" s="13" t="str">
        <f>IF(' car_sales_data 1'!$G1899&gt;40000,"Premium",
 IF(' car_sales_data 1'!$G1899&gt;=20000,"Mid Range","Budget"))</f>
        <v>Premium</v>
      </c>
      <c r="L1899" s="13">
        <f>YEAR(TODAY())-' car_sales_data 1'!$F1899</f>
        <v>4</v>
      </c>
    </row>
    <row r="1900" ht="15.75" customHeight="1">
      <c r="A1900" s="16">
        <v>44883.0</v>
      </c>
      <c r="B1900" s="13" t="s">
        <v>3744</v>
      </c>
      <c r="C1900" s="13" t="s">
        <v>3745</v>
      </c>
      <c r="D1900" s="13" t="s">
        <v>6</v>
      </c>
      <c r="E1900" s="13" t="s">
        <v>51</v>
      </c>
      <c r="F1900" s="13">
        <v>2014.0</v>
      </c>
      <c r="G1900" s="13">
        <v>25683.0</v>
      </c>
      <c r="H1900" s="13">
        <v>3822.8</v>
      </c>
      <c r="I1900" s="13">
        <f>' car_sales_data 1'!$G1900*0.2</f>
        <v>5136.6</v>
      </c>
      <c r="J1900" s="13" t="str">
        <f>TEXT(' car_sales_data 1'!$A1900,"mmmm")</f>
        <v>November</v>
      </c>
      <c r="K1900" s="13" t="str">
        <f>IF(' car_sales_data 1'!$G1900&gt;40000,"Premium",
 IF(' car_sales_data 1'!$G1900&gt;=20000,"Mid Range","Budget"))</f>
        <v>Mid Range</v>
      </c>
      <c r="L1900" s="13">
        <f>YEAR(TODAY())-' car_sales_data 1'!$F1900</f>
        <v>11</v>
      </c>
    </row>
    <row r="1901" ht="15.75" customHeight="1">
      <c r="A1901" s="16">
        <v>45029.0</v>
      </c>
      <c r="B1901" s="13" t="s">
        <v>3746</v>
      </c>
      <c r="C1901" s="13" t="s">
        <v>3747</v>
      </c>
      <c r="D1901" s="13" t="s">
        <v>8</v>
      </c>
      <c r="E1901" s="13" t="s">
        <v>70</v>
      </c>
      <c r="F1901" s="13">
        <v>2013.0</v>
      </c>
      <c r="G1901" s="13">
        <v>13593.0</v>
      </c>
      <c r="H1901" s="13">
        <v>796.18</v>
      </c>
      <c r="I1901" s="13">
        <f>' car_sales_data 1'!$G1901*0.2</f>
        <v>2718.6</v>
      </c>
      <c r="J1901" s="13" t="str">
        <f>TEXT(' car_sales_data 1'!$A1901,"mmmm")</f>
        <v>April</v>
      </c>
      <c r="K1901" s="13" t="str">
        <f>IF(' car_sales_data 1'!$G1901&gt;40000,"Premium",
 IF(' car_sales_data 1'!$G1901&gt;=20000,"Mid Range","Budget"))</f>
        <v>Budget</v>
      </c>
      <c r="L1901" s="13">
        <f>YEAR(TODAY())-' car_sales_data 1'!$F1901</f>
        <v>12</v>
      </c>
    </row>
    <row r="1902" ht="15.75" customHeight="1">
      <c r="A1902" s="16">
        <v>45046.0</v>
      </c>
      <c r="B1902" s="13" t="s">
        <v>3748</v>
      </c>
      <c r="C1902" s="13" t="s">
        <v>3749</v>
      </c>
      <c r="D1902" s="13" t="s">
        <v>10</v>
      </c>
      <c r="E1902" s="13" t="s">
        <v>51</v>
      </c>
      <c r="F1902" s="13">
        <v>2017.0</v>
      </c>
      <c r="G1902" s="13">
        <v>33277.0</v>
      </c>
      <c r="H1902" s="13">
        <v>2526.08</v>
      </c>
      <c r="I1902" s="13">
        <f>' car_sales_data 1'!$G1902*0.2</f>
        <v>6655.4</v>
      </c>
      <c r="J1902" s="13" t="str">
        <f>TEXT(' car_sales_data 1'!$A1902,"mmmm")</f>
        <v>April</v>
      </c>
      <c r="K1902" s="13" t="str">
        <f>IF(' car_sales_data 1'!$G1902&gt;40000,"Premium",
 IF(' car_sales_data 1'!$G1902&gt;=20000,"Mid Range","Budget"))</f>
        <v>Mid Range</v>
      </c>
      <c r="L1902" s="13">
        <f>YEAR(TODAY())-' car_sales_data 1'!$F1902</f>
        <v>8</v>
      </c>
    </row>
    <row r="1903" ht="15.75" customHeight="1">
      <c r="A1903" s="16">
        <v>44772.0</v>
      </c>
      <c r="B1903" s="13" t="s">
        <v>3750</v>
      </c>
      <c r="C1903" s="13" t="s">
        <v>3751</v>
      </c>
      <c r="D1903" s="13" t="s">
        <v>14</v>
      </c>
      <c r="E1903" s="13" t="s">
        <v>54</v>
      </c>
      <c r="F1903" s="13">
        <v>2012.0</v>
      </c>
      <c r="G1903" s="13">
        <v>22457.0</v>
      </c>
      <c r="H1903" s="13">
        <v>1401.91</v>
      </c>
      <c r="I1903" s="13">
        <f>' car_sales_data 1'!$G1903*0.2</f>
        <v>4491.4</v>
      </c>
      <c r="J1903" s="13" t="str">
        <f>TEXT(' car_sales_data 1'!$A1903,"mmmm")</f>
        <v>July</v>
      </c>
      <c r="K1903" s="13" t="str">
        <f>IF(' car_sales_data 1'!$G1903&gt;40000,"Premium",
 IF(' car_sales_data 1'!$G1903&gt;=20000,"Mid Range","Budget"))</f>
        <v>Mid Range</v>
      </c>
      <c r="L1903" s="13">
        <f>YEAR(TODAY())-' car_sales_data 1'!$F1903</f>
        <v>13</v>
      </c>
    </row>
    <row r="1904" ht="15.75" customHeight="1">
      <c r="A1904" s="16">
        <v>44767.0</v>
      </c>
      <c r="B1904" s="13" t="s">
        <v>3752</v>
      </c>
      <c r="C1904" s="13" t="s">
        <v>3753</v>
      </c>
      <c r="D1904" s="13" t="s">
        <v>10</v>
      </c>
      <c r="E1904" s="13" t="s">
        <v>62</v>
      </c>
      <c r="F1904" s="13">
        <v>2020.0</v>
      </c>
      <c r="G1904" s="13">
        <v>32132.0</v>
      </c>
      <c r="H1904" s="13">
        <v>4353.12</v>
      </c>
      <c r="I1904" s="13">
        <f>' car_sales_data 1'!$G1904*0.2</f>
        <v>6426.4</v>
      </c>
      <c r="J1904" s="13" t="str">
        <f>TEXT(' car_sales_data 1'!$A1904,"mmmm")</f>
        <v>July</v>
      </c>
      <c r="K1904" s="13" t="str">
        <f>IF(' car_sales_data 1'!$G1904&gt;40000,"Premium",
 IF(' car_sales_data 1'!$G1904&gt;=20000,"Mid Range","Budget"))</f>
        <v>Mid Range</v>
      </c>
      <c r="L1904" s="13">
        <f>YEAR(TODAY())-' car_sales_data 1'!$F1904</f>
        <v>5</v>
      </c>
    </row>
    <row r="1905" ht="15.75" customHeight="1">
      <c r="A1905" s="16">
        <v>44933.0</v>
      </c>
      <c r="B1905" s="13" t="s">
        <v>3754</v>
      </c>
      <c r="C1905" s="13" t="s">
        <v>3755</v>
      </c>
      <c r="D1905" s="13" t="s">
        <v>8</v>
      </c>
      <c r="E1905" s="13" t="s">
        <v>57</v>
      </c>
      <c r="F1905" s="13">
        <v>2014.0</v>
      </c>
      <c r="G1905" s="13">
        <v>12614.0</v>
      </c>
      <c r="H1905" s="13">
        <v>1062.2</v>
      </c>
      <c r="I1905" s="13">
        <f>' car_sales_data 1'!$G1905*0.2</f>
        <v>2522.8</v>
      </c>
      <c r="J1905" s="13" t="str">
        <f>TEXT(' car_sales_data 1'!$A1905,"mmmm")</f>
        <v>January</v>
      </c>
      <c r="K1905" s="13" t="str">
        <f>IF(' car_sales_data 1'!$G1905&gt;40000,"Premium",
 IF(' car_sales_data 1'!$G1905&gt;=20000,"Mid Range","Budget"))</f>
        <v>Budget</v>
      </c>
      <c r="L1905" s="13">
        <f>YEAR(TODAY())-' car_sales_data 1'!$F1905</f>
        <v>11</v>
      </c>
    </row>
    <row r="1906" ht="15.75" customHeight="1">
      <c r="A1906" s="16">
        <v>44851.0</v>
      </c>
      <c r="B1906" s="13" t="s">
        <v>3756</v>
      </c>
      <c r="C1906" s="13" t="s">
        <v>3757</v>
      </c>
      <c r="D1906" s="13" t="s">
        <v>6</v>
      </c>
      <c r="E1906" s="13" t="s">
        <v>70</v>
      </c>
      <c r="F1906" s="13">
        <v>2017.0</v>
      </c>
      <c r="G1906" s="13">
        <v>32380.0</v>
      </c>
      <c r="H1906" s="13">
        <v>4226.07</v>
      </c>
      <c r="I1906" s="13">
        <f>' car_sales_data 1'!$G1906*0.2</f>
        <v>6476</v>
      </c>
      <c r="J1906" s="13" t="str">
        <f>TEXT(' car_sales_data 1'!$A1906,"mmmm")</f>
        <v>October</v>
      </c>
      <c r="K1906" s="13" t="str">
        <f>IF(' car_sales_data 1'!$G1906&gt;40000,"Premium",
 IF(' car_sales_data 1'!$G1906&gt;=20000,"Mid Range","Budget"))</f>
        <v>Mid Range</v>
      </c>
      <c r="L1906" s="13">
        <f>YEAR(TODAY())-' car_sales_data 1'!$F1906</f>
        <v>8</v>
      </c>
    </row>
    <row r="1907" ht="15.75" customHeight="1">
      <c r="A1907" s="16">
        <v>45043.0</v>
      </c>
      <c r="B1907" s="13" t="s">
        <v>3758</v>
      </c>
      <c r="C1907" s="13" t="s">
        <v>3759</v>
      </c>
      <c r="D1907" s="13" t="s">
        <v>8</v>
      </c>
      <c r="E1907" s="13" t="s">
        <v>51</v>
      </c>
      <c r="F1907" s="13">
        <v>2010.0</v>
      </c>
      <c r="G1907" s="13">
        <v>23784.0</v>
      </c>
      <c r="H1907" s="13">
        <v>3072.57</v>
      </c>
      <c r="I1907" s="13">
        <f>' car_sales_data 1'!$G1907*0.2</f>
        <v>4756.8</v>
      </c>
      <c r="J1907" s="13" t="str">
        <f>TEXT(' car_sales_data 1'!$A1907,"mmmm")</f>
        <v>April</v>
      </c>
      <c r="K1907" s="13" t="str">
        <f>IF(' car_sales_data 1'!$G1907&gt;40000,"Premium",
 IF(' car_sales_data 1'!$G1907&gt;=20000,"Mid Range","Budget"))</f>
        <v>Mid Range</v>
      </c>
      <c r="L1907" s="13">
        <f>YEAR(TODAY())-' car_sales_data 1'!$F1907</f>
        <v>15</v>
      </c>
    </row>
    <row r="1908" ht="15.75" customHeight="1">
      <c r="A1908" s="16">
        <v>45036.0</v>
      </c>
      <c r="B1908" s="13" t="s">
        <v>3760</v>
      </c>
      <c r="C1908" s="13" t="s">
        <v>76</v>
      </c>
      <c r="D1908" s="13" t="s">
        <v>14</v>
      </c>
      <c r="E1908" s="13" t="s">
        <v>70</v>
      </c>
      <c r="F1908" s="13">
        <v>2011.0</v>
      </c>
      <c r="G1908" s="13">
        <v>11732.0</v>
      </c>
      <c r="H1908" s="13">
        <v>1641.59</v>
      </c>
      <c r="I1908" s="13">
        <f>' car_sales_data 1'!$G1908*0.2</f>
        <v>2346.4</v>
      </c>
      <c r="J1908" s="13" t="str">
        <f>TEXT(' car_sales_data 1'!$A1908,"mmmm")</f>
        <v>April</v>
      </c>
      <c r="K1908" s="13" t="str">
        <f>IF(' car_sales_data 1'!$G1908&gt;40000,"Premium",
 IF(' car_sales_data 1'!$G1908&gt;=20000,"Mid Range","Budget"))</f>
        <v>Budget</v>
      </c>
      <c r="L1908" s="13">
        <f>YEAR(TODAY())-' car_sales_data 1'!$F1908</f>
        <v>14</v>
      </c>
    </row>
    <row r="1909" ht="15.75" customHeight="1">
      <c r="A1909" s="16">
        <v>44803.0</v>
      </c>
      <c r="B1909" s="13" t="s">
        <v>3761</v>
      </c>
      <c r="C1909" s="13" t="s">
        <v>3762</v>
      </c>
      <c r="D1909" s="13" t="s">
        <v>12</v>
      </c>
      <c r="E1909" s="13" t="s">
        <v>51</v>
      </c>
      <c r="F1909" s="13">
        <v>2012.0</v>
      </c>
      <c r="G1909" s="13">
        <v>13905.0</v>
      </c>
      <c r="H1909" s="13">
        <v>1523.29</v>
      </c>
      <c r="I1909" s="13">
        <f>' car_sales_data 1'!$G1909*0.2</f>
        <v>2781</v>
      </c>
      <c r="J1909" s="13" t="str">
        <f>TEXT(' car_sales_data 1'!$A1909,"mmmm")</f>
        <v>August</v>
      </c>
      <c r="K1909" s="13" t="str">
        <f>IF(' car_sales_data 1'!$G1909&gt;40000,"Premium",
 IF(' car_sales_data 1'!$G1909&gt;=20000,"Mid Range","Budget"))</f>
        <v>Budget</v>
      </c>
      <c r="L1909" s="13">
        <f>YEAR(TODAY())-' car_sales_data 1'!$F1909</f>
        <v>13</v>
      </c>
    </row>
    <row r="1910" ht="15.75" customHeight="1">
      <c r="A1910" s="16">
        <v>44945.0</v>
      </c>
      <c r="B1910" s="13" t="s">
        <v>3763</v>
      </c>
      <c r="C1910" s="13" t="s">
        <v>3764</v>
      </c>
      <c r="D1910" s="13" t="s">
        <v>12</v>
      </c>
      <c r="E1910" s="13" t="s">
        <v>54</v>
      </c>
      <c r="F1910" s="13">
        <v>2014.0</v>
      </c>
      <c r="G1910" s="13">
        <v>21992.0</v>
      </c>
      <c r="H1910" s="13">
        <v>3076.74</v>
      </c>
      <c r="I1910" s="13">
        <f>' car_sales_data 1'!$G1910*0.2</f>
        <v>4398.4</v>
      </c>
      <c r="J1910" s="13" t="str">
        <f>TEXT(' car_sales_data 1'!$A1910,"mmmm")</f>
        <v>January</v>
      </c>
      <c r="K1910" s="13" t="str">
        <f>IF(' car_sales_data 1'!$G1910&gt;40000,"Premium",
 IF(' car_sales_data 1'!$G1910&gt;=20000,"Mid Range","Budget"))</f>
        <v>Mid Range</v>
      </c>
      <c r="L1910" s="13">
        <f>YEAR(TODAY())-' car_sales_data 1'!$F1910</f>
        <v>11</v>
      </c>
    </row>
    <row r="1911" ht="15.75" customHeight="1">
      <c r="A1911" s="16">
        <v>44706.0</v>
      </c>
      <c r="B1911" s="13" t="s">
        <v>3765</v>
      </c>
      <c r="C1911" s="13" t="s">
        <v>3766</v>
      </c>
      <c r="D1911" s="13" t="s">
        <v>14</v>
      </c>
      <c r="E1911" s="13" t="s">
        <v>70</v>
      </c>
      <c r="F1911" s="13">
        <v>2018.0</v>
      </c>
      <c r="G1911" s="13">
        <v>19050.0</v>
      </c>
      <c r="H1911" s="13">
        <v>1974.27</v>
      </c>
      <c r="I1911" s="13">
        <f>' car_sales_data 1'!$G1911*0.2</f>
        <v>3810</v>
      </c>
      <c r="J1911" s="13" t="str">
        <f>TEXT(' car_sales_data 1'!$A1911,"mmmm")</f>
        <v>May</v>
      </c>
      <c r="K1911" s="13" t="str">
        <f>IF(' car_sales_data 1'!$G1911&gt;40000,"Premium",
 IF(' car_sales_data 1'!$G1911&gt;=20000,"Mid Range","Budget"))</f>
        <v>Budget</v>
      </c>
      <c r="L1911" s="13">
        <f>YEAR(TODAY())-' car_sales_data 1'!$F1911</f>
        <v>7</v>
      </c>
    </row>
    <row r="1912" ht="15.75" customHeight="1">
      <c r="A1912" s="16">
        <v>44871.0</v>
      </c>
      <c r="B1912" s="13" t="s">
        <v>3767</v>
      </c>
      <c r="C1912" s="13" t="s">
        <v>3768</v>
      </c>
      <c r="D1912" s="13" t="s">
        <v>12</v>
      </c>
      <c r="E1912" s="13" t="s">
        <v>70</v>
      </c>
      <c r="F1912" s="13">
        <v>2015.0</v>
      </c>
      <c r="G1912" s="13">
        <v>33796.0</v>
      </c>
      <c r="H1912" s="13">
        <v>4845.27</v>
      </c>
      <c r="I1912" s="13">
        <f>' car_sales_data 1'!$G1912*0.2</f>
        <v>6759.2</v>
      </c>
      <c r="J1912" s="13" t="str">
        <f>TEXT(' car_sales_data 1'!$A1912,"mmmm")</f>
        <v>November</v>
      </c>
      <c r="K1912" s="13" t="str">
        <f>IF(' car_sales_data 1'!$G1912&gt;40000,"Premium",
 IF(' car_sales_data 1'!$G1912&gt;=20000,"Mid Range","Budget"))</f>
        <v>Mid Range</v>
      </c>
      <c r="L1912" s="13">
        <f>YEAR(TODAY())-' car_sales_data 1'!$F1912</f>
        <v>10</v>
      </c>
    </row>
    <row r="1913" ht="15.75" customHeight="1">
      <c r="A1913" s="16">
        <v>44889.0</v>
      </c>
      <c r="B1913" s="13" t="s">
        <v>3769</v>
      </c>
      <c r="C1913" s="13" t="s">
        <v>3770</v>
      </c>
      <c r="D1913" s="13" t="s">
        <v>14</v>
      </c>
      <c r="E1913" s="13" t="s">
        <v>62</v>
      </c>
      <c r="F1913" s="13">
        <v>2013.0</v>
      </c>
      <c r="G1913" s="13">
        <v>13535.0</v>
      </c>
      <c r="H1913" s="13">
        <v>743.19</v>
      </c>
      <c r="I1913" s="13">
        <f>' car_sales_data 1'!$G1913*0.2</f>
        <v>2707</v>
      </c>
      <c r="J1913" s="13" t="str">
        <f>TEXT(' car_sales_data 1'!$A1913,"mmmm")</f>
        <v>November</v>
      </c>
      <c r="K1913" s="13" t="str">
        <f>IF(' car_sales_data 1'!$G1913&gt;40000,"Premium",
 IF(' car_sales_data 1'!$G1913&gt;=20000,"Mid Range","Budget"))</f>
        <v>Budget</v>
      </c>
      <c r="L1913" s="13">
        <f>YEAR(TODAY())-' car_sales_data 1'!$F1913</f>
        <v>12</v>
      </c>
    </row>
    <row r="1914" ht="15.75" customHeight="1">
      <c r="A1914" s="16">
        <v>44689.0</v>
      </c>
      <c r="B1914" s="13" t="s">
        <v>3771</v>
      </c>
      <c r="C1914" s="13" t="s">
        <v>3772</v>
      </c>
      <c r="D1914" s="13" t="s">
        <v>8</v>
      </c>
      <c r="E1914" s="13" t="s">
        <v>70</v>
      </c>
      <c r="F1914" s="13">
        <v>2015.0</v>
      </c>
      <c r="G1914" s="13">
        <v>23959.0</v>
      </c>
      <c r="H1914" s="13">
        <v>1668.31</v>
      </c>
      <c r="I1914" s="13">
        <f>' car_sales_data 1'!$G1914*0.2</f>
        <v>4791.8</v>
      </c>
      <c r="J1914" s="13" t="str">
        <f>TEXT(' car_sales_data 1'!$A1914,"mmmm")</f>
        <v>May</v>
      </c>
      <c r="K1914" s="13" t="str">
        <f>IF(' car_sales_data 1'!$G1914&gt;40000,"Premium",
 IF(' car_sales_data 1'!$G1914&gt;=20000,"Mid Range","Budget"))</f>
        <v>Mid Range</v>
      </c>
      <c r="L1914" s="13">
        <f>YEAR(TODAY())-' car_sales_data 1'!$F1914</f>
        <v>10</v>
      </c>
    </row>
    <row r="1915" ht="15.75" customHeight="1">
      <c r="A1915" s="16">
        <v>45007.0</v>
      </c>
      <c r="B1915" s="13" t="s">
        <v>3773</v>
      </c>
      <c r="C1915" s="13" t="s">
        <v>3774</v>
      </c>
      <c r="D1915" s="13" t="s">
        <v>10</v>
      </c>
      <c r="E1915" s="13" t="s">
        <v>51</v>
      </c>
      <c r="F1915" s="13">
        <v>2011.0</v>
      </c>
      <c r="G1915" s="13">
        <v>36817.0</v>
      </c>
      <c r="H1915" s="13">
        <v>5204.71</v>
      </c>
      <c r="I1915" s="13">
        <f>' car_sales_data 1'!$G1915*0.2</f>
        <v>7363.4</v>
      </c>
      <c r="J1915" s="13" t="str">
        <f>TEXT(' car_sales_data 1'!$A1915,"mmmm")</f>
        <v>March</v>
      </c>
      <c r="K1915" s="13" t="str">
        <f>IF(' car_sales_data 1'!$G1915&gt;40000,"Premium",
 IF(' car_sales_data 1'!$G1915&gt;=20000,"Mid Range","Budget"))</f>
        <v>Mid Range</v>
      </c>
      <c r="L1915" s="13">
        <f>YEAR(TODAY())-' car_sales_data 1'!$F1915</f>
        <v>14</v>
      </c>
    </row>
    <row r="1916" ht="15.75" customHeight="1">
      <c r="A1916" s="16">
        <v>44823.0</v>
      </c>
      <c r="B1916" s="13" t="s">
        <v>3775</v>
      </c>
      <c r="C1916" s="13" t="s">
        <v>3776</v>
      </c>
      <c r="D1916" s="13" t="s">
        <v>12</v>
      </c>
      <c r="E1916" s="13" t="s">
        <v>57</v>
      </c>
      <c r="F1916" s="13">
        <v>2015.0</v>
      </c>
      <c r="G1916" s="13">
        <v>21580.0</v>
      </c>
      <c r="H1916" s="13">
        <v>1526.74</v>
      </c>
      <c r="I1916" s="13">
        <f>' car_sales_data 1'!$G1916*0.2</f>
        <v>4316</v>
      </c>
      <c r="J1916" s="13" t="str">
        <f>TEXT(' car_sales_data 1'!$A1916,"mmmm")</f>
        <v>September</v>
      </c>
      <c r="K1916" s="13" t="str">
        <f>IF(' car_sales_data 1'!$G1916&gt;40000,"Premium",
 IF(' car_sales_data 1'!$G1916&gt;=20000,"Mid Range","Budget"))</f>
        <v>Mid Range</v>
      </c>
      <c r="L1916" s="13">
        <f>YEAR(TODAY())-' car_sales_data 1'!$F1916</f>
        <v>10</v>
      </c>
    </row>
    <row r="1917" ht="15.75" customHeight="1">
      <c r="A1917" s="16">
        <v>44789.0</v>
      </c>
      <c r="B1917" s="13" t="s">
        <v>3777</v>
      </c>
      <c r="C1917" s="13" t="s">
        <v>3778</v>
      </c>
      <c r="D1917" s="13" t="s">
        <v>6</v>
      </c>
      <c r="E1917" s="13" t="s">
        <v>51</v>
      </c>
      <c r="F1917" s="13">
        <v>2021.0</v>
      </c>
      <c r="G1917" s="13">
        <v>18384.0</v>
      </c>
      <c r="H1917" s="13">
        <v>2657.45</v>
      </c>
      <c r="I1917" s="13">
        <f>' car_sales_data 1'!$G1917*0.2</f>
        <v>3676.8</v>
      </c>
      <c r="J1917" s="13" t="str">
        <f>TEXT(' car_sales_data 1'!$A1917,"mmmm")</f>
        <v>August</v>
      </c>
      <c r="K1917" s="13" t="str">
        <f>IF(' car_sales_data 1'!$G1917&gt;40000,"Premium",
 IF(' car_sales_data 1'!$G1917&gt;=20000,"Mid Range","Budget"))</f>
        <v>Budget</v>
      </c>
      <c r="L1917" s="13">
        <f>YEAR(TODAY())-' car_sales_data 1'!$F1917</f>
        <v>4</v>
      </c>
    </row>
    <row r="1918" ht="15.75" customHeight="1">
      <c r="A1918" s="16">
        <v>45015.0</v>
      </c>
      <c r="B1918" s="13" t="s">
        <v>3779</v>
      </c>
      <c r="C1918" s="13" t="s">
        <v>3780</v>
      </c>
      <c r="D1918" s="13" t="s">
        <v>12</v>
      </c>
      <c r="E1918" s="13" t="s">
        <v>51</v>
      </c>
      <c r="F1918" s="13">
        <v>2013.0</v>
      </c>
      <c r="G1918" s="13">
        <v>39988.0</v>
      </c>
      <c r="H1918" s="13">
        <v>3431.42</v>
      </c>
      <c r="I1918" s="13">
        <f>' car_sales_data 1'!$G1918*0.2</f>
        <v>7997.6</v>
      </c>
      <c r="J1918" s="13" t="str">
        <f>TEXT(' car_sales_data 1'!$A1918,"mmmm")</f>
        <v>March</v>
      </c>
      <c r="K1918" s="13" t="str">
        <f>IF(' car_sales_data 1'!$G1918&gt;40000,"Premium",
 IF(' car_sales_data 1'!$G1918&gt;=20000,"Mid Range","Budget"))</f>
        <v>Mid Range</v>
      </c>
      <c r="L1918" s="13">
        <f>YEAR(TODAY())-' car_sales_data 1'!$F1918</f>
        <v>12</v>
      </c>
    </row>
    <row r="1919" ht="15.75" customHeight="1">
      <c r="A1919" s="16">
        <v>44866.0</v>
      </c>
      <c r="B1919" s="13" t="s">
        <v>3781</v>
      </c>
      <c r="C1919" s="13" t="s">
        <v>3782</v>
      </c>
      <c r="D1919" s="13" t="s">
        <v>12</v>
      </c>
      <c r="E1919" s="13" t="s">
        <v>54</v>
      </c>
      <c r="F1919" s="13">
        <v>2021.0</v>
      </c>
      <c r="G1919" s="13">
        <v>25137.0</v>
      </c>
      <c r="H1919" s="13">
        <v>1494.19</v>
      </c>
      <c r="I1919" s="13">
        <f>' car_sales_data 1'!$G1919*0.2</f>
        <v>5027.4</v>
      </c>
      <c r="J1919" s="13" t="str">
        <f>TEXT(' car_sales_data 1'!$A1919,"mmmm")</f>
        <v>November</v>
      </c>
      <c r="K1919" s="13" t="str">
        <f>IF(' car_sales_data 1'!$G1919&gt;40000,"Premium",
 IF(' car_sales_data 1'!$G1919&gt;=20000,"Mid Range","Budget"))</f>
        <v>Mid Range</v>
      </c>
      <c r="L1919" s="13">
        <f>YEAR(TODAY())-' car_sales_data 1'!$F1919</f>
        <v>4</v>
      </c>
    </row>
    <row r="1920" ht="15.75" customHeight="1">
      <c r="A1920" s="16">
        <v>44968.0</v>
      </c>
      <c r="B1920" s="13" t="s">
        <v>3783</v>
      </c>
      <c r="C1920" s="13" t="s">
        <v>3784</v>
      </c>
      <c r="D1920" s="13" t="s">
        <v>6</v>
      </c>
      <c r="E1920" s="13" t="s">
        <v>70</v>
      </c>
      <c r="F1920" s="13">
        <v>2021.0</v>
      </c>
      <c r="G1920" s="13">
        <v>42331.0</v>
      </c>
      <c r="H1920" s="13">
        <v>4324.81</v>
      </c>
      <c r="I1920" s="13">
        <f>' car_sales_data 1'!$G1920*0.2</f>
        <v>8466.2</v>
      </c>
      <c r="J1920" s="13" t="str">
        <f>TEXT(' car_sales_data 1'!$A1920,"mmmm")</f>
        <v>February</v>
      </c>
      <c r="K1920" s="13" t="str">
        <f>IF(' car_sales_data 1'!$G1920&gt;40000,"Premium",
 IF(' car_sales_data 1'!$G1920&gt;=20000,"Mid Range","Budget"))</f>
        <v>Premium</v>
      </c>
      <c r="L1920" s="13">
        <f>YEAR(TODAY())-' car_sales_data 1'!$F1920</f>
        <v>4</v>
      </c>
    </row>
    <row r="1921" ht="15.75" customHeight="1">
      <c r="A1921" s="16">
        <v>44790.0</v>
      </c>
      <c r="B1921" s="13" t="s">
        <v>3785</v>
      </c>
      <c r="C1921" s="13" t="s">
        <v>3786</v>
      </c>
      <c r="D1921" s="13" t="s">
        <v>14</v>
      </c>
      <c r="E1921" s="13" t="s">
        <v>70</v>
      </c>
      <c r="F1921" s="13">
        <v>2011.0</v>
      </c>
      <c r="G1921" s="13">
        <v>36178.0</v>
      </c>
      <c r="H1921" s="13">
        <v>2703.15</v>
      </c>
      <c r="I1921" s="13">
        <f>' car_sales_data 1'!$G1921*0.2</f>
        <v>7235.6</v>
      </c>
      <c r="J1921" s="13" t="str">
        <f>TEXT(' car_sales_data 1'!$A1921,"mmmm")</f>
        <v>August</v>
      </c>
      <c r="K1921" s="13" t="str">
        <f>IF(' car_sales_data 1'!$G1921&gt;40000,"Premium",
 IF(' car_sales_data 1'!$G1921&gt;=20000,"Mid Range","Budget"))</f>
        <v>Mid Range</v>
      </c>
      <c r="L1921" s="13">
        <f>YEAR(TODAY())-' car_sales_data 1'!$F1921</f>
        <v>14</v>
      </c>
    </row>
    <row r="1922" ht="15.75" customHeight="1">
      <c r="A1922" s="16">
        <v>44908.0</v>
      </c>
      <c r="B1922" s="13" t="s">
        <v>3787</v>
      </c>
      <c r="C1922" s="13" t="s">
        <v>3788</v>
      </c>
      <c r="D1922" s="13" t="s">
        <v>10</v>
      </c>
      <c r="E1922" s="13" t="s">
        <v>70</v>
      </c>
      <c r="F1922" s="13">
        <v>2012.0</v>
      </c>
      <c r="G1922" s="13">
        <v>40940.0</v>
      </c>
      <c r="H1922" s="13">
        <v>5443.13</v>
      </c>
      <c r="I1922" s="13">
        <f>' car_sales_data 1'!$G1922*0.2</f>
        <v>8188</v>
      </c>
      <c r="J1922" s="13" t="str">
        <f>TEXT(' car_sales_data 1'!$A1922,"mmmm")</f>
        <v>December</v>
      </c>
      <c r="K1922" s="13" t="str">
        <f>IF(' car_sales_data 1'!$G1922&gt;40000,"Premium",
 IF(' car_sales_data 1'!$G1922&gt;=20000,"Mid Range","Budget"))</f>
        <v>Premium</v>
      </c>
      <c r="L1922" s="13">
        <f>YEAR(TODAY())-' car_sales_data 1'!$F1922</f>
        <v>13</v>
      </c>
    </row>
    <row r="1923" ht="15.75" customHeight="1">
      <c r="A1923" s="16">
        <v>44770.0</v>
      </c>
      <c r="B1923" s="13" t="s">
        <v>3789</v>
      </c>
      <c r="C1923" s="13" t="s">
        <v>3790</v>
      </c>
      <c r="D1923" s="13" t="s">
        <v>8</v>
      </c>
      <c r="E1923" s="13" t="s">
        <v>54</v>
      </c>
      <c r="F1923" s="13">
        <v>2013.0</v>
      </c>
      <c r="G1923" s="13">
        <v>36460.0</v>
      </c>
      <c r="H1923" s="13">
        <v>2641.45</v>
      </c>
      <c r="I1923" s="13">
        <f>' car_sales_data 1'!$G1923*0.2</f>
        <v>7292</v>
      </c>
      <c r="J1923" s="13" t="str">
        <f>TEXT(' car_sales_data 1'!$A1923,"mmmm")</f>
        <v>July</v>
      </c>
      <c r="K1923" s="13" t="str">
        <f>IF(' car_sales_data 1'!$G1923&gt;40000,"Premium",
 IF(' car_sales_data 1'!$G1923&gt;=20000,"Mid Range","Budget"))</f>
        <v>Mid Range</v>
      </c>
      <c r="L1923" s="13">
        <f>YEAR(TODAY())-' car_sales_data 1'!$F1923</f>
        <v>12</v>
      </c>
    </row>
    <row r="1924" ht="15.75" customHeight="1">
      <c r="A1924" s="16">
        <v>44950.0</v>
      </c>
      <c r="B1924" s="13" t="s">
        <v>3791</v>
      </c>
      <c r="C1924" s="13" t="s">
        <v>3792</v>
      </c>
      <c r="D1924" s="13" t="s">
        <v>8</v>
      </c>
      <c r="E1924" s="13" t="s">
        <v>57</v>
      </c>
      <c r="F1924" s="13">
        <v>2018.0</v>
      </c>
      <c r="G1924" s="13">
        <v>49525.0</v>
      </c>
      <c r="H1924" s="13">
        <v>6476.65</v>
      </c>
      <c r="I1924" s="13">
        <f>' car_sales_data 1'!$G1924*0.2</f>
        <v>9905</v>
      </c>
      <c r="J1924" s="13" t="str">
        <f>TEXT(' car_sales_data 1'!$A1924,"mmmm")</f>
        <v>January</v>
      </c>
      <c r="K1924" s="13" t="str">
        <f>IF(' car_sales_data 1'!$G1924&gt;40000,"Premium",
 IF(' car_sales_data 1'!$G1924&gt;=20000,"Mid Range","Budget"))</f>
        <v>Premium</v>
      </c>
      <c r="L1924" s="13">
        <f>YEAR(TODAY())-' car_sales_data 1'!$F1924</f>
        <v>7</v>
      </c>
    </row>
    <row r="1925" ht="15.75" customHeight="1">
      <c r="A1925" s="16">
        <v>44892.0</v>
      </c>
      <c r="B1925" s="13" t="s">
        <v>3793</v>
      </c>
      <c r="C1925" s="13" t="s">
        <v>3794</v>
      </c>
      <c r="D1925" s="13" t="s">
        <v>10</v>
      </c>
      <c r="E1925" s="13" t="s">
        <v>54</v>
      </c>
      <c r="F1925" s="13">
        <v>2021.0</v>
      </c>
      <c r="G1925" s="13">
        <v>37393.0</v>
      </c>
      <c r="H1925" s="13">
        <v>1990.35</v>
      </c>
      <c r="I1925" s="13">
        <f>' car_sales_data 1'!$G1925*0.2</f>
        <v>7478.6</v>
      </c>
      <c r="J1925" s="13" t="str">
        <f>TEXT(' car_sales_data 1'!$A1925,"mmmm")</f>
        <v>November</v>
      </c>
      <c r="K1925" s="13" t="str">
        <f>IF(' car_sales_data 1'!$G1925&gt;40000,"Premium",
 IF(' car_sales_data 1'!$G1925&gt;=20000,"Mid Range","Budget"))</f>
        <v>Mid Range</v>
      </c>
      <c r="L1925" s="13">
        <f>YEAR(TODAY())-' car_sales_data 1'!$F1925</f>
        <v>4</v>
      </c>
    </row>
    <row r="1926" ht="15.75" customHeight="1">
      <c r="A1926" s="16">
        <v>44785.0</v>
      </c>
      <c r="B1926" s="13" t="s">
        <v>3795</v>
      </c>
      <c r="C1926" s="13" t="s">
        <v>2020</v>
      </c>
      <c r="D1926" s="13" t="s">
        <v>8</v>
      </c>
      <c r="E1926" s="13" t="s">
        <v>51</v>
      </c>
      <c r="F1926" s="13">
        <v>2022.0</v>
      </c>
      <c r="G1926" s="13">
        <v>44253.0</v>
      </c>
      <c r="H1926" s="13">
        <v>5985.22</v>
      </c>
      <c r="I1926" s="13">
        <f>' car_sales_data 1'!$G1926*0.2</f>
        <v>8850.6</v>
      </c>
      <c r="J1926" s="13" t="str">
        <f>TEXT(' car_sales_data 1'!$A1926,"mmmm")</f>
        <v>August</v>
      </c>
      <c r="K1926" s="13" t="str">
        <f>IF(' car_sales_data 1'!$G1926&gt;40000,"Premium",
 IF(' car_sales_data 1'!$G1926&gt;=20000,"Mid Range","Budget"))</f>
        <v>Premium</v>
      </c>
      <c r="L1926" s="13">
        <f>YEAR(TODAY())-' car_sales_data 1'!$F1926</f>
        <v>3</v>
      </c>
    </row>
    <row r="1927" ht="15.75" customHeight="1">
      <c r="A1927" s="16">
        <v>44869.0</v>
      </c>
      <c r="B1927" s="13" t="s">
        <v>3796</v>
      </c>
      <c r="C1927" s="13" t="s">
        <v>3797</v>
      </c>
      <c r="D1927" s="13" t="s">
        <v>10</v>
      </c>
      <c r="E1927" s="13" t="s">
        <v>70</v>
      </c>
      <c r="F1927" s="13">
        <v>2021.0</v>
      </c>
      <c r="G1927" s="13">
        <v>13041.0</v>
      </c>
      <c r="H1927" s="13">
        <v>694.74</v>
      </c>
      <c r="I1927" s="13">
        <f>' car_sales_data 1'!$G1927*0.2</f>
        <v>2608.2</v>
      </c>
      <c r="J1927" s="13" t="str">
        <f>TEXT(' car_sales_data 1'!$A1927,"mmmm")</f>
        <v>November</v>
      </c>
      <c r="K1927" s="13" t="str">
        <f>IF(' car_sales_data 1'!$G1927&gt;40000,"Premium",
 IF(' car_sales_data 1'!$G1927&gt;=20000,"Mid Range","Budget"))</f>
        <v>Budget</v>
      </c>
      <c r="L1927" s="13">
        <f>YEAR(TODAY())-' car_sales_data 1'!$F1927</f>
        <v>4</v>
      </c>
    </row>
    <row r="1928" ht="15.75" customHeight="1">
      <c r="A1928" s="16">
        <v>44727.0</v>
      </c>
      <c r="B1928" s="13" t="s">
        <v>3798</v>
      </c>
      <c r="C1928" s="13" t="s">
        <v>3799</v>
      </c>
      <c r="D1928" s="13" t="s">
        <v>8</v>
      </c>
      <c r="E1928" s="13" t="s">
        <v>70</v>
      </c>
      <c r="F1928" s="13">
        <v>2012.0</v>
      </c>
      <c r="G1928" s="13">
        <v>49195.0</v>
      </c>
      <c r="H1928" s="13">
        <v>3685.57</v>
      </c>
      <c r="I1928" s="13">
        <f>' car_sales_data 1'!$G1928*0.2</f>
        <v>9839</v>
      </c>
      <c r="J1928" s="13" t="str">
        <f>TEXT(' car_sales_data 1'!$A1928,"mmmm")</f>
        <v>June</v>
      </c>
      <c r="K1928" s="13" t="str">
        <f>IF(' car_sales_data 1'!$G1928&gt;40000,"Premium",
 IF(' car_sales_data 1'!$G1928&gt;=20000,"Mid Range","Budget"))</f>
        <v>Premium</v>
      </c>
      <c r="L1928" s="13">
        <f>YEAR(TODAY())-' car_sales_data 1'!$F1928</f>
        <v>13</v>
      </c>
    </row>
    <row r="1929" ht="15.75" customHeight="1">
      <c r="A1929" s="16">
        <v>44682.0</v>
      </c>
      <c r="B1929" s="13" t="s">
        <v>3800</v>
      </c>
      <c r="C1929" s="13" t="s">
        <v>3801</v>
      </c>
      <c r="D1929" s="13" t="s">
        <v>10</v>
      </c>
      <c r="E1929" s="13" t="s">
        <v>54</v>
      </c>
      <c r="F1929" s="13">
        <v>2016.0</v>
      </c>
      <c r="G1929" s="13">
        <v>49456.0</v>
      </c>
      <c r="H1929" s="13">
        <v>6664.47</v>
      </c>
      <c r="I1929" s="13">
        <f>' car_sales_data 1'!$G1929*0.2</f>
        <v>9891.2</v>
      </c>
      <c r="J1929" s="13" t="str">
        <f>TEXT(' car_sales_data 1'!$A1929,"mmmm")</f>
        <v>May</v>
      </c>
      <c r="K1929" s="13" t="str">
        <f>IF(' car_sales_data 1'!$G1929&gt;40000,"Premium",
 IF(' car_sales_data 1'!$G1929&gt;=20000,"Mid Range","Budget"))</f>
        <v>Premium</v>
      </c>
      <c r="L1929" s="13">
        <f>YEAR(TODAY())-' car_sales_data 1'!$F1929</f>
        <v>9</v>
      </c>
    </row>
    <row r="1930" ht="15.75" customHeight="1">
      <c r="A1930" s="16">
        <v>44733.0</v>
      </c>
      <c r="B1930" s="13" t="s">
        <v>3802</v>
      </c>
      <c r="C1930" s="13" t="s">
        <v>3803</v>
      </c>
      <c r="D1930" s="13" t="s">
        <v>14</v>
      </c>
      <c r="E1930" s="13" t="s">
        <v>62</v>
      </c>
      <c r="F1930" s="13">
        <v>2018.0</v>
      </c>
      <c r="G1930" s="13">
        <v>11543.0</v>
      </c>
      <c r="H1930" s="13">
        <v>658.09</v>
      </c>
      <c r="I1930" s="13">
        <f>' car_sales_data 1'!$G1930*0.2</f>
        <v>2308.6</v>
      </c>
      <c r="J1930" s="13" t="str">
        <f>TEXT(' car_sales_data 1'!$A1930,"mmmm")</f>
        <v>June</v>
      </c>
      <c r="K1930" s="13" t="str">
        <f>IF(' car_sales_data 1'!$G1930&gt;40000,"Premium",
 IF(' car_sales_data 1'!$G1930&gt;=20000,"Mid Range","Budget"))</f>
        <v>Budget</v>
      </c>
      <c r="L1930" s="13">
        <f>YEAR(TODAY())-' car_sales_data 1'!$F1930</f>
        <v>7</v>
      </c>
    </row>
    <row r="1931" ht="15.75" customHeight="1">
      <c r="A1931" s="16">
        <v>44882.0</v>
      </c>
      <c r="B1931" s="13" t="s">
        <v>3804</v>
      </c>
      <c r="C1931" s="13" t="s">
        <v>3805</v>
      </c>
      <c r="D1931" s="13" t="s">
        <v>6</v>
      </c>
      <c r="E1931" s="13" t="s">
        <v>70</v>
      </c>
      <c r="F1931" s="13">
        <v>2011.0</v>
      </c>
      <c r="G1931" s="13">
        <v>18806.0</v>
      </c>
      <c r="H1931" s="13">
        <v>2642.4</v>
      </c>
      <c r="I1931" s="13">
        <f>' car_sales_data 1'!$G1931*0.2</f>
        <v>3761.2</v>
      </c>
      <c r="J1931" s="13" t="str">
        <f>TEXT(' car_sales_data 1'!$A1931,"mmmm")</f>
        <v>November</v>
      </c>
      <c r="K1931" s="13" t="str">
        <f>IF(' car_sales_data 1'!$G1931&gt;40000,"Premium",
 IF(' car_sales_data 1'!$G1931&gt;=20000,"Mid Range","Budget"))</f>
        <v>Budget</v>
      </c>
      <c r="L1931" s="13">
        <f>YEAR(TODAY())-' car_sales_data 1'!$F1931</f>
        <v>14</v>
      </c>
    </row>
    <row r="1932" ht="15.75" customHeight="1">
      <c r="A1932" s="16">
        <v>44844.0</v>
      </c>
      <c r="B1932" s="13" t="s">
        <v>3806</v>
      </c>
      <c r="C1932" s="13" t="s">
        <v>3807</v>
      </c>
      <c r="D1932" s="13" t="s">
        <v>12</v>
      </c>
      <c r="E1932" s="13" t="s">
        <v>57</v>
      </c>
      <c r="F1932" s="13">
        <v>2017.0</v>
      </c>
      <c r="G1932" s="13">
        <v>37915.0</v>
      </c>
      <c r="H1932" s="13">
        <v>4457.46</v>
      </c>
      <c r="I1932" s="13">
        <f>' car_sales_data 1'!$G1932*0.2</f>
        <v>7583</v>
      </c>
      <c r="J1932" s="13" t="str">
        <f>TEXT(' car_sales_data 1'!$A1932,"mmmm")</f>
        <v>October</v>
      </c>
      <c r="K1932" s="13" t="str">
        <f>IF(' car_sales_data 1'!$G1932&gt;40000,"Premium",
 IF(' car_sales_data 1'!$G1932&gt;=20000,"Mid Range","Budget"))</f>
        <v>Mid Range</v>
      </c>
      <c r="L1932" s="13">
        <f>YEAR(TODAY())-' car_sales_data 1'!$F1932</f>
        <v>8</v>
      </c>
    </row>
    <row r="1933" ht="15.75" customHeight="1">
      <c r="A1933" s="16">
        <v>44796.0</v>
      </c>
      <c r="B1933" s="13" t="s">
        <v>3808</v>
      </c>
      <c r="C1933" s="13" t="s">
        <v>3809</v>
      </c>
      <c r="D1933" s="13" t="s">
        <v>14</v>
      </c>
      <c r="E1933" s="13" t="s">
        <v>62</v>
      </c>
      <c r="F1933" s="13">
        <v>2015.0</v>
      </c>
      <c r="G1933" s="13">
        <v>35611.0</v>
      </c>
      <c r="H1933" s="13">
        <v>2310.74</v>
      </c>
      <c r="I1933" s="13">
        <f>' car_sales_data 1'!$G1933*0.2</f>
        <v>7122.2</v>
      </c>
      <c r="J1933" s="13" t="str">
        <f>TEXT(' car_sales_data 1'!$A1933,"mmmm")</f>
        <v>August</v>
      </c>
      <c r="K1933" s="13" t="str">
        <f>IF(' car_sales_data 1'!$G1933&gt;40000,"Premium",
 IF(' car_sales_data 1'!$G1933&gt;=20000,"Mid Range","Budget"))</f>
        <v>Mid Range</v>
      </c>
      <c r="L1933" s="13">
        <f>YEAR(TODAY())-' car_sales_data 1'!$F1933</f>
        <v>10</v>
      </c>
    </row>
    <row r="1934" ht="15.75" customHeight="1">
      <c r="A1934" s="16">
        <v>44720.0</v>
      </c>
      <c r="B1934" s="13" t="s">
        <v>3810</v>
      </c>
      <c r="C1934" s="13" t="s">
        <v>3811</v>
      </c>
      <c r="D1934" s="13" t="s">
        <v>12</v>
      </c>
      <c r="E1934" s="13" t="s">
        <v>70</v>
      </c>
      <c r="F1934" s="13">
        <v>2012.0</v>
      </c>
      <c r="G1934" s="13">
        <v>48672.0</v>
      </c>
      <c r="H1934" s="13">
        <v>5509.81</v>
      </c>
      <c r="I1934" s="13">
        <f>' car_sales_data 1'!$G1934*0.2</f>
        <v>9734.4</v>
      </c>
      <c r="J1934" s="13" t="str">
        <f>TEXT(' car_sales_data 1'!$A1934,"mmmm")</f>
        <v>June</v>
      </c>
      <c r="K1934" s="13" t="str">
        <f>IF(' car_sales_data 1'!$G1934&gt;40000,"Premium",
 IF(' car_sales_data 1'!$G1934&gt;=20000,"Mid Range","Budget"))</f>
        <v>Premium</v>
      </c>
      <c r="L1934" s="13">
        <f>YEAR(TODAY())-' car_sales_data 1'!$F1934</f>
        <v>13</v>
      </c>
    </row>
    <row r="1935" ht="15.75" customHeight="1">
      <c r="A1935" s="16">
        <v>44817.0</v>
      </c>
      <c r="B1935" s="13" t="s">
        <v>3812</v>
      </c>
      <c r="C1935" s="13" t="s">
        <v>3813</v>
      </c>
      <c r="D1935" s="13" t="s">
        <v>10</v>
      </c>
      <c r="E1935" s="13" t="s">
        <v>51</v>
      </c>
      <c r="F1935" s="13">
        <v>2021.0</v>
      </c>
      <c r="G1935" s="13">
        <v>10425.0</v>
      </c>
      <c r="H1935" s="13">
        <v>634.52</v>
      </c>
      <c r="I1935" s="13">
        <f>' car_sales_data 1'!$G1935*0.2</f>
        <v>2085</v>
      </c>
      <c r="J1935" s="13" t="str">
        <f>TEXT(' car_sales_data 1'!$A1935,"mmmm")</f>
        <v>September</v>
      </c>
      <c r="K1935" s="13" t="str">
        <f>IF(' car_sales_data 1'!$G1935&gt;40000,"Premium",
 IF(' car_sales_data 1'!$G1935&gt;=20000,"Mid Range","Budget"))</f>
        <v>Budget</v>
      </c>
      <c r="L1935" s="13">
        <f>YEAR(TODAY())-' car_sales_data 1'!$F1935</f>
        <v>4</v>
      </c>
    </row>
    <row r="1936" ht="15.75" customHeight="1">
      <c r="A1936" s="16">
        <v>44718.0</v>
      </c>
      <c r="B1936" s="13" t="s">
        <v>3814</v>
      </c>
      <c r="C1936" s="13" t="s">
        <v>3815</v>
      </c>
      <c r="D1936" s="13" t="s">
        <v>8</v>
      </c>
      <c r="E1936" s="13" t="s">
        <v>57</v>
      </c>
      <c r="F1936" s="13">
        <v>2015.0</v>
      </c>
      <c r="G1936" s="13">
        <v>13946.0</v>
      </c>
      <c r="H1936" s="13">
        <v>892.63</v>
      </c>
      <c r="I1936" s="13">
        <f>' car_sales_data 1'!$G1936*0.2</f>
        <v>2789.2</v>
      </c>
      <c r="J1936" s="13" t="str">
        <f>TEXT(' car_sales_data 1'!$A1936,"mmmm")</f>
        <v>June</v>
      </c>
      <c r="K1936" s="13" t="str">
        <f>IF(' car_sales_data 1'!$G1936&gt;40000,"Premium",
 IF(' car_sales_data 1'!$G1936&gt;=20000,"Mid Range","Budget"))</f>
        <v>Budget</v>
      </c>
      <c r="L1936" s="13">
        <f>YEAR(TODAY())-' car_sales_data 1'!$F1936</f>
        <v>10</v>
      </c>
    </row>
    <row r="1937" ht="15.75" customHeight="1">
      <c r="A1937" s="16">
        <v>44991.0</v>
      </c>
      <c r="B1937" s="13" t="s">
        <v>3816</v>
      </c>
      <c r="C1937" s="13" t="s">
        <v>3817</v>
      </c>
      <c r="D1937" s="13" t="s">
        <v>12</v>
      </c>
      <c r="E1937" s="13" t="s">
        <v>51</v>
      </c>
      <c r="F1937" s="13">
        <v>2012.0</v>
      </c>
      <c r="G1937" s="13">
        <v>24905.0</v>
      </c>
      <c r="H1937" s="13">
        <v>1584.41</v>
      </c>
      <c r="I1937" s="13">
        <f>' car_sales_data 1'!$G1937*0.2</f>
        <v>4981</v>
      </c>
      <c r="J1937" s="13" t="str">
        <f>TEXT(' car_sales_data 1'!$A1937,"mmmm")</f>
        <v>March</v>
      </c>
      <c r="K1937" s="13" t="str">
        <f>IF(' car_sales_data 1'!$G1937&gt;40000,"Premium",
 IF(' car_sales_data 1'!$G1937&gt;=20000,"Mid Range","Budget"))</f>
        <v>Mid Range</v>
      </c>
      <c r="L1937" s="13">
        <f>YEAR(TODAY())-' car_sales_data 1'!$F1937</f>
        <v>13</v>
      </c>
    </row>
    <row r="1938" ht="15.75" customHeight="1">
      <c r="A1938" s="16">
        <v>44783.0</v>
      </c>
      <c r="B1938" s="13" t="s">
        <v>3818</v>
      </c>
      <c r="C1938" s="13" t="s">
        <v>3819</v>
      </c>
      <c r="D1938" s="13" t="s">
        <v>12</v>
      </c>
      <c r="E1938" s="13" t="s">
        <v>70</v>
      </c>
      <c r="F1938" s="13">
        <v>2021.0</v>
      </c>
      <c r="G1938" s="13">
        <v>10229.0</v>
      </c>
      <c r="H1938" s="13">
        <v>1489.5</v>
      </c>
      <c r="I1938" s="13">
        <f>' car_sales_data 1'!$G1938*0.2</f>
        <v>2045.8</v>
      </c>
      <c r="J1938" s="13" t="str">
        <f>TEXT(' car_sales_data 1'!$A1938,"mmmm")</f>
        <v>August</v>
      </c>
      <c r="K1938" s="13" t="str">
        <f>IF(' car_sales_data 1'!$G1938&gt;40000,"Premium",
 IF(' car_sales_data 1'!$G1938&gt;=20000,"Mid Range","Budget"))</f>
        <v>Budget</v>
      </c>
      <c r="L1938" s="13">
        <f>YEAR(TODAY())-' car_sales_data 1'!$F1938</f>
        <v>4</v>
      </c>
    </row>
    <row r="1939" ht="15.75" customHeight="1">
      <c r="A1939" s="16">
        <v>44972.0</v>
      </c>
      <c r="B1939" s="13" t="s">
        <v>3820</v>
      </c>
      <c r="C1939" s="13" t="s">
        <v>3821</v>
      </c>
      <c r="D1939" s="13" t="s">
        <v>14</v>
      </c>
      <c r="E1939" s="13" t="s">
        <v>62</v>
      </c>
      <c r="F1939" s="13">
        <v>2021.0</v>
      </c>
      <c r="G1939" s="13">
        <v>34109.0</v>
      </c>
      <c r="H1939" s="13">
        <v>3219.48</v>
      </c>
      <c r="I1939" s="13">
        <f>' car_sales_data 1'!$G1939*0.2</f>
        <v>6821.8</v>
      </c>
      <c r="J1939" s="13" t="str">
        <f>TEXT(' car_sales_data 1'!$A1939,"mmmm")</f>
        <v>February</v>
      </c>
      <c r="K1939" s="13" t="str">
        <f>IF(' car_sales_data 1'!$G1939&gt;40000,"Premium",
 IF(' car_sales_data 1'!$G1939&gt;=20000,"Mid Range","Budget"))</f>
        <v>Mid Range</v>
      </c>
      <c r="L1939" s="13">
        <f>YEAR(TODAY())-' car_sales_data 1'!$F1939</f>
        <v>4</v>
      </c>
    </row>
    <row r="1940" ht="15.75" customHeight="1">
      <c r="A1940" s="16">
        <v>44814.0</v>
      </c>
      <c r="B1940" s="13" t="s">
        <v>3822</v>
      </c>
      <c r="C1940" s="13" t="s">
        <v>3823</v>
      </c>
      <c r="D1940" s="13" t="s">
        <v>12</v>
      </c>
      <c r="E1940" s="13" t="s">
        <v>57</v>
      </c>
      <c r="F1940" s="13">
        <v>2019.0</v>
      </c>
      <c r="G1940" s="13">
        <v>44170.0</v>
      </c>
      <c r="H1940" s="13">
        <v>3537.21</v>
      </c>
      <c r="I1940" s="13">
        <f>' car_sales_data 1'!$G1940*0.2</f>
        <v>8834</v>
      </c>
      <c r="J1940" s="13" t="str">
        <f>TEXT(' car_sales_data 1'!$A1940,"mmmm")</f>
        <v>September</v>
      </c>
      <c r="K1940" s="13" t="str">
        <f>IF(' car_sales_data 1'!$G1940&gt;40000,"Premium",
 IF(' car_sales_data 1'!$G1940&gt;=20000,"Mid Range","Budget"))</f>
        <v>Premium</v>
      </c>
      <c r="L1940" s="13">
        <f>YEAR(TODAY())-' car_sales_data 1'!$F1940</f>
        <v>6</v>
      </c>
    </row>
    <row r="1941" ht="15.75" customHeight="1">
      <c r="A1941" s="16">
        <v>44999.0</v>
      </c>
      <c r="B1941" s="13" t="s">
        <v>3824</v>
      </c>
      <c r="C1941" s="13" t="s">
        <v>3825</v>
      </c>
      <c r="D1941" s="13" t="s">
        <v>6</v>
      </c>
      <c r="E1941" s="13" t="s">
        <v>51</v>
      </c>
      <c r="F1941" s="13">
        <v>2013.0</v>
      </c>
      <c r="G1941" s="13">
        <v>27289.0</v>
      </c>
      <c r="H1941" s="13">
        <v>1853.2</v>
      </c>
      <c r="I1941" s="13">
        <f>' car_sales_data 1'!$G1941*0.2</f>
        <v>5457.8</v>
      </c>
      <c r="J1941" s="13" t="str">
        <f>TEXT(' car_sales_data 1'!$A1941,"mmmm")</f>
        <v>March</v>
      </c>
      <c r="K1941" s="13" t="str">
        <f>IF(' car_sales_data 1'!$G1941&gt;40000,"Premium",
 IF(' car_sales_data 1'!$G1941&gt;=20000,"Mid Range","Budget"))</f>
        <v>Mid Range</v>
      </c>
      <c r="L1941" s="13">
        <f>YEAR(TODAY())-' car_sales_data 1'!$F1941</f>
        <v>12</v>
      </c>
    </row>
    <row r="1942" ht="15.75" customHeight="1">
      <c r="A1942" s="16">
        <v>44741.0</v>
      </c>
      <c r="B1942" s="13" t="s">
        <v>3826</v>
      </c>
      <c r="C1942" s="13" t="s">
        <v>3827</v>
      </c>
      <c r="D1942" s="13" t="s">
        <v>8</v>
      </c>
      <c r="E1942" s="13" t="s">
        <v>51</v>
      </c>
      <c r="F1942" s="13">
        <v>2011.0</v>
      </c>
      <c r="G1942" s="13">
        <v>47541.0</v>
      </c>
      <c r="H1942" s="13">
        <v>4027.23</v>
      </c>
      <c r="I1942" s="13">
        <f>' car_sales_data 1'!$G1942*0.2</f>
        <v>9508.2</v>
      </c>
      <c r="J1942" s="13" t="str">
        <f>TEXT(' car_sales_data 1'!$A1942,"mmmm")</f>
        <v>June</v>
      </c>
      <c r="K1942" s="13" t="str">
        <f>IF(' car_sales_data 1'!$G1942&gt;40000,"Premium",
 IF(' car_sales_data 1'!$G1942&gt;=20000,"Mid Range","Budget"))</f>
        <v>Premium</v>
      </c>
      <c r="L1942" s="13">
        <f>YEAR(TODAY())-' car_sales_data 1'!$F1942</f>
        <v>14</v>
      </c>
    </row>
    <row r="1943" ht="15.75" customHeight="1">
      <c r="A1943" s="16">
        <v>44778.0</v>
      </c>
      <c r="B1943" s="13" t="s">
        <v>3828</v>
      </c>
      <c r="C1943" s="13" t="s">
        <v>3829</v>
      </c>
      <c r="D1943" s="13" t="s">
        <v>8</v>
      </c>
      <c r="E1943" s="13" t="s">
        <v>54</v>
      </c>
      <c r="F1943" s="13">
        <v>2020.0</v>
      </c>
      <c r="G1943" s="13">
        <v>18527.0</v>
      </c>
      <c r="H1943" s="13">
        <v>1517.48</v>
      </c>
      <c r="I1943" s="13">
        <f>' car_sales_data 1'!$G1943*0.2</f>
        <v>3705.4</v>
      </c>
      <c r="J1943" s="13" t="str">
        <f>TEXT(' car_sales_data 1'!$A1943,"mmmm")</f>
        <v>August</v>
      </c>
      <c r="K1943" s="13" t="str">
        <f>IF(' car_sales_data 1'!$G1943&gt;40000,"Premium",
 IF(' car_sales_data 1'!$G1943&gt;=20000,"Mid Range","Budget"))</f>
        <v>Budget</v>
      </c>
      <c r="L1943" s="13">
        <f>YEAR(TODAY())-' car_sales_data 1'!$F1943</f>
        <v>5</v>
      </c>
    </row>
    <row r="1944" ht="15.75" customHeight="1">
      <c r="A1944" s="16">
        <v>44804.0</v>
      </c>
      <c r="B1944" s="13" t="s">
        <v>3830</v>
      </c>
      <c r="C1944" s="13" t="s">
        <v>3831</v>
      </c>
      <c r="D1944" s="13" t="s">
        <v>6</v>
      </c>
      <c r="E1944" s="13" t="s">
        <v>62</v>
      </c>
      <c r="F1944" s="13">
        <v>2017.0</v>
      </c>
      <c r="G1944" s="13">
        <v>22080.0</v>
      </c>
      <c r="H1944" s="13">
        <v>2047.66</v>
      </c>
      <c r="I1944" s="13">
        <f>' car_sales_data 1'!$G1944*0.2</f>
        <v>4416</v>
      </c>
      <c r="J1944" s="13" t="str">
        <f>TEXT(' car_sales_data 1'!$A1944,"mmmm")</f>
        <v>August</v>
      </c>
      <c r="K1944" s="13" t="str">
        <f>IF(' car_sales_data 1'!$G1944&gt;40000,"Premium",
 IF(' car_sales_data 1'!$G1944&gt;=20000,"Mid Range","Budget"))</f>
        <v>Mid Range</v>
      </c>
      <c r="L1944" s="13">
        <f>YEAR(TODAY())-' car_sales_data 1'!$F1944</f>
        <v>8</v>
      </c>
    </row>
    <row r="1945" ht="15.75" customHeight="1">
      <c r="A1945" s="16">
        <v>44963.0</v>
      </c>
      <c r="B1945" s="13" t="s">
        <v>3832</v>
      </c>
      <c r="C1945" s="13" t="s">
        <v>3833</v>
      </c>
      <c r="D1945" s="13" t="s">
        <v>8</v>
      </c>
      <c r="E1945" s="13" t="s">
        <v>54</v>
      </c>
      <c r="F1945" s="13">
        <v>2012.0</v>
      </c>
      <c r="G1945" s="13">
        <v>26063.0</v>
      </c>
      <c r="H1945" s="13">
        <v>3899.18</v>
      </c>
      <c r="I1945" s="13">
        <f>' car_sales_data 1'!$G1945*0.2</f>
        <v>5212.6</v>
      </c>
      <c r="J1945" s="13" t="str">
        <f>TEXT(' car_sales_data 1'!$A1945,"mmmm")</f>
        <v>February</v>
      </c>
      <c r="K1945" s="13" t="str">
        <f>IF(' car_sales_data 1'!$G1945&gt;40000,"Premium",
 IF(' car_sales_data 1'!$G1945&gt;=20000,"Mid Range","Budget"))</f>
        <v>Mid Range</v>
      </c>
      <c r="L1945" s="13">
        <f>YEAR(TODAY())-' car_sales_data 1'!$F1945</f>
        <v>13</v>
      </c>
    </row>
    <row r="1946" ht="15.75" customHeight="1">
      <c r="A1946" s="16">
        <v>44777.0</v>
      </c>
      <c r="B1946" s="13" t="s">
        <v>3834</v>
      </c>
      <c r="C1946" s="13" t="s">
        <v>3835</v>
      </c>
      <c r="D1946" s="13" t="s">
        <v>14</v>
      </c>
      <c r="E1946" s="13" t="s">
        <v>57</v>
      </c>
      <c r="F1946" s="13">
        <v>2012.0</v>
      </c>
      <c r="G1946" s="13">
        <v>26341.0</v>
      </c>
      <c r="H1946" s="13">
        <v>2434.4</v>
      </c>
      <c r="I1946" s="13">
        <f>' car_sales_data 1'!$G1946*0.2</f>
        <v>5268.2</v>
      </c>
      <c r="J1946" s="13" t="str">
        <f>TEXT(' car_sales_data 1'!$A1946,"mmmm")</f>
        <v>August</v>
      </c>
      <c r="K1946" s="13" t="str">
        <f>IF(' car_sales_data 1'!$G1946&gt;40000,"Premium",
 IF(' car_sales_data 1'!$G1946&gt;=20000,"Mid Range","Budget"))</f>
        <v>Mid Range</v>
      </c>
      <c r="L1946" s="13">
        <f>YEAR(TODAY())-' car_sales_data 1'!$F1946</f>
        <v>13</v>
      </c>
    </row>
    <row r="1947" ht="15.75" customHeight="1">
      <c r="A1947" s="16">
        <v>44826.0</v>
      </c>
      <c r="B1947" s="13" t="s">
        <v>3836</v>
      </c>
      <c r="C1947" s="13" t="s">
        <v>1850</v>
      </c>
      <c r="D1947" s="13" t="s">
        <v>14</v>
      </c>
      <c r="E1947" s="13" t="s">
        <v>57</v>
      </c>
      <c r="F1947" s="13">
        <v>2021.0</v>
      </c>
      <c r="G1947" s="13">
        <v>34267.0</v>
      </c>
      <c r="H1947" s="13">
        <v>3002.59</v>
      </c>
      <c r="I1947" s="13">
        <f>' car_sales_data 1'!$G1947*0.2</f>
        <v>6853.4</v>
      </c>
      <c r="J1947" s="13" t="str">
        <f>TEXT(' car_sales_data 1'!$A1947,"mmmm")</f>
        <v>September</v>
      </c>
      <c r="K1947" s="13" t="str">
        <f>IF(' car_sales_data 1'!$G1947&gt;40000,"Premium",
 IF(' car_sales_data 1'!$G1947&gt;=20000,"Mid Range","Budget"))</f>
        <v>Mid Range</v>
      </c>
      <c r="L1947" s="13">
        <f>YEAR(TODAY())-' car_sales_data 1'!$F1947</f>
        <v>4</v>
      </c>
    </row>
    <row r="1948" ht="15.75" customHeight="1">
      <c r="A1948" s="16">
        <v>44684.0</v>
      </c>
      <c r="B1948" s="13" t="s">
        <v>1123</v>
      </c>
      <c r="C1948" s="13" t="s">
        <v>3837</v>
      </c>
      <c r="D1948" s="13" t="s">
        <v>12</v>
      </c>
      <c r="E1948" s="13" t="s">
        <v>62</v>
      </c>
      <c r="F1948" s="13">
        <v>2021.0</v>
      </c>
      <c r="G1948" s="13">
        <v>22718.0</v>
      </c>
      <c r="H1948" s="13">
        <v>2739.02</v>
      </c>
      <c r="I1948" s="13">
        <f>' car_sales_data 1'!$G1948*0.2</f>
        <v>4543.6</v>
      </c>
      <c r="J1948" s="13" t="str">
        <f>TEXT(' car_sales_data 1'!$A1948,"mmmm")</f>
        <v>May</v>
      </c>
      <c r="K1948" s="13" t="str">
        <f>IF(' car_sales_data 1'!$G1948&gt;40000,"Premium",
 IF(' car_sales_data 1'!$G1948&gt;=20000,"Mid Range","Budget"))</f>
        <v>Mid Range</v>
      </c>
      <c r="L1948" s="13">
        <f>YEAR(TODAY())-' car_sales_data 1'!$F1948</f>
        <v>4</v>
      </c>
    </row>
    <row r="1949" ht="15.75" customHeight="1">
      <c r="A1949" s="16">
        <v>44943.0</v>
      </c>
      <c r="B1949" s="13" t="s">
        <v>163</v>
      </c>
      <c r="C1949" s="13" t="s">
        <v>3838</v>
      </c>
      <c r="D1949" s="13" t="s">
        <v>10</v>
      </c>
      <c r="E1949" s="13" t="s">
        <v>57</v>
      </c>
      <c r="F1949" s="13">
        <v>2019.0</v>
      </c>
      <c r="G1949" s="13">
        <v>25173.0</v>
      </c>
      <c r="H1949" s="13">
        <v>2288.31</v>
      </c>
      <c r="I1949" s="13">
        <f>' car_sales_data 1'!$G1949*0.2</f>
        <v>5034.6</v>
      </c>
      <c r="J1949" s="13" t="str">
        <f>TEXT(' car_sales_data 1'!$A1949,"mmmm")</f>
        <v>January</v>
      </c>
      <c r="K1949" s="13" t="str">
        <f>IF(' car_sales_data 1'!$G1949&gt;40000,"Premium",
 IF(' car_sales_data 1'!$G1949&gt;=20000,"Mid Range","Budget"))</f>
        <v>Mid Range</v>
      </c>
      <c r="L1949" s="13">
        <f>YEAR(TODAY())-' car_sales_data 1'!$F1949</f>
        <v>6</v>
      </c>
    </row>
    <row r="1950" ht="15.75" customHeight="1">
      <c r="A1950" s="16">
        <v>44710.0</v>
      </c>
      <c r="B1950" s="13" t="s">
        <v>3839</v>
      </c>
      <c r="C1950" s="13" t="s">
        <v>3840</v>
      </c>
      <c r="D1950" s="13" t="s">
        <v>14</v>
      </c>
      <c r="E1950" s="13" t="s">
        <v>62</v>
      </c>
      <c r="F1950" s="13">
        <v>2010.0</v>
      </c>
      <c r="G1950" s="13">
        <v>29621.0</v>
      </c>
      <c r="H1950" s="13">
        <v>4287.55</v>
      </c>
      <c r="I1950" s="13">
        <f>' car_sales_data 1'!$G1950*0.2</f>
        <v>5924.2</v>
      </c>
      <c r="J1950" s="13" t="str">
        <f>TEXT(' car_sales_data 1'!$A1950,"mmmm")</f>
        <v>May</v>
      </c>
      <c r="K1950" s="13" t="str">
        <f>IF(' car_sales_data 1'!$G1950&gt;40000,"Premium",
 IF(' car_sales_data 1'!$G1950&gt;=20000,"Mid Range","Budget"))</f>
        <v>Mid Range</v>
      </c>
      <c r="L1950" s="13">
        <f>YEAR(TODAY())-' car_sales_data 1'!$F1950</f>
        <v>15</v>
      </c>
    </row>
    <row r="1951" ht="15.75" customHeight="1">
      <c r="A1951" s="16">
        <v>45007.0</v>
      </c>
      <c r="B1951" s="13" t="s">
        <v>3841</v>
      </c>
      <c r="C1951" s="13" t="s">
        <v>3842</v>
      </c>
      <c r="D1951" s="13" t="s">
        <v>10</v>
      </c>
      <c r="E1951" s="13" t="s">
        <v>57</v>
      </c>
      <c r="F1951" s="13">
        <v>2019.0</v>
      </c>
      <c r="G1951" s="13">
        <v>25496.0</v>
      </c>
      <c r="H1951" s="13">
        <v>3560.94</v>
      </c>
      <c r="I1951" s="13">
        <f>' car_sales_data 1'!$G1951*0.2</f>
        <v>5099.2</v>
      </c>
      <c r="J1951" s="13" t="str">
        <f>TEXT(' car_sales_data 1'!$A1951,"mmmm")</f>
        <v>March</v>
      </c>
      <c r="K1951" s="13" t="str">
        <f>IF(' car_sales_data 1'!$G1951&gt;40000,"Premium",
 IF(' car_sales_data 1'!$G1951&gt;=20000,"Mid Range","Budget"))</f>
        <v>Mid Range</v>
      </c>
      <c r="L1951" s="13">
        <f>YEAR(TODAY())-' car_sales_data 1'!$F1951</f>
        <v>6</v>
      </c>
    </row>
    <row r="1952" ht="15.75" customHeight="1">
      <c r="A1952" s="16">
        <v>44714.0</v>
      </c>
      <c r="B1952" s="13" t="s">
        <v>1479</v>
      </c>
      <c r="C1952" s="13" t="s">
        <v>3843</v>
      </c>
      <c r="D1952" s="13" t="s">
        <v>14</v>
      </c>
      <c r="E1952" s="13" t="s">
        <v>57</v>
      </c>
      <c r="F1952" s="13">
        <v>2014.0</v>
      </c>
      <c r="G1952" s="13">
        <v>40565.0</v>
      </c>
      <c r="H1952" s="13">
        <v>5653.57</v>
      </c>
      <c r="I1952" s="13">
        <f>' car_sales_data 1'!$G1952*0.2</f>
        <v>8113</v>
      </c>
      <c r="J1952" s="13" t="str">
        <f>TEXT(' car_sales_data 1'!$A1952,"mmmm")</f>
        <v>June</v>
      </c>
      <c r="K1952" s="13" t="str">
        <f>IF(' car_sales_data 1'!$G1952&gt;40000,"Premium",
 IF(' car_sales_data 1'!$G1952&gt;=20000,"Mid Range","Budget"))</f>
        <v>Premium</v>
      </c>
      <c r="L1952" s="13">
        <f>YEAR(TODAY())-' car_sales_data 1'!$F1952</f>
        <v>11</v>
      </c>
    </row>
    <row r="1953" ht="15.75" customHeight="1">
      <c r="A1953" s="16">
        <v>44895.0</v>
      </c>
      <c r="B1953" s="13" t="s">
        <v>3844</v>
      </c>
      <c r="C1953" s="13" t="s">
        <v>3845</v>
      </c>
      <c r="D1953" s="13" t="s">
        <v>10</v>
      </c>
      <c r="E1953" s="13" t="s">
        <v>62</v>
      </c>
      <c r="F1953" s="13">
        <v>2021.0</v>
      </c>
      <c r="G1953" s="13">
        <v>21824.0</v>
      </c>
      <c r="H1953" s="13">
        <v>3041.18</v>
      </c>
      <c r="I1953" s="13">
        <f>' car_sales_data 1'!$G1953*0.2</f>
        <v>4364.8</v>
      </c>
      <c r="J1953" s="13" t="str">
        <f>TEXT(' car_sales_data 1'!$A1953,"mmmm")</f>
        <v>November</v>
      </c>
      <c r="K1953" s="13" t="str">
        <f>IF(' car_sales_data 1'!$G1953&gt;40000,"Premium",
 IF(' car_sales_data 1'!$G1953&gt;=20000,"Mid Range","Budget"))</f>
        <v>Mid Range</v>
      </c>
      <c r="L1953" s="13">
        <f>YEAR(TODAY())-' car_sales_data 1'!$F1953</f>
        <v>4</v>
      </c>
    </row>
    <row r="1954" ht="15.75" customHeight="1">
      <c r="A1954" s="16">
        <v>44910.0</v>
      </c>
      <c r="B1954" s="13" t="s">
        <v>3846</v>
      </c>
      <c r="C1954" s="13" t="s">
        <v>3847</v>
      </c>
      <c r="D1954" s="13" t="s">
        <v>6</v>
      </c>
      <c r="E1954" s="13" t="s">
        <v>51</v>
      </c>
      <c r="F1954" s="13">
        <v>2015.0</v>
      </c>
      <c r="G1954" s="13">
        <v>16208.0</v>
      </c>
      <c r="H1954" s="13">
        <v>2156.77</v>
      </c>
      <c r="I1954" s="13">
        <f>' car_sales_data 1'!$G1954*0.2</f>
        <v>3241.6</v>
      </c>
      <c r="J1954" s="13" t="str">
        <f>TEXT(' car_sales_data 1'!$A1954,"mmmm")</f>
        <v>December</v>
      </c>
      <c r="K1954" s="13" t="str">
        <f>IF(' car_sales_data 1'!$G1954&gt;40000,"Premium",
 IF(' car_sales_data 1'!$G1954&gt;=20000,"Mid Range","Budget"))</f>
        <v>Budget</v>
      </c>
      <c r="L1954" s="13">
        <f>YEAR(TODAY())-' car_sales_data 1'!$F1954</f>
        <v>10</v>
      </c>
    </row>
    <row r="1955" ht="15.75" customHeight="1">
      <c r="A1955" s="16">
        <v>44835.0</v>
      </c>
      <c r="B1955" s="13" t="s">
        <v>3848</v>
      </c>
      <c r="C1955" s="13" t="s">
        <v>3849</v>
      </c>
      <c r="D1955" s="13" t="s">
        <v>6</v>
      </c>
      <c r="E1955" s="13" t="s">
        <v>54</v>
      </c>
      <c r="F1955" s="13">
        <v>2011.0</v>
      </c>
      <c r="G1955" s="13">
        <v>31046.0</v>
      </c>
      <c r="H1955" s="13">
        <v>2189.45</v>
      </c>
      <c r="I1955" s="13">
        <f>' car_sales_data 1'!$G1955*0.2</f>
        <v>6209.2</v>
      </c>
      <c r="J1955" s="13" t="str">
        <f>TEXT(' car_sales_data 1'!$A1955,"mmmm")</f>
        <v>October</v>
      </c>
      <c r="K1955" s="13" t="str">
        <f>IF(' car_sales_data 1'!$G1955&gt;40000,"Premium",
 IF(' car_sales_data 1'!$G1955&gt;=20000,"Mid Range","Budget"))</f>
        <v>Mid Range</v>
      </c>
      <c r="L1955" s="13">
        <f>YEAR(TODAY())-' car_sales_data 1'!$F1955</f>
        <v>14</v>
      </c>
    </row>
    <row r="1956" ht="15.75" customHeight="1">
      <c r="A1956" s="16">
        <v>44973.0</v>
      </c>
      <c r="B1956" s="13" t="s">
        <v>3559</v>
      </c>
      <c r="C1956" s="13" t="s">
        <v>3850</v>
      </c>
      <c r="D1956" s="13" t="s">
        <v>12</v>
      </c>
      <c r="E1956" s="13" t="s">
        <v>51</v>
      </c>
      <c r="F1956" s="13">
        <v>2019.0</v>
      </c>
      <c r="G1956" s="13">
        <v>38361.0</v>
      </c>
      <c r="H1956" s="13">
        <v>5375.42</v>
      </c>
      <c r="I1956" s="13">
        <f>' car_sales_data 1'!$G1956*0.2</f>
        <v>7672.2</v>
      </c>
      <c r="J1956" s="13" t="str">
        <f>TEXT(' car_sales_data 1'!$A1956,"mmmm")</f>
        <v>February</v>
      </c>
      <c r="K1956" s="13" t="str">
        <f>IF(' car_sales_data 1'!$G1956&gt;40000,"Premium",
 IF(' car_sales_data 1'!$G1956&gt;=20000,"Mid Range","Budget"))</f>
        <v>Mid Range</v>
      </c>
      <c r="L1956" s="13">
        <f>YEAR(TODAY())-' car_sales_data 1'!$F1956</f>
        <v>6</v>
      </c>
    </row>
    <row r="1957" ht="15.75" customHeight="1">
      <c r="A1957" s="16">
        <v>44847.0</v>
      </c>
      <c r="B1957" s="13" t="s">
        <v>3851</v>
      </c>
      <c r="C1957" s="13" t="s">
        <v>3852</v>
      </c>
      <c r="D1957" s="13" t="s">
        <v>8</v>
      </c>
      <c r="E1957" s="13" t="s">
        <v>70</v>
      </c>
      <c r="F1957" s="13">
        <v>2022.0</v>
      </c>
      <c r="G1957" s="13">
        <v>21130.0</v>
      </c>
      <c r="H1957" s="13">
        <v>1796.22</v>
      </c>
      <c r="I1957" s="13">
        <f>' car_sales_data 1'!$G1957*0.2</f>
        <v>4226</v>
      </c>
      <c r="J1957" s="13" t="str">
        <f>TEXT(' car_sales_data 1'!$A1957,"mmmm")</f>
        <v>October</v>
      </c>
      <c r="K1957" s="13" t="str">
        <f>IF(' car_sales_data 1'!$G1957&gt;40000,"Premium",
 IF(' car_sales_data 1'!$G1957&gt;=20000,"Mid Range","Budget"))</f>
        <v>Mid Range</v>
      </c>
      <c r="L1957" s="13">
        <f>YEAR(TODAY())-' car_sales_data 1'!$F1957</f>
        <v>3</v>
      </c>
    </row>
    <row r="1958" ht="15.75" customHeight="1">
      <c r="A1958" s="16">
        <v>44719.0</v>
      </c>
      <c r="B1958" s="13" t="s">
        <v>3853</v>
      </c>
      <c r="C1958" s="13" t="s">
        <v>3854</v>
      </c>
      <c r="D1958" s="13" t="s">
        <v>8</v>
      </c>
      <c r="E1958" s="13" t="s">
        <v>51</v>
      </c>
      <c r="F1958" s="13">
        <v>2021.0</v>
      </c>
      <c r="G1958" s="13">
        <v>28774.0</v>
      </c>
      <c r="H1958" s="13">
        <v>4034.68</v>
      </c>
      <c r="I1958" s="13">
        <f>' car_sales_data 1'!$G1958*0.2</f>
        <v>5754.8</v>
      </c>
      <c r="J1958" s="13" t="str">
        <f>TEXT(' car_sales_data 1'!$A1958,"mmmm")</f>
        <v>June</v>
      </c>
      <c r="K1958" s="13" t="str">
        <f>IF(' car_sales_data 1'!$G1958&gt;40000,"Premium",
 IF(' car_sales_data 1'!$G1958&gt;=20000,"Mid Range","Budget"))</f>
        <v>Mid Range</v>
      </c>
      <c r="L1958" s="13">
        <f>YEAR(TODAY())-' car_sales_data 1'!$F1958</f>
        <v>4</v>
      </c>
    </row>
    <row r="1959" ht="15.75" customHeight="1">
      <c r="A1959" s="16">
        <v>44753.0</v>
      </c>
      <c r="B1959" s="13" t="s">
        <v>3855</v>
      </c>
      <c r="C1959" s="13" t="s">
        <v>3856</v>
      </c>
      <c r="D1959" s="13" t="s">
        <v>6</v>
      </c>
      <c r="E1959" s="13" t="s">
        <v>70</v>
      </c>
      <c r="F1959" s="13">
        <v>2015.0</v>
      </c>
      <c r="G1959" s="13">
        <v>39540.0</v>
      </c>
      <c r="H1959" s="13">
        <v>2623.59</v>
      </c>
      <c r="I1959" s="13">
        <f>' car_sales_data 1'!$G1959*0.2</f>
        <v>7908</v>
      </c>
      <c r="J1959" s="13" t="str">
        <f>TEXT(' car_sales_data 1'!$A1959,"mmmm")</f>
        <v>July</v>
      </c>
      <c r="K1959" s="13" t="str">
        <f>IF(' car_sales_data 1'!$G1959&gt;40000,"Premium",
 IF(' car_sales_data 1'!$G1959&gt;=20000,"Mid Range","Budget"))</f>
        <v>Mid Range</v>
      </c>
      <c r="L1959" s="13">
        <f>YEAR(TODAY())-' car_sales_data 1'!$F1959</f>
        <v>10</v>
      </c>
    </row>
    <row r="1960" ht="15.75" customHeight="1">
      <c r="A1960" s="16">
        <v>44937.0</v>
      </c>
      <c r="B1960" s="13" t="s">
        <v>3857</v>
      </c>
      <c r="C1960" s="13" t="s">
        <v>3858</v>
      </c>
      <c r="D1960" s="13" t="s">
        <v>8</v>
      </c>
      <c r="E1960" s="13" t="s">
        <v>70</v>
      </c>
      <c r="F1960" s="13">
        <v>2011.0</v>
      </c>
      <c r="G1960" s="13">
        <v>14970.0</v>
      </c>
      <c r="H1960" s="13">
        <v>814.74</v>
      </c>
      <c r="I1960" s="13">
        <f>' car_sales_data 1'!$G1960*0.2</f>
        <v>2994</v>
      </c>
      <c r="J1960" s="13" t="str">
        <f>TEXT(' car_sales_data 1'!$A1960,"mmmm")</f>
        <v>January</v>
      </c>
      <c r="K1960" s="13" t="str">
        <f>IF(' car_sales_data 1'!$G1960&gt;40000,"Premium",
 IF(' car_sales_data 1'!$G1960&gt;=20000,"Mid Range","Budget"))</f>
        <v>Budget</v>
      </c>
      <c r="L1960" s="13">
        <f>YEAR(TODAY())-' car_sales_data 1'!$F1960</f>
        <v>14</v>
      </c>
    </row>
    <row r="1961" ht="15.75" customHeight="1">
      <c r="A1961" s="16">
        <v>44722.0</v>
      </c>
      <c r="B1961" s="13" t="s">
        <v>3859</v>
      </c>
      <c r="C1961" s="13" t="s">
        <v>3860</v>
      </c>
      <c r="D1961" s="13" t="s">
        <v>8</v>
      </c>
      <c r="E1961" s="13" t="s">
        <v>57</v>
      </c>
      <c r="F1961" s="13">
        <v>2015.0</v>
      </c>
      <c r="G1961" s="13">
        <v>23749.0</v>
      </c>
      <c r="H1961" s="13">
        <v>1908.79</v>
      </c>
      <c r="I1961" s="13">
        <f>' car_sales_data 1'!$G1961*0.2</f>
        <v>4749.8</v>
      </c>
      <c r="J1961" s="13" t="str">
        <f>TEXT(' car_sales_data 1'!$A1961,"mmmm")</f>
        <v>June</v>
      </c>
      <c r="K1961" s="13" t="str">
        <f>IF(' car_sales_data 1'!$G1961&gt;40000,"Premium",
 IF(' car_sales_data 1'!$G1961&gt;=20000,"Mid Range","Budget"))</f>
        <v>Mid Range</v>
      </c>
      <c r="L1961" s="13">
        <f>YEAR(TODAY())-' car_sales_data 1'!$F1961</f>
        <v>10</v>
      </c>
    </row>
    <row r="1962" ht="15.75" customHeight="1">
      <c r="A1962" s="16">
        <v>44935.0</v>
      </c>
      <c r="B1962" s="13" t="s">
        <v>3861</v>
      </c>
      <c r="C1962" s="13" t="s">
        <v>3862</v>
      </c>
      <c r="D1962" s="13" t="s">
        <v>8</v>
      </c>
      <c r="E1962" s="13" t="s">
        <v>62</v>
      </c>
      <c r="F1962" s="13">
        <v>2021.0</v>
      </c>
      <c r="G1962" s="13">
        <v>23421.0</v>
      </c>
      <c r="H1962" s="13">
        <v>3204.33</v>
      </c>
      <c r="I1962" s="13">
        <f>' car_sales_data 1'!$G1962*0.2</f>
        <v>4684.2</v>
      </c>
      <c r="J1962" s="13" t="str">
        <f>TEXT(' car_sales_data 1'!$A1962,"mmmm")</f>
        <v>January</v>
      </c>
      <c r="K1962" s="13" t="str">
        <f>IF(' car_sales_data 1'!$G1962&gt;40000,"Premium",
 IF(' car_sales_data 1'!$G1962&gt;=20000,"Mid Range","Budget"))</f>
        <v>Mid Range</v>
      </c>
      <c r="L1962" s="13">
        <f>YEAR(TODAY())-' car_sales_data 1'!$F1962</f>
        <v>4</v>
      </c>
    </row>
    <row r="1963" ht="15.75" customHeight="1">
      <c r="A1963" s="16">
        <v>44773.0</v>
      </c>
      <c r="B1963" s="13" t="s">
        <v>3863</v>
      </c>
      <c r="C1963" s="13" t="s">
        <v>3864</v>
      </c>
      <c r="D1963" s="13" t="s">
        <v>10</v>
      </c>
      <c r="E1963" s="13" t="s">
        <v>70</v>
      </c>
      <c r="F1963" s="13">
        <v>2019.0</v>
      </c>
      <c r="G1963" s="13">
        <v>10573.0</v>
      </c>
      <c r="H1963" s="13">
        <v>1454.91</v>
      </c>
      <c r="I1963" s="13">
        <f>' car_sales_data 1'!$G1963*0.2</f>
        <v>2114.6</v>
      </c>
      <c r="J1963" s="13" t="str">
        <f>TEXT(' car_sales_data 1'!$A1963,"mmmm")</f>
        <v>July</v>
      </c>
      <c r="K1963" s="13" t="str">
        <f>IF(' car_sales_data 1'!$G1963&gt;40000,"Premium",
 IF(' car_sales_data 1'!$G1963&gt;=20000,"Mid Range","Budget"))</f>
        <v>Budget</v>
      </c>
      <c r="L1963" s="13">
        <f>YEAR(TODAY())-' car_sales_data 1'!$F1963</f>
        <v>6</v>
      </c>
    </row>
    <row r="1964" ht="15.75" customHeight="1">
      <c r="A1964" s="16">
        <v>44852.0</v>
      </c>
      <c r="B1964" s="13" t="s">
        <v>3865</v>
      </c>
      <c r="C1964" s="13" t="s">
        <v>3866</v>
      </c>
      <c r="D1964" s="13" t="s">
        <v>14</v>
      </c>
      <c r="E1964" s="13" t="s">
        <v>54</v>
      </c>
      <c r="F1964" s="13">
        <v>2010.0</v>
      </c>
      <c r="G1964" s="13">
        <v>38218.0</v>
      </c>
      <c r="H1964" s="13">
        <v>4759.41</v>
      </c>
      <c r="I1964" s="13">
        <f>' car_sales_data 1'!$G1964*0.2</f>
        <v>7643.6</v>
      </c>
      <c r="J1964" s="13" t="str">
        <f>TEXT(' car_sales_data 1'!$A1964,"mmmm")</f>
        <v>October</v>
      </c>
      <c r="K1964" s="13" t="str">
        <f>IF(' car_sales_data 1'!$G1964&gt;40000,"Premium",
 IF(' car_sales_data 1'!$G1964&gt;=20000,"Mid Range","Budget"))</f>
        <v>Mid Range</v>
      </c>
      <c r="L1964" s="13">
        <f>YEAR(TODAY())-' car_sales_data 1'!$F1964</f>
        <v>15</v>
      </c>
    </row>
    <row r="1965" ht="15.75" customHeight="1">
      <c r="A1965" s="16">
        <v>44965.0</v>
      </c>
      <c r="B1965" s="13" t="s">
        <v>3867</v>
      </c>
      <c r="C1965" s="13" t="s">
        <v>3209</v>
      </c>
      <c r="D1965" s="13" t="s">
        <v>6</v>
      </c>
      <c r="E1965" s="13" t="s">
        <v>57</v>
      </c>
      <c r="F1965" s="13">
        <v>2012.0</v>
      </c>
      <c r="G1965" s="13">
        <v>13252.0</v>
      </c>
      <c r="H1965" s="13">
        <v>1035.53</v>
      </c>
      <c r="I1965" s="13">
        <f>' car_sales_data 1'!$G1965*0.2</f>
        <v>2650.4</v>
      </c>
      <c r="J1965" s="13" t="str">
        <f>TEXT(' car_sales_data 1'!$A1965,"mmmm")</f>
        <v>February</v>
      </c>
      <c r="K1965" s="13" t="str">
        <f>IF(' car_sales_data 1'!$G1965&gt;40000,"Premium",
 IF(' car_sales_data 1'!$G1965&gt;=20000,"Mid Range","Budget"))</f>
        <v>Budget</v>
      </c>
      <c r="L1965" s="13">
        <f>YEAR(TODAY())-' car_sales_data 1'!$F1965</f>
        <v>13</v>
      </c>
    </row>
    <row r="1966" ht="15.75" customHeight="1">
      <c r="A1966" s="16">
        <v>45010.0</v>
      </c>
      <c r="B1966" s="13" t="s">
        <v>3868</v>
      </c>
      <c r="C1966" s="13" t="s">
        <v>2166</v>
      </c>
      <c r="D1966" s="13" t="s">
        <v>14</v>
      </c>
      <c r="E1966" s="13" t="s">
        <v>70</v>
      </c>
      <c r="F1966" s="13">
        <v>2017.0</v>
      </c>
      <c r="G1966" s="13">
        <v>11580.0</v>
      </c>
      <c r="H1966" s="13">
        <v>975.08</v>
      </c>
      <c r="I1966" s="13">
        <f>' car_sales_data 1'!$G1966*0.2</f>
        <v>2316</v>
      </c>
      <c r="J1966" s="13" t="str">
        <f>TEXT(' car_sales_data 1'!$A1966,"mmmm")</f>
        <v>March</v>
      </c>
      <c r="K1966" s="13" t="str">
        <f>IF(' car_sales_data 1'!$G1966&gt;40000,"Premium",
 IF(' car_sales_data 1'!$G1966&gt;=20000,"Mid Range","Budget"))</f>
        <v>Budget</v>
      </c>
      <c r="L1966" s="13">
        <f>YEAR(TODAY())-' car_sales_data 1'!$F1966</f>
        <v>8</v>
      </c>
    </row>
    <row r="1967" ht="15.75" customHeight="1">
      <c r="A1967" s="16">
        <v>44827.0</v>
      </c>
      <c r="B1967" s="13" t="s">
        <v>3869</v>
      </c>
      <c r="C1967" s="13" t="s">
        <v>3870</v>
      </c>
      <c r="D1967" s="13" t="s">
        <v>14</v>
      </c>
      <c r="E1967" s="13" t="s">
        <v>51</v>
      </c>
      <c r="F1967" s="13">
        <v>2021.0</v>
      </c>
      <c r="G1967" s="13">
        <v>40975.0</v>
      </c>
      <c r="H1967" s="13">
        <v>4046.34</v>
      </c>
      <c r="I1967" s="13">
        <f>' car_sales_data 1'!$G1967*0.2</f>
        <v>8195</v>
      </c>
      <c r="J1967" s="13" t="str">
        <f>TEXT(' car_sales_data 1'!$A1967,"mmmm")</f>
        <v>September</v>
      </c>
      <c r="K1967" s="13" t="str">
        <f>IF(' car_sales_data 1'!$G1967&gt;40000,"Premium",
 IF(' car_sales_data 1'!$G1967&gt;=20000,"Mid Range","Budget"))</f>
        <v>Premium</v>
      </c>
      <c r="L1967" s="13">
        <f>YEAR(TODAY())-' car_sales_data 1'!$F1967</f>
        <v>4</v>
      </c>
    </row>
    <row r="1968" ht="15.75" customHeight="1">
      <c r="A1968" s="16">
        <v>45030.0</v>
      </c>
      <c r="B1968" s="13" t="s">
        <v>3871</v>
      </c>
      <c r="C1968" s="13" t="s">
        <v>3872</v>
      </c>
      <c r="D1968" s="13" t="s">
        <v>10</v>
      </c>
      <c r="E1968" s="13" t="s">
        <v>54</v>
      </c>
      <c r="F1968" s="13">
        <v>2013.0</v>
      </c>
      <c r="G1968" s="13">
        <v>20560.0</v>
      </c>
      <c r="H1968" s="13">
        <v>2436.42</v>
      </c>
      <c r="I1968" s="13">
        <f>' car_sales_data 1'!$G1968*0.2</f>
        <v>4112</v>
      </c>
      <c r="J1968" s="13" t="str">
        <f>TEXT(' car_sales_data 1'!$A1968,"mmmm")</f>
        <v>April</v>
      </c>
      <c r="K1968" s="13" t="str">
        <f>IF(' car_sales_data 1'!$G1968&gt;40000,"Premium",
 IF(' car_sales_data 1'!$G1968&gt;=20000,"Mid Range","Budget"))</f>
        <v>Mid Range</v>
      </c>
      <c r="L1968" s="13">
        <f>YEAR(TODAY())-' car_sales_data 1'!$F1968</f>
        <v>12</v>
      </c>
    </row>
    <row r="1969" ht="15.75" customHeight="1">
      <c r="A1969" s="16">
        <v>44886.0</v>
      </c>
      <c r="B1969" s="13" t="s">
        <v>3873</v>
      </c>
      <c r="C1969" s="13" t="s">
        <v>3874</v>
      </c>
      <c r="D1969" s="13" t="s">
        <v>10</v>
      </c>
      <c r="E1969" s="13" t="s">
        <v>70</v>
      </c>
      <c r="F1969" s="13">
        <v>2018.0</v>
      </c>
      <c r="G1969" s="13">
        <v>35288.0</v>
      </c>
      <c r="H1969" s="13">
        <v>4496.28</v>
      </c>
      <c r="I1969" s="13">
        <f>' car_sales_data 1'!$G1969*0.2</f>
        <v>7057.6</v>
      </c>
      <c r="J1969" s="13" t="str">
        <f>TEXT(' car_sales_data 1'!$A1969,"mmmm")</f>
        <v>November</v>
      </c>
      <c r="K1969" s="13" t="str">
        <f>IF(' car_sales_data 1'!$G1969&gt;40000,"Premium",
 IF(' car_sales_data 1'!$G1969&gt;=20000,"Mid Range","Budget"))</f>
        <v>Mid Range</v>
      </c>
      <c r="L1969" s="13">
        <f>YEAR(TODAY())-' car_sales_data 1'!$F1969</f>
        <v>7</v>
      </c>
    </row>
    <row r="1970" ht="15.75" customHeight="1">
      <c r="A1970" s="16">
        <v>45033.0</v>
      </c>
      <c r="B1970" s="13" t="s">
        <v>3875</v>
      </c>
      <c r="C1970" s="13" t="s">
        <v>3876</v>
      </c>
      <c r="D1970" s="13" t="s">
        <v>8</v>
      </c>
      <c r="E1970" s="13" t="s">
        <v>70</v>
      </c>
      <c r="F1970" s="13">
        <v>2014.0</v>
      </c>
      <c r="G1970" s="13">
        <v>14393.0</v>
      </c>
      <c r="H1970" s="13">
        <v>1807.7</v>
      </c>
      <c r="I1970" s="13">
        <f>' car_sales_data 1'!$G1970*0.2</f>
        <v>2878.6</v>
      </c>
      <c r="J1970" s="13" t="str">
        <f>TEXT(' car_sales_data 1'!$A1970,"mmmm")</f>
        <v>April</v>
      </c>
      <c r="K1970" s="13" t="str">
        <f>IF(' car_sales_data 1'!$G1970&gt;40000,"Premium",
 IF(' car_sales_data 1'!$G1970&gt;=20000,"Mid Range","Budget"))</f>
        <v>Budget</v>
      </c>
      <c r="L1970" s="13">
        <f>YEAR(TODAY())-' car_sales_data 1'!$F1970</f>
        <v>11</v>
      </c>
    </row>
    <row r="1971" ht="15.75" customHeight="1">
      <c r="A1971" s="16">
        <v>44950.0</v>
      </c>
      <c r="B1971" s="13" t="s">
        <v>3877</v>
      </c>
      <c r="C1971" s="13" t="s">
        <v>3223</v>
      </c>
      <c r="D1971" s="13" t="s">
        <v>8</v>
      </c>
      <c r="E1971" s="13" t="s">
        <v>62</v>
      </c>
      <c r="F1971" s="13">
        <v>2011.0</v>
      </c>
      <c r="G1971" s="13">
        <v>18417.0</v>
      </c>
      <c r="H1971" s="13">
        <v>1162.19</v>
      </c>
      <c r="I1971" s="13">
        <f>' car_sales_data 1'!$G1971*0.2</f>
        <v>3683.4</v>
      </c>
      <c r="J1971" s="13" t="str">
        <f>TEXT(' car_sales_data 1'!$A1971,"mmmm")</f>
        <v>January</v>
      </c>
      <c r="K1971" s="13" t="str">
        <f>IF(' car_sales_data 1'!$G1971&gt;40000,"Premium",
 IF(' car_sales_data 1'!$G1971&gt;=20000,"Mid Range","Budget"))</f>
        <v>Budget</v>
      </c>
      <c r="L1971" s="13">
        <f>YEAR(TODAY())-' car_sales_data 1'!$F1971</f>
        <v>14</v>
      </c>
    </row>
    <row r="1972" ht="15.75" customHeight="1">
      <c r="A1972" s="16">
        <v>44926.0</v>
      </c>
      <c r="B1972" s="13" t="s">
        <v>3878</v>
      </c>
      <c r="C1972" s="13" t="s">
        <v>3879</v>
      </c>
      <c r="D1972" s="13" t="s">
        <v>12</v>
      </c>
      <c r="E1972" s="13" t="s">
        <v>51</v>
      </c>
      <c r="F1972" s="13">
        <v>2013.0</v>
      </c>
      <c r="G1972" s="13">
        <v>49946.0</v>
      </c>
      <c r="H1972" s="13">
        <v>4014.91</v>
      </c>
      <c r="I1972" s="13">
        <f>' car_sales_data 1'!$G1972*0.2</f>
        <v>9989.2</v>
      </c>
      <c r="J1972" s="13" t="str">
        <f>TEXT(' car_sales_data 1'!$A1972,"mmmm")</f>
        <v>December</v>
      </c>
      <c r="K1972" s="13" t="str">
        <f>IF(' car_sales_data 1'!$G1972&gt;40000,"Premium",
 IF(' car_sales_data 1'!$G1972&gt;=20000,"Mid Range","Budget"))</f>
        <v>Premium</v>
      </c>
      <c r="L1972" s="13">
        <f>YEAR(TODAY())-' car_sales_data 1'!$F1972</f>
        <v>12</v>
      </c>
    </row>
    <row r="1973" ht="15.75" customHeight="1">
      <c r="A1973" s="16">
        <v>44890.0</v>
      </c>
      <c r="B1973" s="13" t="s">
        <v>3880</v>
      </c>
      <c r="C1973" s="13" t="s">
        <v>3881</v>
      </c>
      <c r="D1973" s="13" t="s">
        <v>8</v>
      </c>
      <c r="E1973" s="13" t="s">
        <v>51</v>
      </c>
      <c r="F1973" s="13">
        <v>2018.0</v>
      </c>
      <c r="G1973" s="13">
        <v>30836.0</v>
      </c>
      <c r="H1973" s="13">
        <v>4288.76</v>
      </c>
      <c r="I1973" s="13">
        <f>' car_sales_data 1'!$G1973*0.2</f>
        <v>6167.2</v>
      </c>
      <c r="J1973" s="13" t="str">
        <f>TEXT(' car_sales_data 1'!$A1973,"mmmm")</f>
        <v>November</v>
      </c>
      <c r="K1973" s="13" t="str">
        <f>IF(' car_sales_data 1'!$G1973&gt;40000,"Premium",
 IF(' car_sales_data 1'!$G1973&gt;=20000,"Mid Range","Budget"))</f>
        <v>Mid Range</v>
      </c>
      <c r="L1973" s="13">
        <f>YEAR(TODAY())-' car_sales_data 1'!$F1973</f>
        <v>7</v>
      </c>
    </row>
    <row r="1974" ht="15.75" customHeight="1">
      <c r="A1974" s="16">
        <v>44835.0</v>
      </c>
      <c r="B1974" s="13" t="s">
        <v>3882</v>
      </c>
      <c r="C1974" s="13" t="s">
        <v>3883</v>
      </c>
      <c r="D1974" s="13" t="s">
        <v>10</v>
      </c>
      <c r="E1974" s="13" t="s">
        <v>54</v>
      </c>
      <c r="F1974" s="13">
        <v>2012.0</v>
      </c>
      <c r="G1974" s="13">
        <v>41328.0</v>
      </c>
      <c r="H1974" s="13">
        <v>3237.02</v>
      </c>
      <c r="I1974" s="13">
        <f>' car_sales_data 1'!$G1974*0.2</f>
        <v>8265.6</v>
      </c>
      <c r="J1974" s="13" t="str">
        <f>TEXT(' car_sales_data 1'!$A1974,"mmmm")</f>
        <v>October</v>
      </c>
      <c r="K1974" s="13" t="str">
        <f>IF(' car_sales_data 1'!$G1974&gt;40000,"Premium",
 IF(' car_sales_data 1'!$G1974&gt;=20000,"Mid Range","Budget"))</f>
        <v>Premium</v>
      </c>
      <c r="L1974" s="13">
        <f>YEAR(TODAY())-' car_sales_data 1'!$F1974</f>
        <v>13</v>
      </c>
    </row>
    <row r="1975" ht="15.75" customHeight="1">
      <c r="A1975" s="16">
        <v>44952.0</v>
      </c>
      <c r="B1975" s="13" t="s">
        <v>3884</v>
      </c>
      <c r="C1975" s="13" t="s">
        <v>3885</v>
      </c>
      <c r="D1975" s="13" t="s">
        <v>14</v>
      </c>
      <c r="E1975" s="13" t="s">
        <v>51</v>
      </c>
      <c r="F1975" s="13">
        <v>2019.0</v>
      </c>
      <c r="G1975" s="13">
        <v>13087.0</v>
      </c>
      <c r="H1975" s="13">
        <v>1005.89</v>
      </c>
      <c r="I1975" s="13">
        <f>' car_sales_data 1'!$G1975*0.2</f>
        <v>2617.4</v>
      </c>
      <c r="J1975" s="13" t="str">
        <f>TEXT(' car_sales_data 1'!$A1975,"mmmm")</f>
        <v>January</v>
      </c>
      <c r="K1975" s="13" t="str">
        <f>IF(' car_sales_data 1'!$G1975&gt;40000,"Premium",
 IF(' car_sales_data 1'!$G1975&gt;=20000,"Mid Range","Budget"))</f>
        <v>Budget</v>
      </c>
      <c r="L1975" s="13">
        <f>YEAR(TODAY())-' car_sales_data 1'!$F1975</f>
        <v>6</v>
      </c>
    </row>
    <row r="1976" ht="15.75" customHeight="1">
      <c r="A1976" s="16">
        <v>44713.0</v>
      </c>
      <c r="B1976" s="13" t="s">
        <v>3886</v>
      </c>
      <c r="C1976" s="13" t="s">
        <v>3887</v>
      </c>
      <c r="D1976" s="13" t="s">
        <v>10</v>
      </c>
      <c r="E1976" s="13" t="s">
        <v>51</v>
      </c>
      <c r="F1976" s="13">
        <v>2013.0</v>
      </c>
      <c r="G1976" s="13">
        <v>39167.0</v>
      </c>
      <c r="H1976" s="13">
        <v>2943.19</v>
      </c>
      <c r="I1976" s="13">
        <f>' car_sales_data 1'!$G1976*0.2</f>
        <v>7833.4</v>
      </c>
      <c r="J1976" s="13" t="str">
        <f>TEXT(' car_sales_data 1'!$A1976,"mmmm")</f>
        <v>June</v>
      </c>
      <c r="K1976" s="13" t="str">
        <f>IF(' car_sales_data 1'!$G1976&gt;40000,"Premium",
 IF(' car_sales_data 1'!$G1976&gt;=20000,"Mid Range","Budget"))</f>
        <v>Mid Range</v>
      </c>
      <c r="L1976" s="13">
        <f>YEAR(TODAY())-' car_sales_data 1'!$F1976</f>
        <v>12</v>
      </c>
    </row>
    <row r="1977" ht="15.75" customHeight="1">
      <c r="A1977" s="16">
        <v>45030.0</v>
      </c>
      <c r="B1977" s="13" t="s">
        <v>3888</v>
      </c>
      <c r="C1977" s="13" t="s">
        <v>3889</v>
      </c>
      <c r="D1977" s="13" t="s">
        <v>10</v>
      </c>
      <c r="E1977" s="13" t="s">
        <v>62</v>
      </c>
      <c r="F1977" s="13">
        <v>2012.0</v>
      </c>
      <c r="G1977" s="13">
        <v>32693.0</v>
      </c>
      <c r="H1977" s="13">
        <v>1846.16</v>
      </c>
      <c r="I1977" s="13">
        <f>' car_sales_data 1'!$G1977*0.2</f>
        <v>6538.6</v>
      </c>
      <c r="J1977" s="13" t="str">
        <f>TEXT(' car_sales_data 1'!$A1977,"mmmm")</f>
        <v>April</v>
      </c>
      <c r="K1977" s="13" t="str">
        <f>IF(' car_sales_data 1'!$G1977&gt;40000,"Premium",
 IF(' car_sales_data 1'!$G1977&gt;=20000,"Mid Range","Budget"))</f>
        <v>Mid Range</v>
      </c>
      <c r="L1977" s="13">
        <f>YEAR(TODAY())-' car_sales_data 1'!$F1977</f>
        <v>13</v>
      </c>
    </row>
    <row r="1978" ht="15.75" customHeight="1">
      <c r="A1978" s="16">
        <v>44917.0</v>
      </c>
      <c r="B1978" s="13" t="s">
        <v>3890</v>
      </c>
      <c r="C1978" s="13" t="s">
        <v>3891</v>
      </c>
      <c r="D1978" s="13" t="s">
        <v>6</v>
      </c>
      <c r="E1978" s="13" t="s">
        <v>57</v>
      </c>
      <c r="F1978" s="13">
        <v>2019.0</v>
      </c>
      <c r="G1978" s="13">
        <v>32263.0</v>
      </c>
      <c r="H1978" s="13">
        <v>4171.73</v>
      </c>
      <c r="I1978" s="13">
        <f>' car_sales_data 1'!$G1978*0.2</f>
        <v>6452.6</v>
      </c>
      <c r="J1978" s="13" t="str">
        <f>TEXT(' car_sales_data 1'!$A1978,"mmmm")</f>
        <v>December</v>
      </c>
      <c r="K1978" s="13" t="str">
        <f>IF(' car_sales_data 1'!$G1978&gt;40000,"Premium",
 IF(' car_sales_data 1'!$G1978&gt;=20000,"Mid Range","Budget"))</f>
        <v>Mid Range</v>
      </c>
      <c r="L1978" s="13">
        <f>YEAR(TODAY())-' car_sales_data 1'!$F1978</f>
        <v>6</v>
      </c>
    </row>
    <row r="1979" ht="15.75" customHeight="1">
      <c r="A1979" s="16">
        <v>44845.0</v>
      </c>
      <c r="B1979" s="13" t="s">
        <v>3892</v>
      </c>
      <c r="C1979" s="13" t="s">
        <v>3893</v>
      </c>
      <c r="D1979" s="13" t="s">
        <v>10</v>
      </c>
      <c r="E1979" s="13" t="s">
        <v>62</v>
      </c>
      <c r="F1979" s="13">
        <v>2015.0</v>
      </c>
      <c r="G1979" s="13">
        <v>15564.0</v>
      </c>
      <c r="H1979" s="13">
        <v>2243.77</v>
      </c>
      <c r="I1979" s="13">
        <f>' car_sales_data 1'!$G1979*0.2</f>
        <v>3112.8</v>
      </c>
      <c r="J1979" s="13" t="str">
        <f>TEXT(' car_sales_data 1'!$A1979,"mmmm")</f>
        <v>October</v>
      </c>
      <c r="K1979" s="13" t="str">
        <f>IF(' car_sales_data 1'!$G1979&gt;40000,"Premium",
 IF(' car_sales_data 1'!$G1979&gt;=20000,"Mid Range","Budget"))</f>
        <v>Budget</v>
      </c>
      <c r="L1979" s="13">
        <f>YEAR(TODAY())-' car_sales_data 1'!$F1979</f>
        <v>10</v>
      </c>
    </row>
    <row r="1980" ht="15.75" customHeight="1">
      <c r="A1980" s="16">
        <v>44873.0</v>
      </c>
      <c r="B1980" s="13" t="s">
        <v>3894</v>
      </c>
      <c r="C1980" s="13" t="s">
        <v>3895</v>
      </c>
      <c r="D1980" s="13" t="s">
        <v>12</v>
      </c>
      <c r="E1980" s="13" t="s">
        <v>54</v>
      </c>
      <c r="F1980" s="13">
        <v>2022.0</v>
      </c>
      <c r="G1980" s="13">
        <v>35404.0</v>
      </c>
      <c r="H1980" s="13">
        <v>2895.12</v>
      </c>
      <c r="I1980" s="13">
        <f>' car_sales_data 1'!$G1980*0.2</f>
        <v>7080.8</v>
      </c>
      <c r="J1980" s="13" t="str">
        <f>TEXT(' car_sales_data 1'!$A1980,"mmmm")</f>
        <v>November</v>
      </c>
      <c r="K1980" s="13" t="str">
        <f>IF(' car_sales_data 1'!$G1980&gt;40000,"Premium",
 IF(' car_sales_data 1'!$G1980&gt;=20000,"Mid Range","Budget"))</f>
        <v>Mid Range</v>
      </c>
      <c r="L1980" s="13">
        <f>YEAR(TODAY())-' car_sales_data 1'!$F1980</f>
        <v>3</v>
      </c>
    </row>
    <row r="1981" ht="15.75" customHeight="1">
      <c r="A1981" s="16">
        <v>45017.0</v>
      </c>
      <c r="B1981" s="13" t="s">
        <v>3896</v>
      </c>
      <c r="C1981" s="13" t="s">
        <v>3897</v>
      </c>
      <c r="D1981" s="13" t="s">
        <v>10</v>
      </c>
      <c r="E1981" s="13" t="s">
        <v>62</v>
      </c>
      <c r="F1981" s="13">
        <v>2012.0</v>
      </c>
      <c r="G1981" s="13">
        <v>21760.0</v>
      </c>
      <c r="H1981" s="13">
        <v>1913.89</v>
      </c>
      <c r="I1981" s="13">
        <f>' car_sales_data 1'!$G1981*0.2</f>
        <v>4352</v>
      </c>
      <c r="J1981" s="13" t="str">
        <f>TEXT(' car_sales_data 1'!$A1981,"mmmm")</f>
        <v>April</v>
      </c>
      <c r="K1981" s="13" t="str">
        <f>IF(' car_sales_data 1'!$G1981&gt;40000,"Premium",
 IF(' car_sales_data 1'!$G1981&gt;=20000,"Mid Range","Budget"))</f>
        <v>Mid Range</v>
      </c>
      <c r="L1981" s="13">
        <f>YEAR(TODAY())-' car_sales_data 1'!$F1981</f>
        <v>13</v>
      </c>
    </row>
    <row r="1982" ht="15.75" customHeight="1">
      <c r="A1982" s="16">
        <v>44912.0</v>
      </c>
      <c r="B1982" s="13" t="s">
        <v>3898</v>
      </c>
      <c r="C1982" s="13" t="s">
        <v>3899</v>
      </c>
      <c r="D1982" s="13" t="s">
        <v>8</v>
      </c>
      <c r="E1982" s="13" t="s">
        <v>54</v>
      </c>
      <c r="F1982" s="13">
        <v>2013.0</v>
      </c>
      <c r="G1982" s="13">
        <v>39441.0</v>
      </c>
      <c r="H1982" s="13">
        <v>2405.8</v>
      </c>
      <c r="I1982" s="13">
        <f>' car_sales_data 1'!$G1982*0.2</f>
        <v>7888.2</v>
      </c>
      <c r="J1982" s="13" t="str">
        <f>TEXT(' car_sales_data 1'!$A1982,"mmmm")</f>
        <v>December</v>
      </c>
      <c r="K1982" s="13" t="str">
        <f>IF(' car_sales_data 1'!$G1982&gt;40000,"Premium",
 IF(' car_sales_data 1'!$G1982&gt;=20000,"Mid Range","Budget"))</f>
        <v>Mid Range</v>
      </c>
      <c r="L1982" s="13">
        <f>YEAR(TODAY())-' car_sales_data 1'!$F1982</f>
        <v>12</v>
      </c>
    </row>
    <row r="1983" ht="15.75" customHeight="1">
      <c r="A1983" s="16">
        <v>44776.0</v>
      </c>
      <c r="B1983" s="13" t="s">
        <v>3900</v>
      </c>
      <c r="C1983" s="13" t="s">
        <v>3901</v>
      </c>
      <c r="D1983" s="13" t="s">
        <v>10</v>
      </c>
      <c r="E1983" s="13" t="s">
        <v>51</v>
      </c>
      <c r="F1983" s="13">
        <v>2014.0</v>
      </c>
      <c r="G1983" s="13">
        <v>11846.0</v>
      </c>
      <c r="H1983" s="13">
        <v>1182.92</v>
      </c>
      <c r="I1983" s="13">
        <f>' car_sales_data 1'!$G1983*0.2</f>
        <v>2369.2</v>
      </c>
      <c r="J1983" s="13" t="str">
        <f>TEXT(' car_sales_data 1'!$A1983,"mmmm")</f>
        <v>August</v>
      </c>
      <c r="K1983" s="13" t="str">
        <f>IF(' car_sales_data 1'!$G1983&gt;40000,"Premium",
 IF(' car_sales_data 1'!$G1983&gt;=20000,"Mid Range","Budget"))</f>
        <v>Budget</v>
      </c>
      <c r="L1983" s="13">
        <f>YEAR(TODAY())-' car_sales_data 1'!$F1983</f>
        <v>11</v>
      </c>
    </row>
    <row r="1984" ht="15.75" customHeight="1">
      <c r="A1984" s="16">
        <v>44903.0</v>
      </c>
      <c r="B1984" s="13" t="s">
        <v>3902</v>
      </c>
      <c r="C1984" s="13" t="s">
        <v>3903</v>
      </c>
      <c r="D1984" s="13" t="s">
        <v>14</v>
      </c>
      <c r="E1984" s="13" t="s">
        <v>62</v>
      </c>
      <c r="F1984" s="13">
        <v>2017.0</v>
      </c>
      <c r="G1984" s="13">
        <v>44882.0</v>
      </c>
      <c r="H1984" s="13">
        <v>6093.15</v>
      </c>
      <c r="I1984" s="13">
        <f>' car_sales_data 1'!$G1984*0.2</f>
        <v>8976.4</v>
      </c>
      <c r="J1984" s="13" t="str">
        <f>TEXT(' car_sales_data 1'!$A1984,"mmmm")</f>
        <v>December</v>
      </c>
      <c r="K1984" s="13" t="str">
        <f>IF(' car_sales_data 1'!$G1984&gt;40000,"Premium",
 IF(' car_sales_data 1'!$G1984&gt;=20000,"Mid Range","Budget"))</f>
        <v>Premium</v>
      </c>
      <c r="L1984" s="13">
        <f>YEAR(TODAY())-' car_sales_data 1'!$F1984</f>
        <v>8</v>
      </c>
    </row>
    <row r="1985" ht="15.75" customHeight="1">
      <c r="A1985" s="16">
        <v>44760.0</v>
      </c>
      <c r="B1985" s="13" t="s">
        <v>3904</v>
      </c>
      <c r="C1985" s="13" t="s">
        <v>3905</v>
      </c>
      <c r="D1985" s="13" t="s">
        <v>10</v>
      </c>
      <c r="E1985" s="13" t="s">
        <v>54</v>
      </c>
      <c r="F1985" s="13">
        <v>2018.0</v>
      </c>
      <c r="G1985" s="13">
        <v>20257.0</v>
      </c>
      <c r="H1985" s="13">
        <v>1039.6</v>
      </c>
      <c r="I1985" s="13">
        <f>' car_sales_data 1'!$G1985*0.2</f>
        <v>4051.4</v>
      </c>
      <c r="J1985" s="13" t="str">
        <f>TEXT(' car_sales_data 1'!$A1985,"mmmm")</f>
        <v>July</v>
      </c>
      <c r="K1985" s="13" t="str">
        <f>IF(' car_sales_data 1'!$G1985&gt;40000,"Premium",
 IF(' car_sales_data 1'!$G1985&gt;=20000,"Mid Range","Budget"))</f>
        <v>Mid Range</v>
      </c>
      <c r="L1985" s="13">
        <f>YEAR(TODAY())-' car_sales_data 1'!$F1985</f>
        <v>7</v>
      </c>
    </row>
    <row r="1986" ht="15.75" customHeight="1">
      <c r="A1986" s="16">
        <v>44834.0</v>
      </c>
      <c r="B1986" s="13" t="s">
        <v>3906</v>
      </c>
      <c r="C1986" s="13" t="s">
        <v>3907</v>
      </c>
      <c r="D1986" s="13" t="s">
        <v>6</v>
      </c>
      <c r="E1986" s="13" t="s">
        <v>57</v>
      </c>
      <c r="F1986" s="13">
        <v>2010.0</v>
      </c>
      <c r="G1986" s="13">
        <v>21905.0</v>
      </c>
      <c r="H1986" s="13">
        <v>1151.99</v>
      </c>
      <c r="I1986" s="13">
        <f>' car_sales_data 1'!$G1986*0.2</f>
        <v>4381</v>
      </c>
      <c r="J1986" s="13" t="str">
        <f>TEXT(' car_sales_data 1'!$A1986,"mmmm")</f>
        <v>September</v>
      </c>
      <c r="K1986" s="13" t="str">
        <f>IF(' car_sales_data 1'!$G1986&gt;40000,"Premium",
 IF(' car_sales_data 1'!$G1986&gt;=20000,"Mid Range","Budget"))</f>
        <v>Mid Range</v>
      </c>
      <c r="L1986" s="13">
        <f>YEAR(TODAY())-' car_sales_data 1'!$F1986</f>
        <v>15</v>
      </c>
    </row>
    <row r="1987" ht="15.75" customHeight="1">
      <c r="A1987" s="16">
        <v>44849.0</v>
      </c>
      <c r="B1987" s="13" t="s">
        <v>3908</v>
      </c>
      <c r="C1987" s="13" t="s">
        <v>3909</v>
      </c>
      <c r="D1987" s="13" t="s">
        <v>14</v>
      </c>
      <c r="E1987" s="13" t="s">
        <v>54</v>
      </c>
      <c r="F1987" s="13">
        <v>2020.0</v>
      </c>
      <c r="G1987" s="13">
        <v>29261.0</v>
      </c>
      <c r="H1987" s="13">
        <v>1510.27</v>
      </c>
      <c r="I1987" s="13">
        <f>' car_sales_data 1'!$G1987*0.2</f>
        <v>5852.2</v>
      </c>
      <c r="J1987" s="13" t="str">
        <f>TEXT(' car_sales_data 1'!$A1987,"mmmm")</f>
        <v>October</v>
      </c>
      <c r="K1987" s="13" t="str">
        <f>IF(' car_sales_data 1'!$G1987&gt;40000,"Premium",
 IF(' car_sales_data 1'!$G1987&gt;=20000,"Mid Range","Budget"))</f>
        <v>Mid Range</v>
      </c>
      <c r="L1987" s="13">
        <f>YEAR(TODAY())-' car_sales_data 1'!$F1987</f>
        <v>5</v>
      </c>
    </row>
    <row r="1988" ht="15.75" customHeight="1">
      <c r="A1988" s="16">
        <v>44708.0</v>
      </c>
      <c r="B1988" s="13" t="s">
        <v>3910</v>
      </c>
      <c r="C1988" s="13" t="s">
        <v>3911</v>
      </c>
      <c r="D1988" s="13" t="s">
        <v>10</v>
      </c>
      <c r="E1988" s="13" t="s">
        <v>70</v>
      </c>
      <c r="F1988" s="13">
        <v>2011.0</v>
      </c>
      <c r="G1988" s="13">
        <v>36692.0</v>
      </c>
      <c r="H1988" s="13">
        <v>3305.22</v>
      </c>
      <c r="I1988" s="13">
        <f>' car_sales_data 1'!$G1988*0.2</f>
        <v>7338.4</v>
      </c>
      <c r="J1988" s="13" t="str">
        <f>TEXT(' car_sales_data 1'!$A1988,"mmmm")</f>
        <v>May</v>
      </c>
      <c r="K1988" s="13" t="str">
        <f>IF(' car_sales_data 1'!$G1988&gt;40000,"Premium",
 IF(' car_sales_data 1'!$G1988&gt;=20000,"Mid Range","Budget"))</f>
        <v>Mid Range</v>
      </c>
      <c r="L1988" s="13">
        <f>YEAR(TODAY())-' car_sales_data 1'!$F1988</f>
        <v>14</v>
      </c>
    </row>
    <row r="1989" ht="15.75" customHeight="1">
      <c r="A1989" s="16">
        <v>44955.0</v>
      </c>
      <c r="B1989" s="13" t="s">
        <v>3912</v>
      </c>
      <c r="C1989" s="13" t="s">
        <v>3913</v>
      </c>
      <c r="D1989" s="13" t="s">
        <v>8</v>
      </c>
      <c r="E1989" s="13" t="s">
        <v>54</v>
      </c>
      <c r="F1989" s="13">
        <v>2014.0</v>
      </c>
      <c r="G1989" s="13">
        <v>19635.0</v>
      </c>
      <c r="H1989" s="13">
        <v>2422.06</v>
      </c>
      <c r="I1989" s="13">
        <f>' car_sales_data 1'!$G1989*0.2</f>
        <v>3927</v>
      </c>
      <c r="J1989" s="13" t="str">
        <f>TEXT(' car_sales_data 1'!$A1989,"mmmm")</f>
        <v>January</v>
      </c>
      <c r="K1989" s="13" t="str">
        <f>IF(' car_sales_data 1'!$G1989&gt;40000,"Premium",
 IF(' car_sales_data 1'!$G1989&gt;=20000,"Mid Range","Budget"))</f>
        <v>Budget</v>
      </c>
      <c r="L1989" s="13">
        <f>YEAR(TODAY())-' car_sales_data 1'!$F1989</f>
        <v>11</v>
      </c>
    </row>
    <row r="1990" ht="15.75" customHeight="1">
      <c r="A1990" s="16">
        <v>44971.0</v>
      </c>
      <c r="B1990" s="13" t="s">
        <v>3914</v>
      </c>
      <c r="C1990" s="13" t="s">
        <v>3915</v>
      </c>
      <c r="D1990" s="13" t="s">
        <v>6</v>
      </c>
      <c r="E1990" s="13" t="s">
        <v>54</v>
      </c>
      <c r="F1990" s="13">
        <v>2021.0</v>
      </c>
      <c r="G1990" s="13">
        <v>47559.0</v>
      </c>
      <c r="H1990" s="13">
        <v>6800.56</v>
      </c>
      <c r="I1990" s="13">
        <f>' car_sales_data 1'!$G1990*0.2</f>
        <v>9511.8</v>
      </c>
      <c r="J1990" s="13" t="str">
        <f>TEXT(' car_sales_data 1'!$A1990,"mmmm")</f>
        <v>February</v>
      </c>
      <c r="K1990" s="13" t="str">
        <f>IF(' car_sales_data 1'!$G1990&gt;40000,"Premium",
 IF(' car_sales_data 1'!$G1990&gt;=20000,"Mid Range","Budget"))</f>
        <v>Premium</v>
      </c>
      <c r="L1990" s="13">
        <f>YEAR(TODAY())-' car_sales_data 1'!$F1990</f>
        <v>4</v>
      </c>
    </row>
    <row r="1991" ht="15.75" customHeight="1">
      <c r="A1991" s="16">
        <v>44963.0</v>
      </c>
      <c r="B1991" s="13" t="s">
        <v>3916</v>
      </c>
      <c r="C1991" s="13" t="s">
        <v>3917</v>
      </c>
      <c r="D1991" s="13" t="s">
        <v>8</v>
      </c>
      <c r="E1991" s="13" t="s">
        <v>51</v>
      </c>
      <c r="F1991" s="13">
        <v>2018.0</v>
      </c>
      <c r="G1991" s="13">
        <v>28921.0</v>
      </c>
      <c r="H1991" s="13">
        <v>2510.83</v>
      </c>
      <c r="I1991" s="13">
        <f>' car_sales_data 1'!$G1991*0.2</f>
        <v>5784.2</v>
      </c>
      <c r="J1991" s="13" t="str">
        <f>TEXT(' car_sales_data 1'!$A1991,"mmmm")</f>
        <v>February</v>
      </c>
      <c r="K1991" s="13" t="str">
        <f>IF(' car_sales_data 1'!$G1991&gt;40000,"Premium",
 IF(' car_sales_data 1'!$G1991&gt;=20000,"Mid Range","Budget"))</f>
        <v>Mid Range</v>
      </c>
      <c r="L1991" s="13">
        <f>YEAR(TODAY())-' car_sales_data 1'!$F1991</f>
        <v>7</v>
      </c>
    </row>
    <row r="1992" ht="15.75" customHeight="1">
      <c r="A1992" s="16">
        <v>44728.0</v>
      </c>
      <c r="B1992" s="13" t="s">
        <v>3918</v>
      </c>
      <c r="C1992" s="13" t="s">
        <v>3919</v>
      </c>
      <c r="D1992" s="13" t="s">
        <v>14</v>
      </c>
      <c r="E1992" s="13" t="s">
        <v>62</v>
      </c>
      <c r="F1992" s="13">
        <v>2018.0</v>
      </c>
      <c r="G1992" s="13">
        <v>22973.0</v>
      </c>
      <c r="H1992" s="13">
        <v>1250.4</v>
      </c>
      <c r="I1992" s="13">
        <f>' car_sales_data 1'!$G1992*0.2</f>
        <v>4594.6</v>
      </c>
      <c r="J1992" s="13" t="str">
        <f>TEXT(' car_sales_data 1'!$A1992,"mmmm")</f>
        <v>June</v>
      </c>
      <c r="K1992" s="13" t="str">
        <f>IF(' car_sales_data 1'!$G1992&gt;40000,"Premium",
 IF(' car_sales_data 1'!$G1992&gt;=20000,"Mid Range","Budget"))</f>
        <v>Mid Range</v>
      </c>
      <c r="L1992" s="13">
        <f>YEAR(TODAY())-' car_sales_data 1'!$F1992</f>
        <v>7</v>
      </c>
    </row>
    <row r="1993" ht="15.75" customHeight="1">
      <c r="A1993" s="16">
        <v>44999.0</v>
      </c>
      <c r="B1993" s="13" t="s">
        <v>3920</v>
      </c>
      <c r="C1993" s="13" t="s">
        <v>3921</v>
      </c>
      <c r="D1993" s="13" t="s">
        <v>6</v>
      </c>
      <c r="E1993" s="13" t="s">
        <v>54</v>
      </c>
      <c r="F1993" s="13">
        <v>2016.0</v>
      </c>
      <c r="G1993" s="13">
        <v>36868.0</v>
      </c>
      <c r="H1993" s="13">
        <v>3237.44</v>
      </c>
      <c r="I1993" s="13">
        <f>' car_sales_data 1'!$G1993*0.2</f>
        <v>7373.6</v>
      </c>
      <c r="J1993" s="13" t="str">
        <f>TEXT(' car_sales_data 1'!$A1993,"mmmm")</f>
        <v>March</v>
      </c>
      <c r="K1993" s="13" t="str">
        <f>IF(' car_sales_data 1'!$G1993&gt;40000,"Premium",
 IF(' car_sales_data 1'!$G1993&gt;=20000,"Mid Range","Budget"))</f>
        <v>Mid Range</v>
      </c>
      <c r="L1993" s="13">
        <f>YEAR(TODAY())-' car_sales_data 1'!$F1993</f>
        <v>9</v>
      </c>
    </row>
    <row r="1994" ht="15.75" customHeight="1">
      <c r="A1994" s="16">
        <v>44786.0</v>
      </c>
      <c r="B1994" s="13" t="s">
        <v>3922</v>
      </c>
      <c r="C1994" s="13" t="s">
        <v>3923</v>
      </c>
      <c r="D1994" s="13" t="s">
        <v>14</v>
      </c>
      <c r="E1994" s="13" t="s">
        <v>54</v>
      </c>
      <c r="F1994" s="13">
        <v>2013.0</v>
      </c>
      <c r="G1994" s="13">
        <v>47586.0</v>
      </c>
      <c r="H1994" s="13">
        <v>3697.84</v>
      </c>
      <c r="I1994" s="13">
        <f>' car_sales_data 1'!$G1994*0.2</f>
        <v>9517.2</v>
      </c>
      <c r="J1994" s="13" t="str">
        <f>TEXT(' car_sales_data 1'!$A1994,"mmmm")</f>
        <v>August</v>
      </c>
      <c r="K1994" s="13" t="str">
        <f>IF(' car_sales_data 1'!$G1994&gt;40000,"Premium",
 IF(' car_sales_data 1'!$G1994&gt;=20000,"Mid Range","Budget"))</f>
        <v>Premium</v>
      </c>
      <c r="L1994" s="13">
        <f>YEAR(TODAY())-' car_sales_data 1'!$F1994</f>
        <v>12</v>
      </c>
    </row>
    <row r="1995" ht="15.75" customHeight="1">
      <c r="A1995" s="16">
        <v>45020.0</v>
      </c>
      <c r="B1995" s="13" t="s">
        <v>3924</v>
      </c>
      <c r="C1995" s="13" t="s">
        <v>3925</v>
      </c>
      <c r="D1995" s="13" t="s">
        <v>6</v>
      </c>
      <c r="E1995" s="13" t="s">
        <v>51</v>
      </c>
      <c r="F1995" s="13">
        <v>2013.0</v>
      </c>
      <c r="G1995" s="13">
        <v>42529.0</v>
      </c>
      <c r="H1995" s="13">
        <v>2819.34</v>
      </c>
      <c r="I1995" s="13">
        <f>' car_sales_data 1'!$G1995*0.2</f>
        <v>8505.8</v>
      </c>
      <c r="J1995" s="13" t="str">
        <f>TEXT(' car_sales_data 1'!$A1995,"mmmm")</f>
        <v>April</v>
      </c>
      <c r="K1995" s="13" t="str">
        <f>IF(' car_sales_data 1'!$G1995&gt;40000,"Premium",
 IF(' car_sales_data 1'!$G1995&gt;=20000,"Mid Range","Budget"))</f>
        <v>Premium</v>
      </c>
      <c r="L1995" s="13">
        <f>YEAR(TODAY())-' car_sales_data 1'!$F1995</f>
        <v>12</v>
      </c>
    </row>
    <row r="1996" ht="15.75" customHeight="1">
      <c r="A1996" s="16">
        <v>44967.0</v>
      </c>
      <c r="B1996" s="13" t="s">
        <v>3926</v>
      </c>
      <c r="C1996" s="13" t="s">
        <v>3927</v>
      </c>
      <c r="D1996" s="13" t="s">
        <v>12</v>
      </c>
      <c r="E1996" s="13" t="s">
        <v>70</v>
      </c>
      <c r="F1996" s="13">
        <v>2019.0</v>
      </c>
      <c r="G1996" s="13">
        <v>42544.0</v>
      </c>
      <c r="H1996" s="13">
        <v>4616.72</v>
      </c>
      <c r="I1996" s="13">
        <f>' car_sales_data 1'!$G1996*0.2</f>
        <v>8508.8</v>
      </c>
      <c r="J1996" s="13" t="str">
        <f>TEXT(' car_sales_data 1'!$A1996,"mmmm")</f>
        <v>February</v>
      </c>
      <c r="K1996" s="13" t="str">
        <f>IF(' car_sales_data 1'!$G1996&gt;40000,"Premium",
 IF(' car_sales_data 1'!$G1996&gt;=20000,"Mid Range","Budget"))</f>
        <v>Premium</v>
      </c>
      <c r="L1996" s="13">
        <f>YEAR(TODAY())-' car_sales_data 1'!$F1996</f>
        <v>6</v>
      </c>
    </row>
    <row r="1997" ht="15.75" customHeight="1">
      <c r="A1997" s="16">
        <v>44821.0</v>
      </c>
      <c r="B1997" s="13" t="s">
        <v>3928</v>
      </c>
      <c r="C1997" s="13" t="s">
        <v>3929</v>
      </c>
      <c r="D1997" s="13" t="s">
        <v>12</v>
      </c>
      <c r="E1997" s="13" t="s">
        <v>62</v>
      </c>
      <c r="F1997" s="13">
        <v>2020.0</v>
      </c>
      <c r="G1997" s="13">
        <v>34141.0</v>
      </c>
      <c r="H1997" s="13">
        <v>3943.39</v>
      </c>
      <c r="I1997" s="13">
        <f>' car_sales_data 1'!$G1997*0.2</f>
        <v>6828.2</v>
      </c>
      <c r="J1997" s="13" t="str">
        <f>TEXT(' car_sales_data 1'!$A1997,"mmmm")</f>
        <v>September</v>
      </c>
      <c r="K1997" s="13" t="str">
        <f>IF(' car_sales_data 1'!$G1997&gt;40000,"Premium",
 IF(' car_sales_data 1'!$G1997&gt;=20000,"Mid Range","Budget"))</f>
        <v>Mid Range</v>
      </c>
      <c r="L1997" s="13">
        <f>YEAR(TODAY())-' car_sales_data 1'!$F1997</f>
        <v>5</v>
      </c>
    </row>
    <row r="1998" ht="15.75" customHeight="1">
      <c r="A1998" s="16">
        <v>45006.0</v>
      </c>
      <c r="B1998" s="13" t="s">
        <v>3930</v>
      </c>
      <c r="C1998" s="13" t="s">
        <v>3931</v>
      </c>
      <c r="D1998" s="13" t="s">
        <v>10</v>
      </c>
      <c r="E1998" s="13" t="s">
        <v>54</v>
      </c>
      <c r="F1998" s="13">
        <v>2017.0</v>
      </c>
      <c r="G1998" s="13">
        <v>17755.0</v>
      </c>
      <c r="H1998" s="13">
        <v>1017.26</v>
      </c>
      <c r="I1998" s="13">
        <f>' car_sales_data 1'!$G1998*0.2</f>
        <v>3551</v>
      </c>
      <c r="J1998" s="13" t="str">
        <f>TEXT(' car_sales_data 1'!$A1998,"mmmm")</f>
        <v>March</v>
      </c>
      <c r="K1998" s="13" t="str">
        <f>IF(' car_sales_data 1'!$G1998&gt;40000,"Premium",
 IF(' car_sales_data 1'!$G1998&gt;=20000,"Mid Range","Budget"))</f>
        <v>Budget</v>
      </c>
      <c r="L1998" s="13">
        <f>YEAR(TODAY())-' car_sales_data 1'!$F1998</f>
        <v>8</v>
      </c>
    </row>
    <row r="1999" ht="15.75" customHeight="1">
      <c r="A1999" s="16">
        <v>45034.0</v>
      </c>
      <c r="B1999" s="13" t="s">
        <v>3932</v>
      </c>
      <c r="C1999" s="13" t="s">
        <v>3933</v>
      </c>
      <c r="D1999" s="13" t="s">
        <v>12</v>
      </c>
      <c r="E1999" s="13" t="s">
        <v>62</v>
      </c>
      <c r="F1999" s="13">
        <v>2018.0</v>
      </c>
      <c r="G1999" s="13">
        <v>41192.0</v>
      </c>
      <c r="H1999" s="13">
        <v>3162.38</v>
      </c>
      <c r="I1999" s="13">
        <f>' car_sales_data 1'!$G1999*0.2</f>
        <v>8238.4</v>
      </c>
      <c r="J1999" s="13" t="str">
        <f>TEXT(' car_sales_data 1'!$A1999,"mmmm")</f>
        <v>April</v>
      </c>
      <c r="K1999" s="13" t="str">
        <f>IF(' car_sales_data 1'!$G1999&gt;40000,"Premium",
 IF(' car_sales_data 1'!$G1999&gt;=20000,"Mid Range","Budget"))</f>
        <v>Premium</v>
      </c>
      <c r="L1999" s="13">
        <f>YEAR(TODAY())-' car_sales_data 1'!$F1999</f>
        <v>7</v>
      </c>
    </row>
    <row r="2000" ht="15.75" customHeight="1">
      <c r="A2000" s="16">
        <v>44843.0</v>
      </c>
      <c r="B2000" s="13" t="s">
        <v>3934</v>
      </c>
      <c r="C2000" s="13" t="s">
        <v>3935</v>
      </c>
      <c r="D2000" s="13" t="s">
        <v>6</v>
      </c>
      <c r="E2000" s="13" t="s">
        <v>62</v>
      </c>
      <c r="F2000" s="13">
        <v>2015.0</v>
      </c>
      <c r="G2000" s="13">
        <v>19644.0</v>
      </c>
      <c r="H2000" s="13">
        <v>1004.95</v>
      </c>
      <c r="I2000" s="13">
        <f>' car_sales_data 1'!$G2000*0.2</f>
        <v>3928.8</v>
      </c>
      <c r="J2000" s="13" t="str">
        <f>TEXT(' car_sales_data 1'!$A2000,"mmmm")</f>
        <v>October</v>
      </c>
      <c r="K2000" s="13" t="str">
        <f>IF(' car_sales_data 1'!$G2000&gt;40000,"Premium",
 IF(' car_sales_data 1'!$G2000&gt;=20000,"Mid Range","Budget"))</f>
        <v>Budget</v>
      </c>
      <c r="L2000" s="13">
        <f>YEAR(TODAY())-' car_sales_data 1'!$F2000</f>
        <v>10</v>
      </c>
    </row>
    <row r="2001" ht="15.75" customHeight="1">
      <c r="A2001" s="16">
        <v>44824.0</v>
      </c>
      <c r="B2001" s="13" t="s">
        <v>3936</v>
      </c>
      <c r="C2001" s="13" t="s">
        <v>3937</v>
      </c>
      <c r="D2001" s="13" t="s">
        <v>14</v>
      </c>
      <c r="E2001" s="13" t="s">
        <v>54</v>
      </c>
      <c r="F2001" s="13">
        <v>2020.0</v>
      </c>
      <c r="G2001" s="13">
        <v>34298.0</v>
      </c>
      <c r="H2001" s="13">
        <v>2240.9</v>
      </c>
      <c r="I2001" s="13">
        <f>' car_sales_data 1'!$G2001*0.2</f>
        <v>6859.6</v>
      </c>
      <c r="J2001" s="13" t="str">
        <f>TEXT(' car_sales_data 1'!$A2001,"mmmm")</f>
        <v>September</v>
      </c>
      <c r="K2001" s="13" t="str">
        <f>IF(' car_sales_data 1'!$G2001&gt;40000,"Premium",
 IF(' car_sales_data 1'!$G2001&gt;=20000,"Mid Range","Budget"))</f>
        <v>Mid Range</v>
      </c>
      <c r="L2001" s="13">
        <f>YEAR(TODAY())-' car_sales_data 1'!$F2001</f>
        <v>5</v>
      </c>
    </row>
    <row r="2002" ht="15.75" customHeight="1">
      <c r="A2002" s="16">
        <v>44806.0</v>
      </c>
      <c r="B2002" s="13" t="s">
        <v>3938</v>
      </c>
      <c r="C2002" s="13" t="s">
        <v>3939</v>
      </c>
      <c r="D2002" s="13" t="s">
        <v>10</v>
      </c>
      <c r="E2002" s="13" t="s">
        <v>54</v>
      </c>
      <c r="F2002" s="13">
        <v>2018.0</v>
      </c>
      <c r="G2002" s="13">
        <v>29766.0</v>
      </c>
      <c r="H2002" s="13">
        <v>3782.7</v>
      </c>
      <c r="I2002" s="13">
        <f>' car_sales_data 1'!$G2002*0.2</f>
        <v>5953.2</v>
      </c>
      <c r="J2002" s="13" t="str">
        <f>TEXT(' car_sales_data 1'!$A2002,"mmmm")</f>
        <v>September</v>
      </c>
      <c r="K2002" s="13" t="str">
        <f>IF(' car_sales_data 1'!$G2002&gt;40000,"Premium",
 IF(' car_sales_data 1'!$G2002&gt;=20000,"Mid Range","Budget"))</f>
        <v>Mid Range</v>
      </c>
      <c r="L2002" s="13">
        <f>YEAR(TODAY())-' car_sales_data 1'!$F2002</f>
        <v>7</v>
      </c>
    </row>
    <row r="2003" ht="15.75" customHeight="1">
      <c r="A2003" s="16">
        <v>44842.0</v>
      </c>
      <c r="B2003" s="13" t="s">
        <v>3940</v>
      </c>
      <c r="C2003" s="13" t="s">
        <v>3941</v>
      </c>
      <c r="D2003" s="13" t="s">
        <v>10</v>
      </c>
      <c r="E2003" s="13" t="s">
        <v>51</v>
      </c>
      <c r="F2003" s="13">
        <v>2020.0</v>
      </c>
      <c r="G2003" s="13">
        <v>31553.0</v>
      </c>
      <c r="H2003" s="13">
        <v>2717.93</v>
      </c>
      <c r="I2003" s="13">
        <f>' car_sales_data 1'!$G2003*0.2</f>
        <v>6310.6</v>
      </c>
      <c r="J2003" s="13" t="str">
        <f>TEXT(' car_sales_data 1'!$A2003,"mmmm")</f>
        <v>October</v>
      </c>
      <c r="K2003" s="13" t="str">
        <f>IF(' car_sales_data 1'!$G2003&gt;40000,"Premium",
 IF(' car_sales_data 1'!$G2003&gt;=20000,"Mid Range","Budget"))</f>
        <v>Mid Range</v>
      </c>
      <c r="L2003" s="13">
        <f>YEAR(TODAY())-' car_sales_data 1'!$F2003</f>
        <v>5</v>
      </c>
    </row>
    <row r="2004" ht="15.75" customHeight="1">
      <c r="A2004" s="16">
        <v>44784.0</v>
      </c>
      <c r="B2004" s="13" t="s">
        <v>3942</v>
      </c>
      <c r="C2004" s="13" t="s">
        <v>3943</v>
      </c>
      <c r="D2004" s="13" t="s">
        <v>12</v>
      </c>
      <c r="E2004" s="13" t="s">
        <v>57</v>
      </c>
      <c r="F2004" s="13">
        <v>2012.0</v>
      </c>
      <c r="G2004" s="13">
        <v>26349.0</v>
      </c>
      <c r="H2004" s="13">
        <v>2585.5</v>
      </c>
      <c r="I2004" s="13">
        <f>' car_sales_data 1'!$G2004*0.2</f>
        <v>5269.8</v>
      </c>
      <c r="J2004" s="13" t="str">
        <f>TEXT(' car_sales_data 1'!$A2004,"mmmm")</f>
        <v>August</v>
      </c>
      <c r="K2004" s="13" t="str">
        <f>IF(' car_sales_data 1'!$G2004&gt;40000,"Premium",
 IF(' car_sales_data 1'!$G2004&gt;=20000,"Mid Range","Budget"))</f>
        <v>Mid Range</v>
      </c>
      <c r="L2004" s="13">
        <f>YEAR(TODAY())-' car_sales_data 1'!$F2004</f>
        <v>13</v>
      </c>
    </row>
    <row r="2005" ht="15.75" customHeight="1">
      <c r="A2005" s="16">
        <v>44733.0</v>
      </c>
      <c r="B2005" s="13" t="s">
        <v>3944</v>
      </c>
      <c r="C2005" s="13" t="s">
        <v>3945</v>
      </c>
      <c r="D2005" s="13" t="s">
        <v>6</v>
      </c>
      <c r="E2005" s="13" t="s">
        <v>70</v>
      </c>
      <c r="F2005" s="13">
        <v>2016.0</v>
      </c>
      <c r="G2005" s="13">
        <v>13961.0</v>
      </c>
      <c r="H2005" s="13">
        <v>1146.75</v>
      </c>
      <c r="I2005" s="13">
        <f>' car_sales_data 1'!$G2005*0.2</f>
        <v>2792.2</v>
      </c>
      <c r="J2005" s="13" t="str">
        <f>TEXT(' car_sales_data 1'!$A2005,"mmmm")</f>
        <v>June</v>
      </c>
      <c r="K2005" s="13" t="str">
        <f>IF(' car_sales_data 1'!$G2005&gt;40000,"Premium",
 IF(' car_sales_data 1'!$G2005&gt;=20000,"Mid Range","Budget"))</f>
        <v>Budget</v>
      </c>
      <c r="L2005" s="13">
        <f>YEAR(TODAY())-' car_sales_data 1'!$F2005</f>
        <v>9</v>
      </c>
    </row>
    <row r="2006" ht="15.75" customHeight="1">
      <c r="A2006" s="16">
        <v>44983.0</v>
      </c>
      <c r="B2006" s="13" t="s">
        <v>3946</v>
      </c>
      <c r="C2006" s="13" t="s">
        <v>3947</v>
      </c>
      <c r="D2006" s="13" t="s">
        <v>8</v>
      </c>
      <c r="E2006" s="13" t="s">
        <v>57</v>
      </c>
      <c r="F2006" s="13">
        <v>2010.0</v>
      </c>
      <c r="G2006" s="13">
        <v>10531.0</v>
      </c>
      <c r="H2006" s="13">
        <v>917.21</v>
      </c>
      <c r="I2006" s="13">
        <f>' car_sales_data 1'!$G2006*0.2</f>
        <v>2106.2</v>
      </c>
      <c r="J2006" s="13" t="str">
        <f>TEXT(' car_sales_data 1'!$A2006,"mmmm")</f>
        <v>February</v>
      </c>
      <c r="K2006" s="13" t="str">
        <f>IF(' car_sales_data 1'!$G2006&gt;40000,"Premium",
 IF(' car_sales_data 1'!$G2006&gt;=20000,"Mid Range","Budget"))</f>
        <v>Budget</v>
      </c>
      <c r="L2006" s="13">
        <f>YEAR(TODAY())-' car_sales_data 1'!$F2006</f>
        <v>15</v>
      </c>
    </row>
    <row r="2007" ht="15.75" customHeight="1">
      <c r="A2007" s="16">
        <v>44901.0</v>
      </c>
      <c r="B2007" s="13" t="s">
        <v>3948</v>
      </c>
      <c r="C2007" s="13" t="s">
        <v>3949</v>
      </c>
      <c r="D2007" s="13" t="s">
        <v>8</v>
      </c>
      <c r="E2007" s="13" t="s">
        <v>57</v>
      </c>
      <c r="F2007" s="13">
        <v>2018.0</v>
      </c>
      <c r="G2007" s="13">
        <v>20134.0</v>
      </c>
      <c r="H2007" s="13">
        <v>2456.13</v>
      </c>
      <c r="I2007" s="13">
        <f>' car_sales_data 1'!$G2007*0.2</f>
        <v>4026.8</v>
      </c>
      <c r="J2007" s="13" t="str">
        <f>TEXT(' car_sales_data 1'!$A2007,"mmmm")</f>
        <v>December</v>
      </c>
      <c r="K2007" s="13" t="str">
        <f>IF(' car_sales_data 1'!$G2007&gt;40000,"Premium",
 IF(' car_sales_data 1'!$G2007&gt;=20000,"Mid Range","Budget"))</f>
        <v>Mid Range</v>
      </c>
      <c r="L2007" s="13">
        <f>YEAR(TODAY())-' car_sales_data 1'!$F2007</f>
        <v>7</v>
      </c>
    </row>
    <row r="2008" ht="15.75" customHeight="1">
      <c r="A2008" s="16">
        <v>44947.0</v>
      </c>
      <c r="B2008" s="13" t="s">
        <v>3950</v>
      </c>
      <c r="C2008" s="13" t="s">
        <v>3951</v>
      </c>
      <c r="D2008" s="13" t="s">
        <v>8</v>
      </c>
      <c r="E2008" s="13" t="s">
        <v>54</v>
      </c>
      <c r="F2008" s="13">
        <v>2017.0</v>
      </c>
      <c r="G2008" s="13">
        <v>37791.0</v>
      </c>
      <c r="H2008" s="13">
        <v>5236.2</v>
      </c>
      <c r="I2008" s="13">
        <f>' car_sales_data 1'!$G2008*0.2</f>
        <v>7558.2</v>
      </c>
      <c r="J2008" s="13" t="str">
        <f>TEXT(' car_sales_data 1'!$A2008,"mmmm")</f>
        <v>January</v>
      </c>
      <c r="K2008" s="13" t="str">
        <f>IF(' car_sales_data 1'!$G2008&gt;40000,"Premium",
 IF(' car_sales_data 1'!$G2008&gt;=20000,"Mid Range","Budget"))</f>
        <v>Mid Range</v>
      </c>
      <c r="L2008" s="13">
        <f>YEAR(TODAY())-' car_sales_data 1'!$F2008</f>
        <v>8</v>
      </c>
    </row>
    <row r="2009" ht="15.75" customHeight="1">
      <c r="A2009" s="16">
        <v>44806.0</v>
      </c>
      <c r="B2009" s="13" t="s">
        <v>3952</v>
      </c>
      <c r="C2009" s="13" t="s">
        <v>3953</v>
      </c>
      <c r="D2009" s="13" t="s">
        <v>10</v>
      </c>
      <c r="E2009" s="13" t="s">
        <v>70</v>
      </c>
      <c r="F2009" s="13">
        <v>2011.0</v>
      </c>
      <c r="G2009" s="13">
        <v>41467.0</v>
      </c>
      <c r="H2009" s="13">
        <v>4007.13</v>
      </c>
      <c r="I2009" s="13">
        <f>' car_sales_data 1'!$G2009*0.2</f>
        <v>8293.4</v>
      </c>
      <c r="J2009" s="13" t="str">
        <f>TEXT(' car_sales_data 1'!$A2009,"mmmm")</f>
        <v>September</v>
      </c>
      <c r="K2009" s="13" t="str">
        <f>IF(' car_sales_data 1'!$G2009&gt;40000,"Premium",
 IF(' car_sales_data 1'!$G2009&gt;=20000,"Mid Range","Budget"))</f>
        <v>Premium</v>
      </c>
      <c r="L2009" s="13">
        <f>YEAR(TODAY())-' car_sales_data 1'!$F2009</f>
        <v>14</v>
      </c>
    </row>
    <row r="2010" ht="15.75" customHeight="1">
      <c r="A2010" s="16">
        <v>44759.0</v>
      </c>
      <c r="B2010" s="13" t="s">
        <v>3954</v>
      </c>
      <c r="C2010" s="13" t="s">
        <v>3955</v>
      </c>
      <c r="D2010" s="13" t="s">
        <v>8</v>
      </c>
      <c r="E2010" s="13" t="s">
        <v>54</v>
      </c>
      <c r="F2010" s="13">
        <v>2011.0</v>
      </c>
      <c r="G2010" s="13">
        <v>42195.0</v>
      </c>
      <c r="H2010" s="13">
        <v>4152.36</v>
      </c>
      <c r="I2010" s="13">
        <f>' car_sales_data 1'!$G2010*0.2</f>
        <v>8439</v>
      </c>
      <c r="J2010" s="13" t="str">
        <f>TEXT(' car_sales_data 1'!$A2010,"mmmm")</f>
        <v>July</v>
      </c>
      <c r="K2010" s="13" t="str">
        <f>IF(' car_sales_data 1'!$G2010&gt;40000,"Premium",
 IF(' car_sales_data 1'!$G2010&gt;=20000,"Mid Range","Budget"))</f>
        <v>Premium</v>
      </c>
      <c r="L2010" s="13">
        <f>YEAR(TODAY())-' car_sales_data 1'!$F2010</f>
        <v>14</v>
      </c>
    </row>
    <row r="2011" ht="15.75" customHeight="1">
      <c r="A2011" s="16">
        <v>44775.0</v>
      </c>
      <c r="B2011" s="13" t="s">
        <v>3956</v>
      </c>
      <c r="C2011" s="13" t="s">
        <v>3957</v>
      </c>
      <c r="D2011" s="13" t="s">
        <v>14</v>
      </c>
      <c r="E2011" s="13" t="s">
        <v>70</v>
      </c>
      <c r="F2011" s="13">
        <v>2014.0</v>
      </c>
      <c r="G2011" s="13">
        <v>32727.0</v>
      </c>
      <c r="H2011" s="13">
        <v>1793.25</v>
      </c>
      <c r="I2011" s="13">
        <f>' car_sales_data 1'!$G2011*0.2</f>
        <v>6545.4</v>
      </c>
      <c r="J2011" s="13" t="str">
        <f>TEXT(' car_sales_data 1'!$A2011,"mmmm")</f>
        <v>August</v>
      </c>
      <c r="K2011" s="13" t="str">
        <f>IF(' car_sales_data 1'!$G2011&gt;40000,"Premium",
 IF(' car_sales_data 1'!$G2011&gt;=20000,"Mid Range","Budget"))</f>
        <v>Mid Range</v>
      </c>
      <c r="L2011" s="13">
        <f>YEAR(TODAY())-' car_sales_data 1'!$F2011</f>
        <v>11</v>
      </c>
    </row>
    <row r="2012" ht="15.75" customHeight="1">
      <c r="A2012" s="16">
        <v>44705.0</v>
      </c>
      <c r="B2012" s="13" t="s">
        <v>3958</v>
      </c>
      <c r="C2012" s="13" t="s">
        <v>3959</v>
      </c>
      <c r="D2012" s="13" t="s">
        <v>6</v>
      </c>
      <c r="E2012" s="13" t="s">
        <v>54</v>
      </c>
      <c r="F2012" s="13">
        <v>2011.0</v>
      </c>
      <c r="G2012" s="13">
        <v>40544.0</v>
      </c>
      <c r="H2012" s="13">
        <v>3625.8</v>
      </c>
      <c r="I2012" s="13">
        <f>' car_sales_data 1'!$G2012*0.2</f>
        <v>8108.8</v>
      </c>
      <c r="J2012" s="13" t="str">
        <f>TEXT(' car_sales_data 1'!$A2012,"mmmm")</f>
        <v>May</v>
      </c>
      <c r="K2012" s="13" t="str">
        <f>IF(' car_sales_data 1'!$G2012&gt;40000,"Premium",
 IF(' car_sales_data 1'!$G2012&gt;=20000,"Mid Range","Budget"))</f>
        <v>Premium</v>
      </c>
      <c r="L2012" s="13">
        <f>YEAR(TODAY())-' car_sales_data 1'!$F2012</f>
        <v>14</v>
      </c>
    </row>
    <row r="2013" ht="15.75" customHeight="1">
      <c r="A2013" s="16">
        <v>44802.0</v>
      </c>
      <c r="B2013" s="13" t="s">
        <v>3960</v>
      </c>
      <c r="C2013" s="13" t="s">
        <v>3961</v>
      </c>
      <c r="D2013" s="13" t="s">
        <v>10</v>
      </c>
      <c r="E2013" s="13" t="s">
        <v>57</v>
      </c>
      <c r="F2013" s="13">
        <v>2012.0</v>
      </c>
      <c r="G2013" s="13">
        <v>18244.0</v>
      </c>
      <c r="H2013" s="13">
        <v>2280.8</v>
      </c>
      <c r="I2013" s="13">
        <f>' car_sales_data 1'!$G2013*0.2</f>
        <v>3648.8</v>
      </c>
      <c r="J2013" s="13" t="str">
        <f>TEXT(' car_sales_data 1'!$A2013,"mmmm")</f>
        <v>August</v>
      </c>
      <c r="K2013" s="13" t="str">
        <f>IF(' car_sales_data 1'!$G2013&gt;40000,"Premium",
 IF(' car_sales_data 1'!$G2013&gt;=20000,"Mid Range","Budget"))</f>
        <v>Budget</v>
      </c>
      <c r="L2013" s="13">
        <f>YEAR(TODAY())-' car_sales_data 1'!$F2013</f>
        <v>13</v>
      </c>
    </row>
    <row r="2014" ht="15.75" customHeight="1">
      <c r="A2014" s="16">
        <v>44717.0</v>
      </c>
      <c r="B2014" s="13" t="s">
        <v>3962</v>
      </c>
      <c r="C2014" s="13" t="s">
        <v>3963</v>
      </c>
      <c r="D2014" s="13" t="s">
        <v>12</v>
      </c>
      <c r="E2014" s="13" t="s">
        <v>70</v>
      </c>
      <c r="F2014" s="13">
        <v>2011.0</v>
      </c>
      <c r="G2014" s="13">
        <v>30510.0</v>
      </c>
      <c r="H2014" s="13">
        <v>2120.61</v>
      </c>
      <c r="I2014" s="13">
        <f>' car_sales_data 1'!$G2014*0.2</f>
        <v>6102</v>
      </c>
      <c r="J2014" s="13" t="str">
        <f>TEXT(' car_sales_data 1'!$A2014,"mmmm")</f>
        <v>June</v>
      </c>
      <c r="K2014" s="13" t="str">
        <f>IF(' car_sales_data 1'!$G2014&gt;40000,"Premium",
 IF(' car_sales_data 1'!$G2014&gt;=20000,"Mid Range","Budget"))</f>
        <v>Mid Range</v>
      </c>
      <c r="L2014" s="13">
        <f>YEAR(TODAY())-' car_sales_data 1'!$F2014</f>
        <v>14</v>
      </c>
    </row>
    <row r="2015" ht="15.75" customHeight="1">
      <c r="A2015" s="16">
        <v>44916.0</v>
      </c>
      <c r="B2015" s="13" t="s">
        <v>3964</v>
      </c>
      <c r="C2015" s="13" t="s">
        <v>3965</v>
      </c>
      <c r="D2015" s="13" t="s">
        <v>8</v>
      </c>
      <c r="E2015" s="13" t="s">
        <v>57</v>
      </c>
      <c r="F2015" s="13">
        <v>2022.0</v>
      </c>
      <c r="G2015" s="13">
        <v>32387.0</v>
      </c>
      <c r="H2015" s="13">
        <v>1808.22</v>
      </c>
      <c r="I2015" s="13">
        <f>' car_sales_data 1'!$G2015*0.2</f>
        <v>6477.4</v>
      </c>
      <c r="J2015" s="13" t="str">
        <f>TEXT(' car_sales_data 1'!$A2015,"mmmm")</f>
        <v>December</v>
      </c>
      <c r="K2015" s="13" t="str">
        <f>IF(' car_sales_data 1'!$G2015&gt;40000,"Premium",
 IF(' car_sales_data 1'!$G2015&gt;=20000,"Mid Range","Budget"))</f>
        <v>Mid Range</v>
      </c>
      <c r="L2015" s="13">
        <f>YEAR(TODAY())-' car_sales_data 1'!$F2015</f>
        <v>3</v>
      </c>
    </row>
    <row r="2016" ht="15.75" customHeight="1">
      <c r="A2016" s="16">
        <v>44703.0</v>
      </c>
      <c r="B2016" s="13" t="s">
        <v>3966</v>
      </c>
      <c r="C2016" s="13" t="s">
        <v>3967</v>
      </c>
      <c r="D2016" s="13" t="s">
        <v>8</v>
      </c>
      <c r="E2016" s="13" t="s">
        <v>51</v>
      </c>
      <c r="F2016" s="13">
        <v>2011.0</v>
      </c>
      <c r="G2016" s="13">
        <v>26993.0</v>
      </c>
      <c r="H2016" s="13">
        <v>3608.13</v>
      </c>
      <c r="I2016" s="13">
        <f>' car_sales_data 1'!$G2016*0.2</f>
        <v>5398.6</v>
      </c>
      <c r="J2016" s="13" t="str">
        <f>TEXT(' car_sales_data 1'!$A2016,"mmmm")</f>
        <v>May</v>
      </c>
      <c r="K2016" s="13" t="str">
        <f>IF(' car_sales_data 1'!$G2016&gt;40000,"Premium",
 IF(' car_sales_data 1'!$G2016&gt;=20000,"Mid Range","Budget"))</f>
        <v>Mid Range</v>
      </c>
      <c r="L2016" s="13">
        <f>YEAR(TODAY())-' car_sales_data 1'!$F2016</f>
        <v>14</v>
      </c>
    </row>
    <row r="2017" ht="15.75" customHeight="1">
      <c r="A2017" s="16">
        <v>44933.0</v>
      </c>
      <c r="B2017" s="13" t="s">
        <v>3968</v>
      </c>
      <c r="C2017" s="13" t="s">
        <v>3969</v>
      </c>
      <c r="D2017" s="13" t="s">
        <v>12</v>
      </c>
      <c r="E2017" s="13" t="s">
        <v>70</v>
      </c>
      <c r="F2017" s="13">
        <v>2013.0</v>
      </c>
      <c r="G2017" s="13">
        <v>15434.0</v>
      </c>
      <c r="H2017" s="13">
        <v>1654.37</v>
      </c>
      <c r="I2017" s="13">
        <f>' car_sales_data 1'!$G2017*0.2</f>
        <v>3086.8</v>
      </c>
      <c r="J2017" s="13" t="str">
        <f>TEXT(' car_sales_data 1'!$A2017,"mmmm")</f>
        <v>January</v>
      </c>
      <c r="K2017" s="13" t="str">
        <f>IF(' car_sales_data 1'!$G2017&gt;40000,"Premium",
 IF(' car_sales_data 1'!$G2017&gt;=20000,"Mid Range","Budget"))</f>
        <v>Budget</v>
      </c>
      <c r="L2017" s="13">
        <f>YEAR(TODAY())-' car_sales_data 1'!$F2017</f>
        <v>12</v>
      </c>
    </row>
    <row r="2018" ht="15.75" customHeight="1">
      <c r="A2018" s="16">
        <v>44712.0</v>
      </c>
      <c r="B2018" s="13" t="s">
        <v>3970</v>
      </c>
      <c r="C2018" s="13" t="s">
        <v>3971</v>
      </c>
      <c r="D2018" s="13" t="s">
        <v>10</v>
      </c>
      <c r="E2018" s="13" t="s">
        <v>70</v>
      </c>
      <c r="F2018" s="13">
        <v>2021.0</v>
      </c>
      <c r="G2018" s="13">
        <v>30808.0</v>
      </c>
      <c r="H2018" s="13">
        <v>3267.94</v>
      </c>
      <c r="I2018" s="13">
        <f>' car_sales_data 1'!$G2018*0.2</f>
        <v>6161.6</v>
      </c>
      <c r="J2018" s="13" t="str">
        <f>TEXT(' car_sales_data 1'!$A2018,"mmmm")</f>
        <v>May</v>
      </c>
      <c r="K2018" s="13" t="str">
        <f>IF(' car_sales_data 1'!$G2018&gt;40000,"Premium",
 IF(' car_sales_data 1'!$G2018&gt;=20000,"Mid Range","Budget"))</f>
        <v>Mid Range</v>
      </c>
      <c r="L2018" s="13">
        <f>YEAR(TODAY())-' car_sales_data 1'!$F2018</f>
        <v>4</v>
      </c>
    </row>
    <row r="2019" ht="15.75" customHeight="1">
      <c r="A2019" s="16">
        <v>44783.0</v>
      </c>
      <c r="B2019" s="13" t="s">
        <v>3972</v>
      </c>
      <c r="C2019" s="13" t="s">
        <v>3973</v>
      </c>
      <c r="D2019" s="13" t="s">
        <v>6</v>
      </c>
      <c r="E2019" s="13" t="s">
        <v>54</v>
      </c>
      <c r="F2019" s="13">
        <v>2022.0</v>
      </c>
      <c r="G2019" s="13">
        <v>27970.0</v>
      </c>
      <c r="H2019" s="13">
        <v>3405.63</v>
      </c>
      <c r="I2019" s="13">
        <f>' car_sales_data 1'!$G2019*0.2</f>
        <v>5594</v>
      </c>
      <c r="J2019" s="13" t="str">
        <f>TEXT(' car_sales_data 1'!$A2019,"mmmm")</f>
        <v>August</v>
      </c>
      <c r="K2019" s="13" t="str">
        <f>IF(' car_sales_data 1'!$G2019&gt;40000,"Premium",
 IF(' car_sales_data 1'!$G2019&gt;=20000,"Mid Range","Budget"))</f>
        <v>Mid Range</v>
      </c>
      <c r="L2019" s="13">
        <f>YEAR(TODAY())-' car_sales_data 1'!$F2019</f>
        <v>3</v>
      </c>
    </row>
    <row r="2020" ht="15.75" customHeight="1">
      <c r="A2020" s="16">
        <v>44770.0</v>
      </c>
      <c r="B2020" s="13" t="s">
        <v>3974</v>
      </c>
      <c r="C2020" s="13" t="s">
        <v>3975</v>
      </c>
      <c r="D2020" s="13" t="s">
        <v>10</v>
      </c>
      <c r="E2020" s="13" t="s">
        <v>54</v>
      </c>
      <c r="F2020" s="13">
        <v>2015.0</v>
      </c>
      <c r="G2020" s="13">
        <v>16837.0</v>
      </c>
      <c r="H2020" s="13">
        <v>2382.84</v>
      </c>
      <c r="I2020" s="13">
        <f>' car_sales_data 1'!$G2020*0.2</f>
        <v>3367.4</v>
      </c>
      <c r="J2020" s="13" t="str">
        <f>TEXT(' car_sales_data 1'!$A2020,"mmmm")</f>
        <v>July</v>
      </c>
      <c r="K2020" s="13" t="str">
        <f>IF(' car_sales_data 1'!$G2020&gt;40000,"Premium",
 IF(' car_sales_data 1'!$G2020&gt;=20000,"Mid Range","Budget"))</f>
        <v>Budget</v>
      </c>
      <c r="L2020" s="13">
        <f>YEAR(TODAY())-' car_sales_data 1'!$F2020</f>
        <v>10</v>
      </c>
    </row>
    <row r="2021" ht="15.75" customHeight="1">
      <c r="A2021" s="16">
        <v>44812.0</v>
      </c>
      <c r="B2021" s="13" t="s">
        <v>954</v>
      </c>
      <c r="C2021" s="13" t="s">
        <v>3976</v>
      </c>
      <c r="D2021" s="13" t="s">
        <v>6</v>
      </c>
      <c r="E2021" s="13" t="s">
        <v>54</v>
      </c>
      <c r="F2021" s="13">
        <v>2021.0</v>
      </c>
      <c r="G2021" s="13">
        <v>44634.0</v>
      </c>
      <c r="H2021" s="13">
        <v>4114.59</v>
      </c>
      <c r="I2021" s="13">
        <f>' car_sales_data 1'!$G2021*0.2</f>
        <v>8926.8</v>
      </c>
      <c r="J2021" s="13" t="str">
        <f>TEXT(' car_sales_data 1'!$A2021,"mmmm")</f>
        <v>September</v>
      </c>
      <c r="K2021" s="13" t="str">
        <f>IF(' car_sales_data 1'!$G2021&gt;40000,"Premium",
 IF(' car_sales_data 1'!$G2021&gt;=20000,"Mid Range","Budget"))</f>
        <v>Premium</v>
      </c>
      <c r="L2021" s="13">
        <f>YEAR(TODAY())-' car_sales_data 1'!$F2021</f>
        <v>4</v>
      </c>
    </row>
    <row r="2022" ht="15.75" customHeight="1">
      <c r="A2022" s="16">
        <v>45020.0</v>
      </c>
      <c r="B2022" s="13" t="s">
        <v>3977</v>
      </c>
      <c r="C2022" s="13" t="s">
        <v>3978</v>
      </c>
      <c r="D2022" s="13" t="s">
        <v>12</v>
      </c>
      <c r="E2022" s="13" t="s">
        <v>57</v>
      </c>
      <c r="F2022" s="13">
        <v>2016.0</v>
      </c>
      <c r="G2022" s="13">
        <v>34051.0</v>
      </c>
      <c r="H2022" s="13">
        <v>4149.89</v>
      </c>
      <c r="I2022" s="13">
        <f>' car_sales_data 1'!$G2022*0.2</f>
        <v>6810.2</v>
      </c>
      <c r="J2022" s="13" t="str">
        <f>TEXT(' car_sales_data 1'!$A2022,"mmmm")</f>
        <v>April</v>
      </c>
      <c r="K2022" s="13" t="str">
        <f>IF(' car_sales_data 1'!$G2022&gt;40000,"Premium",
 IF(' car_sales_data 1'!$G2022&gt;=20000,"Mid Range","Budget"))</f>
        <v>Mid Range</v>
      </c>
      <c r="L2022" s="13">
        <f>YEAR(TODAY())-' car_sales_data 1'!$F2022</f>
        <v>9</v>
      </c>
    </row>
    <row r="2023" ht="15.75" customHeight="1">
      <c r="A2023" s="16">
        <v>44757.0</v>
      </c>
      <c r="B2023" s="13" t="s">
        <v>3979</v>
      </c>
      <c r="C2023" s="13" t="s">
        <v>3980</v>
      </c>
      <c r="D2023" s="13" t="s">
        <v>12</v>
      </c>
      <c r="E2023" s="13" t="s">
        <v>54</v>
      </c>
      <c r="F2023" s="13">
        <v>2020.0</v>
      </c>
      <c r="G2023" s="13">
        <v>49409.0</v>
      </c>
      <c r="H2023" s="13">
        <v>3782.95</v>
      </c>
      <c r="I2023" s="13">
        <f>' car_sales_data 1'!$G2023*0.2</f>
        <v>9881.8</v>
      </c>
      <c r="J2023" s="13" t="str">
        <f>TEXT(' car_sales_data 1'!$A2023,"mmmm")</f>
        <v>July</v>
      </c>
      <c r="K2023" s="13" t="str">
        <f>IF(' car_sales_data 1'!$G2023&gt;40000,"Premium",
 IF(' car_sales_data 1'!$G2023&gt;=20000,"Mid Range","Budget"))</f>
        <v>Premium</v>
      </c>
      <c r="L2023" s="13">
        <f>YEAR(TODAY())-' car_sales_data 1'!$F2023</f>
        <v>5</v>
      </c>
    </row>
    <row r="2024" ht="15.75" customHeight="1">
      <c r="A2024" s="16">
        <v>44746.0</v>
      </c>
      <c r="B2024" s="13" t="s">
        <v>3981</v>
      </c>
      <c r="C2024" s="13" t="s">
        <v>3982</v>
      </c>
      <c r="D2024" s="13" t="s">
        <v>12</v>
      </c>
      <c r="E2024" s="13" t="s">
        <v>54</v>
      </c>
      <c r="F2024" s="13">
        <v>2017.0</v>
      </c>
      <c r="G2024" s="13">
        <v>36273.0</v>
      </c>
      <c r="H2024" s="13">
        <v>4735.28</v>
      </c>
      <c r="I2024" s="13">
        <f>' car_sales_data 1'!$G2024*0.2</f>
        <v>7254.6</v>
      </c>
      <c r="J2024" s="13" t="str">
        <f>TEXT(' car_sales_data 1'!$A2024,"mmmm")</f>
        <v>July</v>
      </c>
      <c r="K2024" s="13" t="str">
        <f>IF(' car_sales_data 1'!$G2024&gt;40000,"Premium",
 IF(' car_sales_data 1'!$G2024&gt;=20000,"Mid Range","Budget"))</f>
        <v>Mid Range</v>
      </c>
      <c r="L2024" s="13">
        <f>YEAR(TODAY())-' car_sales_data 1'!$F2024</f>
        <v>8</v>
      </c>
    </row>
    <row r="2025" ht="15.75" customHeight="1">
      <c r="A2025" s="16">
        <v>44924.0</v>
      </c>
      <c r="B2025" s="13" t="s">
        <v>3983</v>
      </c>
      <c r="C2025" s="13" t="s">
        <v>601</v>
      </c>
      <c r="D2025" s="13" t="s">
        <v>12</v>
      </c>
      <c r="E2025" s="13" t="s">
        <v>54</v>
      </c>
      <c r="F2025" s="13">
        <v>2022.0</v>
      </c>
      <c r="G2025" s="13">
        <v>41175.0</v>
      </c>
      <c r="H2025" s="13">
        <v>4901.32</v>
      </c>
      <c r="I2025" s="13">
        <f>' car_sales_data 1'!$G2025*0.2</f>
        <v>8235</v>
      </c>
      <c r="J2025" s="13" t="str">
        <f>TEXT(' car_sales_data 1'!$A2025,"mmmm")</f>
        <v>December</v>
      </c>
      <c r="K2025" s="13" t="str">
        <f>IF(' car_sales_data 1'!$G2025&gt;40000,"Premium",
 IF(' car_sales_data 1'!$G2025&gt;=20000,"Mid Range","Budget"))</f>
        <v>Premium</v>
      </c>
      <c r="L2025" s="13">
        <f>YEAR(TODAY())-' car_sales_data 1'!$F2025</f>
        <v>3</v>
      </c>
    </row>
    <row r="2026" ht="15.75" customHeight="1">
      <c r="A2026" s="16">
        <v>44953.0</v>
      </c>
      <c r="B2026" s="13" t="s">
        <v>3984</v>
      </c>
      <c r="C2026" s="13" t="s">
        <v>3985</v>
      </c>
      <c r="D2026" s="13" t="s">
        <v>12</v>
      </c>
      <c r="E2026" s="13" t="s">
        <v>51</v>
      </c>
      <c r="F2026" s="13">
        <v>2018.0</v>
      </c>
      <c r="G2026" s="13">
        <v>14419.0</v>
      </c>
      <c r="H2026" s="13">
        <v>1037.9</v>
      </c>
      <c r="I2026" s="13">
        <f>' car_sales_data 1'!$G2026*0.2</f>
        <v>2883.8</v>
      </c>
      <c r="J2026" s="13" t="str">
        <f>TEXT(' car_sales_data 1'!$A2026,"mmmm")</f>
        <v>January</v>
      </c>
      <c r="K2026" s="13" t="str">
        <f>IF(' car_sales_data 1'!$G2026&gt;40000,"Premium",
 IF(' car_sales_data 1'!$G2026&gt;=20000,"Mid Range","Budget"))</f>
        <v>Budget</v>
      </c>
      <c r="L2026" s="13">
        <f>YEAR(TODAY())-' car_sales_data 1'!$F2026</f>
        <v>7</v>
      </c>
    </row>
    <row r="2027" ht="15.75" customHeight="1">
      <c r="A2027" s="16">
        <v>44691.0</v>
      </c>
      <c r="B2027" s="13" t="s">
        <v>3986</v>
      </c>
      <c r="C2027" s="13" t="s">
        <v>3987</v>
      </c>
      <c r="D2027" s="13" t="s">
        <v>10</v>
      </c>
      <c r="E2027" s="13" t="s">
        <v>62</v>
      </c>
      <c r="F2027" s="13">
        <v>2016.0</v>
      </c>
      <c r="G2027" s="13">
        <v>18581.0</v>
      </c>
      <c r="H2027" s="13">
        <v>1423.76</v>
      </c>
      <c r="I2027" s="13">
        <f>' car_sales_data 1'!$G2027*0.2</f>
        <v>3716.2</v>
      </c>
      <c r="J2027" s="13" t="str">
        <f>TEXT(' car_sales_data 1'!$A2027,"mmmm")</f>
        <v>May</v>
      </c>
      <c r="K2027" s="13" t="str">
        <f>IF(' car_sales_data 1'!$G2027&gt;40000,"Premium",
 IF(' car_sales_data 1'!$G2027&gt;=20000,"Mid Range","Budget"))</f>
        <v>Budget</v>
      </c>
      <c r="L2027" s="13">
        <f>YEAR(TODAY())-' car_sales_data 1'!$F2027</f>
        <v>9</v>
      </c>
    </row>
    <row r="2028" ht="15.75" customHeight="1">
      <c r="A2028" s="16">
        <v>44874.0</v>
      </c>
      <c r="B2028" s="13" t="s">
        <v>3988</v>
      </c>
      <c r="C2028" s="13" t="s">
        <v>3989</v>
      </c>
      <c r="D2028" s="13" t="s">
        <v>14</v>
      </c>
      <c r="E2028" s="13" t="s">
        <v>54</v>
      </c>
      <c r="F2028" s="13">
        <v>2020.0</v>
      </c>
      <c r="G2028" s="13">
        <v>40219.0</v>
      </c>
      <c r="H2028" s="13">
        <v>3436.17</v>
      </c>
      <c r="I2028" s="13">
        <f>' car_sales_data 1'!$G2028*0.2</f>
        <v>8043.8</v>
      </c>
      <c r="J2028" s="13" t="str">
        <f>TEXT(' car_sales_data 1'!$A2028,"mmmm")</f>
        <v>November</v>
      </c>
      <c r="K2028" s="13" t="str">
        <f>IF(' car_sales_data 1'!$G2028&gt;40000,"Premium",
 IF(' car_sales_data 1'!$G2028&gt;=20000,"Mid Range","Budget"))</f>
        <v>Premium</v>
      </c>
      <c r="L2028" s="13">
        <f>YEAR(TODAY())-' car_sales_data 1'!$F2028</f>
        <v>5</v>
      </c>
    </row>
    <row r="2029" ht="15.75" customHeight="1">
      <c r="A2029" s="16">
        <v>44976.0</v>
      </c>
      <c r="B2029" s="13" t="s">
        <v>3990</v>
      </c>
      <c r="C2029" s="13" t="s">
        <v>3991</v>
      </c>
      <c r="D2029" s="13" t="s">
        <v>14</v>
      </c>
      <c r="E2029" s="13" t="s">
        <v>57</v>
      </c>
      <c r="F2029" s="13">
        <v>2022.0</v>
      </c>
      <c r="G2029" s="13">
        <v>12126.0</v>
      </c>
      <c r="H2029" s="13">
        <v>681.9</v>
      </c>
      <c r="I2029" s="13">
        <f>' car_sales_data 1'!$G2029*0.2</f>
        <v>2425.2</v>
      </c>
      <c r="J2029" s="13" t="str">
        <f>TEXT(' car_sales_data 1'!$A2029,"mmmm")</f>
        <v>February</v>
      </c>
      <c r="K2029" s="13" t="str">
        <f>IF(' car_sales_data 1'!$G2029&gt;40000,"Premium",
 IF(' car_sales_data 1'!$G2029&gt;=20000,"Mid Range","Budget"))</f>
        <v>Budget</v>
      </c>
      <c r="L2029" s="13">
        <f>YEAR(TODAY())-' car_sales_data 1'!$F2029</f>
        <v>3</v>
      </c>
    </row>
    <row r="2030" ht="15.75" customHeight="1">
      <c r="A2030" s="16">
        <v>44766.0</v>
      </c>
      <c r="B2030" s="13" t="s">
        <v>3992</v>
      </c>
      <c r="C2030" s="13" t="s">
        <v>3993</v>
      </c>
      <c r="D2030" s="13" t="s">
        <v>12</v>
      </c>
      <c r="E2030" s="13" t="s">
        <v>62</v>
      </c>
      <c r="F2030" s="13">
        <v>2019.0</v>
      </c>
      <c r="G2030" s="13">
        <v>46334.0</v>
      </c>
      <c r="H2030" s="13">
        <v>3987.07</v>
      </c>
      <c r="I2030" s="13">
        <f>' car_sales_data 1'!$G2030*0.2</f>
        <v>9266.8</v>
      </c>
      <c r="J2030" s="13" t="str">
        <f>TEXT(' car_sales_data 1'!$A2030,"mmmm")</f>
        <v>July</v>
      </c>
      <c r="K2030" s="13" t="str">
        <f>IF(' car_sales_data 1'!$G2030&gt;40000,"Premium",
 IF(' car_sales_data 1'!$G2030&gt;=20000,"Mid Range","Budget"))</f>
        <v>Premium</v>
      </c>
      <c r="L2030" s="13">
        <f>YEAR(TODAY())-' car_sales_data 1'!$F2030</f>
        <v>6</v>
      </c>
    </row>
    <row r="2031" ht="15.75" customHeight="1">
      <c r="A2031" s="16">
        <v>44955.0</v>
      </c>
      <c r="B2031" s="13" t="s">
        <v>3994</v>
      </c>
      <c r="C2031" s="13" t="s">
        <v>3995</v>
      </c>
      <c r="D2031" s="13" t="s">
        <v>14</v>
      </c>
      <c r="E2031" s="13" t="s">
        <v>51</v>
      </c>
      <c r="F2031" s="13">
        <v>2012.0</v>
      </c>
      <c r="G2031" s="13">
        <v>48245.0</v>
      </c>
      <c r="H2031" s="13">
        <v>5719.54</v>
      </c>
      <c r="I2031" s="13">
        <f>' car_sales_data 1'!$G2031*0.2</f>
        <v>9649</v>
      </c>
      <c r="J2031" s="13" t="str">
        <f>TEXT(' car_sales_data 1'!$A2031,"mmmm")</f>
        <v>January</v>
      </c>
      <c r="K2031" s="13" t="str">
        <f>IF(' car_sales_data 1'!$G2031&gt;40000,"Premium",
 IF(' car_sales_data 1'!$G2031&gt;=20000,"Mid Range","Budget"))</f>
        <v>Premium</v>
      </c>
      <c r="L2031" s="13">
        <f>YEAR(TODAY())-' car_sales_data 1'!$F2031</f>
        <v>13</v>
      </c>
    </row>
    <row r="2032" ht="15.75" customHeight="1">
      <c r="A2032" s="16">
        <v>44928.0</v>
      </c>
      <c r="B2032" s="13" t="s">
        <v>3996</v>
      </c>
      <c r="C2032" s="13" t="s">
        <v>3997</v>
      </c>
      <c r="D2032" s="13" t="s">
        <v>8</v>
      </c>
      <c r="E2032" s="13" t="s">
        <v>62</v>
      </c>
      <c r="F2032" s="13">
        <v>2021.0</v>
      </c>
      <c r="G2032" s="13">
        <v>25246.0</v>
      </c>
      <c r="H2032" s="13">
        <v>1728.66</v>
      </c>
      <c r="I2032" s="13">
        <f>' car_sales_data 1'!$G2032*0.2</f>
        <v>5049.2</v>
      </c>
      <c r="J2032" s="13" t="str">
        <f>TEXT(' car_sales_data 1'!$A2032,"mmmm")</f>
        <v>January</v>
      </c>
      <c r="K2032" s="13" t="str">
        <f>IF(' car_sales_data 1'!$G2032&gt;40000,"Premium",
 IF(' car_sales_data 1'!$G2032&gt;=20000,"Mid Range","Budget"))</f>
        <v>Mid Range</v>
      </c>
      <c r="L2032" s="13">
        <f>YEAR(TODAY())-' car_sales_data 1'!$F2032</f>
        <v>4</v>
      </c>
    </row>
    <row r="2033" ht="15.75" customHeight="1">
      <c r="A2033" s="16">
        <v>44954.0</v>
      </c>
      <c r="B2033" s="13" t="s">
        <v>3998</v>
      </c>
      <c r="C2033" s="13" t="s">
        <v>3999</v>
      </c>
      <c r="D2033" s="13" t="s">
        <v>8</v>
      </c>
      <c r="E2033" s="13" t="s">
        <v>62</v>
      </c>
      <c r="F2033" s="13">
        <v>2010.0</v>
      </c>
      <c r="G2033" s="13">
        <v>10443.0</v>
      </c>
      <c r="H2033" s="13">
        <v>956.54</v>
      </c>
      <c r="I2033" s="13">
        <f>' car_sales_data 1'!$G2033*0.2</f>
        <v>2088.6</v>
      </c>
      <c r="J2033" s="13" t="str">
        <f>TEXT(' car_sales_data 1'!$A2033,"mmmm")</f>
        <v>January</v>
      </c>
      <c r="K2033" s="13" t="str">
        <f>IF(' car_sales_data 1'!$G2033&gt;40000,"Premium",
 IF(' car_sales_data 1'!$G2033&gt;=20000,"Mid Range","Budget"))</f>
        <v>Budget</v>
      </c>
      <c r="L2033" s="13">
        <f>YEAR(TODAY())-' car_sales_data 1'!$F2033</f>
        <v>15</v>
      </c>
    </row>
    <row r="2034" ht="15.75" customHeight="1">
      <c r="A2034" s="16">
        <v>44779.0</v>
      </c>
      <c r="B2034" s="13" t="s">
        <v>4000</v>
      </c>
      <c r="C2034" s="13" t="s">
        <v>4001</v>
      </c>
      <c r="D2034" s="13" t="s">
        <v>10</v>
      </c>
      <c r="E2034" s="13" t="s">
        <v>57</v>
      </c>
      <c r="F2034" s="13">
        <v>2017.0</v>
      </c>
      <c r="G2034" s="13">
        <v>46006.0</v>
      </c>
      <c r="H2034" s="13">
        <v>6425.29</v>
      </c>
      <c r="I2034" s="13">
        <f>' car_sales_data 1'!$G2034*0.2</f>
        <v>9201.2</v>
      </c>
      <c r="J2034" s="13" t="str">
        <f>TEXT(' car_sales_data 1'!$A2034,"mmmm")</f>
        <v>August</v>
      </c>
      <c r="K2034" s="13" t="str">
        <f>IF(' car_sales_data 1'!$G2034&gt;40000,"Premium",
 IF(' car_sales_data 1'!$G2034&gt;=20000,"Mid Range","Budget"))</f>
        <v>Premium</v>
      </c>
      <c r="L2034" s="13">
        <f>YEAR(TODAY())-' car_sales_data 1'!$F2034</f>
        <v>8</v>
      </c>
    </row>
    <row r="2035" ht="15.75" customHeight="1">
      <c r="A2035" s="16">
        <v>44931.0</v>
      </c>
      <c r="B2035" s="13" t="s">
        <v>4002</v>
      </c>
      <c r="C2035" s="13" t="s">
        <v>4003</v>
      </c>
      <c r="D2035" s="13" t="s">
        <v>8</v>
      </c>
      <c r="E2035" s="13" t="s">
        <v>51</v>
      </c>
      <c r="F2035" s="13">
        <v>2015.0</v>
      </c>
      <c r="G2035" s="13">
        <v>26950.0</v>
      </c>
      <c r="H2035" s="13">
        <v>2573.6</v>
      </c>
      <c r="I2035" s="13">
        <f>' car_sales_data 1'!$G2035*0.2</f>
        <v>5390</v>
      </c>
      <c r="J2035" s="13" t="str">
        <f>TEXT(' car_sales_data 1'!$A2035,"mmmm")</f>
        <v>January</v>
      </c>
      <c r="K2035" s="13" t="str">
        <f>IF(' car_sales_data 1'!$G2035&gt;40000,"Premium",
 IF(' car_sales_data 1'!$G2035&gt;=20000,"Mid Range","Budget"))</f>
        <v>Mid Range</v>
      </c>
      <c r="L2035" s="13">
        <f>YEAR(TODAY())-' car_sales_data 1'!$F2035</f>
        <v>10</v>
      </c>
    </row>
    <row r="2036" ht="15.75" customHeight="1">
      <c r="A2036" s="16">
        <v>44954.0</v>
      </c>
      <c r="B2036" s="13" t="s">
        <v>4004</v>
      </c>
      <c r="C2036" s="13" t="s">
        <v>4005</v>
      </c>
      <c r="D2036" s="13" t="s">
        <v>10</v>
      </c>
      <c r="E2036" s="13" t="s">
        <v>51</v>
      </c>
      <c r="F2036" s="13">
        <v>2021.0</v>
      </c>
      <c r="G2036" s="13">
        <v>27931.0</v>
      </c>
      <c r="H2036" s="13">
        <v>1656.19</v>
      </c>
      <c r="I2036" s="13">
        <f>' car_sales_data 1'!$G2036*0.2</f>
        <v>5586.2</v>
      </c>
      <c r="J2036" s="13" t="str">
        <f>TEXT(' car_sales_data 1'!$A2036,"mmmm")</f>
        <v>January</v>
      </c>
      <c r="K2036" s="13" t="str">
        <f>IF(' car_sales_data 1'!$G2036&gt;40000,"Premium",
 IF(' car_sales_data 1'!$G2036&gt;=20000,"Mid Range","Budget"))</f>
        <v>Mid Range</v>
      </c>
      <c r="L2036" s="13">
        <f>YEAR(TODAY())-' car_sales_data 1'!$F2036</f>
        <v>4</v>
      </c>
    </row>
    <row r="2037" ht="15.75" customHeight="1">
      <c r="A2037" s="16">
        <v>45013.0</v>
      </c>
      <c r="B2037" s="13" t="s">
        <v>4006</v>
      </c>
      <c r="C2037" s="13" t="s">
        <v>4007</v>
      </c>
      <c r="D2037" s="13" t="s">
        <v>10</v>
      </c>
      <c r="E2037" s="13" t="s">
        <v>62</v>
      </c>
      <c r="F2037" s="13">
        <v>2014.0</v>
      </c>
      <c r="G2037" s="13">
        <v>10665.0</v>
      </c>
      <c r="H2037" s="13">
        <v>1283.6</v>
      </c>
      <c r="I2037" s="13">
        <f>' car_sales_data 1'!$G2037*0.2</f>
        <v>2133</v>
      </c>
      <c r="J2037" s="13" t="str">
        <f>TEXT(' car_sales_data 1'!$A2037,"mmmm")</f>
        <v>March</v>
      </c>
      <c r="K2037" s="13" t="str">
        <f>IF(' car_sales_data 1'!$G2037&gt;40000,"Premium",
 IF(' car_sales_data 1'!$G2037&gt;=20000,"Mid Range","Budget"))</f>
        <v>Budget</v>
      </c>
      <c r="L2037" s="13">
        <f>YEAR(TODAY())-' car_sales_data 1'!$F2037</f>
        <v>11</v>
      </c>
    </row>
    <row r="2038" ht="15.75" customHeight="1">
      <c r="A2038" s="16">
        <v>44686.0</v>
      </c>
      <c r="B2038" s="13" t="s">
        <v>4008</v>
      </c>
      <c r="C2038" s="13" t="s">
        <v>4009</v>
      </c>
      <c r="D2038" s="13" t="s">
        <v>8</v>
      </c>
      <c r="E2038" s="13" t="s">
        <v>54</v>
      </c>
      <c r="F2038" s="13">
        <v>2020.0</v>
      </c>
      <c r="G2038" s="13">
        <v>14485.0</v>
      </c>
      <c r="H2038" s="13">
        <v>1605.12</v>
      </c>
      <c r="I2038" s="13">
        <f>' car_sales_data 1'!$G2038*0.2</f>
        <v>2897</v>
      </c>
      <c r="J2038" s="13" t="str">
        <f>TEXT(' car_sales_data 1'!$A2038,"mmmm")</f>
        <v>May</v>
      </c>
      <c r="K2038" s="13" t="str">
        <f>IF(' car_sales_data 1'!$G2038&gt;40000,"Premium",
 IF(' car_sales_data 1'!$G2038&gt;=20000,"Mid Range","Budget"))</f>
        <v>Budget</v>
      </c>
      <c r="L2038" s="13">
        <f>YEAR(TODAY())-' car_sales_data 1'!$F2038</f>
        <v>5</v>
      </c>
    </row>
    <row r="2039" ht="15.75" customHeight="1">
      <c r="A2039" s="16">
        <v>44926.0</v>
      </c>
      <c r="B2039" s="13" t="s">
        <v>4010</v>
      </c>
      <c r="C2039" s="13" t="s">
        <v>4011</v>
      </c>
      <c r="D2039" s="13" t="s">
        <v>10</v>
      </c>
      <c r="E2039" s="13" t="s">
        <v>51</v>
      </c>
      <c r="F2039" s="13">
        <v>2013.0</v>
      </c>
      <c r="G2039" s="13">
        <v>15257.0</v>
      </c>
      <c r="H2039" s="13">
        <v>1824.67</v>
      </c>
      <c r="I2039" s="13">
        <f>' car_sales_data 1'!$G2039*0.2</f>
        <v>3051.4</v>
      </c>
      <c r="J2039" s="13" t="str">
        <f>TEXT(' car_sales_data 1'!$A2039,"mmmm")</f>
        <v>December</v>
      </c>
      <c r="K2039" s="13" t="str">
        <f>IF(' car_sales_data 1'!$G2039&gt;40000,"Premium",
 IF(' car_sales_data 1'!$G2039&gt;=20000,"Mid Range","Budget"))</f>
        <v>Budget</v>
      </c>
      <c r="L2039" s="13">
        <f>YEAR(TODAY())-' car_sales_data 1'!$F2039</f>
        <v>12</v>
      </c>
    </row>
    <row r="2040" ht="15.75" customHeight="1">
      <c r="A2040" s="16">
        <v>44945.0</v>
      </c>
      <c r="B2040" s="13" t="s">
        <v>4012</v>
      </c>
      <c r="C2040" s="13" t="s">
        <v>4013</v>
      </c>
      <c r="D2040" s="13" t="s">
        <v>8</v>
      </c>
      <c r="E2040" s="13" t="s">
        <v>57</v>
      </c>
      <c r="F2040" s="13">
        <v>2012.0</v>
      </c>
      <c r="G2040" s="13">
        <v>26613.0</v>
      </c>
      <c r="H2040" s="13">
        <v>2975.99</v>
      </c>
      <c r="I2040" s="13">
        <f>' car_sales_data 1'!$G2040*0.2</f>
        <v>5322.6</v>
      </c>
      <c r="J2040" s="13" t="str">
        <f>TEXT(' car_sales_data 1'!$A2040,"mmmm")</f>
        <v>January</v>
      </c>
      <c r="K2040" s="13" t="str">
        <f>IF(' car_sales_data 1'!$G2040&gt;40000,"Premium",
 IF(' car_sales_data 1'!$G2040&gt;=20000,"Mid Range","Budget"))</f>
        <v>Mid Range</v>
      </c>
      <c r="L2040" s="13">
        <f>YEAR(TODAY())-' car_sales_data 1'!$F2040</f>
        <v>13</v>
      </c>
    </row>
    <row r="2041" ht="15.75" customHeight="1">
      <c r="A2041" s="16">
        <v>44863.0</v>
      </c>
      <c r="B2041" s="13" t="s">
        <v>4014</v>
      </c>
      <c r="C2041" s="13" t="s">
        <v>4015</v>
      </c>
      <c r="D2041" s="13" t="s">
        <v>8</v>
      </c>
      <c r="E2041" s="13" t="s">
        <v>62</v>
      </c>
      <c r="F2041" s="13">
        <v>2017.0</v>
      </c>
      <c r="G2041" s="13">
        <v>29052.0</v>
      </c>
      <c r="H2041" s="13">
        <v>2196.15</v>
      </c>
      <c r="I2041" s="13">
        <f>' car_sales_data 1'!$G2041*0.2</f>
        <v>5810.4</v>
      </c>
      <c r="J2041" s="13" t="str">
        <f>TEXT(' car_sales_data 1'!$A2041,"mmmm")</f>
        <v>October</v>
      </c>
      <c r="K2041" s="13" t="str">
        <f>IF(' car_sales_data 1'!$G2041&gt;40000,"Premium",
 IF(' car_sales_data 1'!$G2041&gt;=20000,"Mid Range","Budget"))</f>
        <v>Mid Range</v>
      </c>
      <c r="L2041" s="13">
        <f>YEAR(TODAY())-' car_sales_data 1'!$F2041</f>
        <v>8</v>
      </c>
    </row>
    <row r="2042" ht="15.75" customHeight="1">
      <c r="A2042" s="16">
        <v>44759.0</v>
      </c>
      <c r="B2042" s="13" t="s">
        <v>4016</v>
      </c>
      <c r="C2042" s="13" t="s">
        <v>4017</v>
      </c>
      <c r="D2042" s="13" t="s">
        <v>10</v>
      </c>
      <c r="E2042" s="13" t="s">
        <v>57</v>
      </c>
      <c r="F2042" s="13">
        <v>2013.0</v>
      </c>
      <c r="G2042" s="13">
        <v>24410.0</v>
      </c>
      <c r="H2042" s="13">
        <v>2954.75</v>
      </c>
      <c r="I2042" s="13">
        <f>' car_sales_data 1'!$G2042*0.2</f>
        <v>4882</v>
      </c>
      <c r="J2042" s="13" t="str">
        <f>TEXT(' car_sales_data 1'!$A2042,"mmmm")</f>
        <v>July</v>
      </c>
      <c r="K2042" s="13" t="str">
        <f>IF(' car_sales_data 1'!$G2042&gt;40000,"Premium",
 IF(' car_sales_data 1'!$G2042&gt;=20000,"Mid Range","Budget"))</f>
        <v>Mid Range</v>
      </c>
      <c r="L2042" s="13">
        <f>YEAR(TODAY())-' car_sales_data 1'!$F2042</f>
        <v>12</v>
      </c>
    </row>
    <row r="2043" ht="15.75" customHeight="1">
      <c r="A2043" s="16">
        <v>44857.0</v>
      </c>
      <c r="B2043" s="13" t="s">
        <v>7</v>
      </c>
      <c r="C2043" s="13" t="s">
        <v>4018</v>
      </c>
      <c r="D2043" s="13" t="s">
        <v>8</v>
      </c>
      <c r="E2043" s="13" t="s">
        <v>51</v>
      </c>
      <c r="F2043" s="13">
        <v>2019.0</v>
      </c>
      <c r="G2043" s="13">
        <v>28845.0</v>
      </c>
      <c r="H2043" s="13">
        <v>3927.6</v>
      </c>
      <c r="I2043" s="13">
        <f>' car_sales_data 1'!$G2043*0.2</f>
        <v>5769</v>
      </c>
      <c r="J2043" s="13" t="str">
        <f>TEXT(' car_sales_data 1'!$A2043,"mmmm")</f>
        <v>October</v>
      </c>
      <c r="K2043" s="13" t="str">
        <f>IF(' car_sales_data 1'!$G2043&gt;40000,"Premium",
 IF(' car_sales_data 1'!$G2043&gt;=20000,"Mid Range","Budget"))</f>
        <v>Mid Range</v>
      </c>
      <c r="L2043" s="13">
        <f>YEAR(TODAY())-' car_sales_data 1'!$F2043</f>
        <v>6</v>
      </c>
    </row>
    <row r="2044" ht="15.75" customHeight="1">
      <c r="A2044" s="16">
        <v>44702.0</v>
      </c>
      <c r="B2044" s="13" t="s">
        <v>4019</v>
      </c>
      <c r="C2044" s="13" t="s">
        <v>4020</v>
      </c>
      <c r="D2044" s="13" t="s">
        <v>10</v>
      </c>
      <c r="E2044" s="13" t="s">
        <v>62</v>
      </c>
      <c r="F2044" s="13">
        <v>2022.0</v>
      </c>
      <c r="G2044" s="13">
        <v>17225.0</v>
      </c>
      <c r="H2044" s="13">
        <v>1940.49</v>
      </c>
      <c r="I2044" s="13">
        <f>' car_sales_data 1'!$G2044*0.2</f>
        <v>3445</v>
      </c>
      <c r="J2044" s="13" t="str">
        <f>TEXT(' car_sales_data 1'!$A2044,"mmmm")</f>
        <v>May</v>
      </c>
      <c r="K2044" s="13" t="str">
        <f>IF(' car_sales_data 1'!$G2044&gt;40000,"Premium",
 IF(' car_sales_data 1'!$G2044&gt;=20000,"Mid Range","Budget"))</f>
        <v>Budget</v>
      </c>
      <c r="L2044" s="13">
        <f>YEAR(TODAY())-' car_sales_data 1'!$F2044</f>
        <v>3</v>
      </c>
    </row>
    <row r="2045" ht="15.75" customHeight="1">
      <c r="A2045" s="16">
        <v>44919.0</v>
      </c>
      <c r="B2045" s="13" t="s">
        <v>4021</v>
      </c>
      <c r="C2045" s="13" t="s">
        <v>4022</v>
      </c>
      <c r="D2045" s="13" t="s">
        <v>6</v>
      </c>
      <c r="E2045" s="13" t="s">
        <v>57</v>
      </c>
      <c r="F2045" s="13">
        <v>2014.0</v>
      </c>
      <c r="G2045" s="13">
        <v>42634.0</v>
      </c>
      <c r="H2045" s="13">
        <v>3052.73</v>
      </c>
      <c r="I2045" s="13">
        <f>' car_sales_data 1'!$G2045*0.2</f>
        <v>8526.8</v>
      </c>
      <c r="J2045" s="13" t="str">
        <f>TEXT(' car_sales_data 1'!$A2045,"mmmm")</f>
        <v>December</v>
      </c>
      <c r="K2045" s="13" t="str">
        <f>IF(' car_sales_data 1'!$G2045&gt;40000,"Premium",
 IF(' car_sales_data 1'!$G2045&gt;=20000,"Mid Range","Budget"))</f>
        <v>Premium</v>
      </c>
      <c r="L2045" s="13">
        <f>YEAR(TODAY())-' car_sales_data 1'!$F2045</f>
        <v>11</v>
      </c>
    </row>
    <row r="2046" ht="15.75" customHeight="1">
      <c r="A2046" s="16">
        <v>44956.0</v>
      </c>
      <c r="B2046" s="13" t="s">
        <v>4023</v>
      </c>
      <c r="C2046" s="13" t="s">
        <v>4024</v>
      </c>
      <c r="D2046" s="13" t="s">
        <v>8</v>
      </c>
      <c r="E2046" s="13" t="s">
        <v>57</v>
      </c>
      <c r="F2046" s="13">
        <v>2018.0</v>
      </c>
      <c r="G2046" s="13">
        <v>15305.0</v>
      </c>
      <c r="H2046" s="13">
        <v>1150.88</v>
      </c>
      <c r="I2046" s="13">
        <f>' car_sales_data 1'!$G2046*0.2</f>
        <v>3061</v>
      </c>
      <c r="J2046" s="13" t="str">
        <f>TEXT(' car_sales_data 1'!$A2046,"mmmm")</f>
        <v>January</v>
      </c>
      <c r="K2046" s="13" t="str">
        <f>IF(' car_sales_data 1'!$G2046&gt;40000,"Premium",
 IF(' car_sales_data 1'!$G2046&gt;=20000,"Mid Range","Budget"))</f>
        <v>Budget</v>
      </c>
      <c r="L2046" s="13">
        <f>YEAR(TODAY())-' car_sales_data 1'!$F2046</f>
        <v>7</v>
      </c>
    </row>
    <row r="2047" ht="15.75" customHeight="1">
      <c r="A2047" s="16">
        <v>45037.0</v>
      </c>
      <c r="B2047" s="13" t="s">
        <v>4025</v>
      </c>
      <c r="C2047" s="13" t="s">
        <v>4026</v>
      </c>
      <c r="D2047" s="13" t="s">
        <v>6</v>
      </c>
      <c r="E2047" s="13" t="s">
        <v>51</v>
      </c>
      <c r="F2047" s="13">
        <v>2012.0</v>
      </c>
      <c r="G2047" s="13">
        <v>10048.0</v>
      </c>
      <c r="H2047" s="13">
        <v>1317.68</v>
      </c>
      <c r="I2047" s="13">
        <f>' car_sales_data 1'!$G2047*0.2</f>
        <v>2009.6</v>
      </c>
      <c r="J2047" s="13" t="str">
        <f>TEXT(' car_sales_data 1'!$A2047,"mmmm")</f>
        <v>April</v>
      </c>
      <c r="K2047" s="13" t="str">
        <f>IF(' car_sales_data 1'!$G2047&gt;40000,"Premium",
 IF(' car_sales_data 1'!$G2047&gt;=20000,"Mid Range","Budget"))</f>
        <v>Budget</v>
      </c>
      <c r="L2047" s="13">
        <f>YEAR(TODAY())-' car_sales_data 1'!$F2047</f>
        <v>13</v>
      </c>
    </row>
    <row r="2048" ht="15.75" customHeight="1">
      <c r="A2048" s="16">
        <v>44960.0</v>
      </c>
      <c r="B2048" s="13" t="s">
        <v>4027</v>
      </c>
      <c r="C2048" s="13" t="s">
        <v>4028</v>
      </c>
      <c r="D2048" s="13" t="s">
        <v>12</v>
      </c>
      <c r="E2048" s="13" t="s">
        <v>70</v>
      </c>
      <c r="F2048" s="13">
        <v>2011.0</v>
      </c>
      <c r="G2048" s="13">
        <v>12026.0</v>
      </c>
      <c r="H2048" s="13">
        <v>1584.86</v>
      </c>
      <c r="I2048" s="13">
        <f>' car_sales_data 1'!$G2048*0.2</f>
        <v>2405.2</v>
      </c>
      <c r="J2048" s="13" t="str">
        <f>TEXT(' car_sales_data 1'!$A2048,"mmmm")</f>
        <v>February</v>
      </c>
      <c r="K2048" s="13" t="str">
        <f>IF(' car_sales_data 1'!$G2048&gt;40000,"Premium",
 IF(' car_sales_data 1'!$G2048&gt;=20000,"Mid Range","Budget"))</f>
        <v>Budget</v>
      </c>
      <c r="L2048" s="13">
        <f>YEAR(TODAY())-' car_sales_data 1'!$F2048</f>
        <v>14</v>
      </c>
    </row>
    <row r="2049" ht="15.75" customHeight="1">
      <c r="A2049" s="16">
        <v>44986.0</v>
      </c>
      <c r="B2049" s="13" t="s">
        <v>4029</v>
      </c>
      <c r="C2049" s="13" t="s">
        <v>4030</v>
      </c>
      <c r="D2049" s="13" t="s">
        <v>14</v>
      </c>
      <c r="E2049" s="13" t="s">
        <v>70</v>
      </c>
      <c r="F2049" s="13">
        <v>2012.0</v>
      </c>
      <c r="G2049" s="13">
        <v>10830.0</v>
      </c>
      <c r="H2049" s="13">
        <v>845.41</v>
      </c>
      <c r="I2049" s="13">
        <f>' car_sales_data 1'!$G2049*0.2</f>
        <v>2166</v>
      </c>
      <c r="J2049" s="13" t="str">
        <f>TEXT(' car_sales_data 1'!$A2049,"mmmm")</f>
        <v>March</v>
      </c>
      <c r="K2049" s="13" t="str">
        <f>IF(' car_sales_data 1'!$G2049&gt;40000,"Premium",
 IF(' car_sales_data 1'!$G2049&gt;=20000,"Mid Range","Budget"))</f>
        <v>Budget</v>
      </c>
      <c r="L2049" s="13">
        <f>YEAR(TODAY())-' car_sales_data 1'!$F2049</f>
        <v>13</v>
      </c>
    </row>
    <row r="2050" ht="15.75" customHeight="1">
      <c r="A2050" s="16">
        <v>44864.0</v>
      </c>
      <c r="B2050" s="13" t="s">
        <v>4031</v>
      </c>
      <c r="C2050" s="13" t="s">
        <v>4032</v>
      </c>
      <c r="D2050" s="13" t="s">
        <v>6</v>
      </c>
      <c r="E2050" s="13" t="s">
        <v>57</v>
      </c>
      <c r="F2050" s="13">
        <v>2011.0</v>
      </c>
      <c r="G2050" s="13">
        <v>46553.0</v>
      </c>
      <c r="H2050" s="13">
        <v>6470.25</v>
      </c>
      <c r="I2050" s="13">
        <f>' car_sales_data 1'!$G2050*0.2</f>
        <v>9310.6</v>
      </c>
      <c r="J2050" s="13" t="str">
        <f>TEXT(' car_sales_data 1'!$A2050,"mmmm")</f>
        <v>October</v>
      </c>
      <c r="K2050" s="13" t="str">
        <f>IF(' car_sales_data 1'!$G2050&gt;40000,"Premium",
 IF(' car_sales_data 1'!$G2050&gt;=20000,"Mid Range","Budget"))</f>
        <v>Premium</v>
      </c>
      <c r="L2050" s="13">
        <f>YEAR(TODAY())-' car_sales_data 1'!$F2050</f>
        <v>14</v>
      </c>
    </row>
    <row r="2051" ht="15.75" customHeight="1">
      <c r="A2051" s="16">
        <v>44872.0</v>
      </c>
      <c r="B2051" s="13" t="s">
        <v>4033</v>
      </c>
      <c r="C2051" s="13" t="s">
        <v>4034</v>
      </c>
      <c r="D2051" s="13" t="s">
        <v>10</v>
      </c>
      <c r="E2051" s="13" t="s">
        <v>57</v>
      </c>
      <c r="F2051" s="13">
        <v>2022.0</v>
      </c>
      <c r="G2051" s="13">
        <v>43062.0</v>
      </c>
      <c r="H2051" s="13">
        <v>2643.03</v>
      </c>
      <c r="I2051" s="13">
        <f>' car_sales_data 1'!$G2051*0.2</f>
        <v>8612.4</v>
      </c>
      <c r="J2051" s="13" t="str">
        <f>TEXT(' car_sales_data 1'!$A2051,"mmmm")</f>
        <v>November</v>
      </c>
      <c r="K2051" s="13" t="str">
        <f>IF(' car_sales_data 1'!$G2051&gt;40000,"Premium",
 IF(' car_sales_data 1'!$G2051&gt;=20000,"Mid Range","Budget"))</f>
        <v>Premium</v>
      </c>
      <c r="L2051" s="13">
        <f>YEAR(TODAY())-' car_sales_data 1'!$F2051</f>
        <v>3</v>
      </c>
    </row>
    <row r="2052" ht="15.75" customHeight="1">
      <c r="A2052" s="16">
        <v>44837.0</v>
      </c>
      <c r="B2052" s="13" t="s">
        <v>4035</v>
      </c>
      <c r="C2052" s="13" t="s">
        <v>2226</v>
      </c>
      <c r="D2052" s="13" t="s">
        <v>8</v>
      </c>
      <c r="E2052" s="13" t="s">
        <v>51</v>
      </c>
      <c r="F2052" s="13">
        <v>2011.0</v>
      </c>
      <c r="G2052" s="13">
        <v>18193.0</v>
      </c>
      <c r="H2052" s="13">
        <v>2332.64</v>
      </c>
      <c r="I2052" s="13">
        <f>' car_sales_data 1'!$G2052*0.2</f>
        <v>3638.6</v>
      </c>
      <c r="J2052" s="13" t="str">
        <f>TEXT(' car_sales_data 1'!$A2052,"mmmm")</f>
        <v>October</v>
      </c>
      <c r="K2052" s="13" t="str">
        <f>IF(' car_sales_data 1'!$G2052&gt;40000,"Premium",
 IF(' car_sales_data 1'!$G2052&gt;=20000,"Mid Range","Budget"))</f>
        <v>Budget</v>
      </c>
      <c r="L2052" s="13">
        <f>YEAR(TODAY())-' car_sales_data 1'!$F2052</f>
        <v>14</v>
      </c>
    </row>
    <row r="2053" ht="15.75" customHeight="1">
      <c r="A2053" s="16">
        <v>44723.0</v>
      </c>
      <c r="B2053" s="13" t="s">
        <v>4036</v>
      </c>
      <c r="C2053" s="13" t="s">
        <v>4037</v>
      </c>
      <c r="D2053" s="13" t="s">
        <v>12</v>
      </c>
      <c r="E2053" s="13" t="s">
        <v>57</v>
      </c>
      <c r="F2053" s="13">
        <v>2014.0</v>
      </c>
      <c r="G2053" s="13">
        <v>17571.0</v>
      </c>
      <c r="H2053" s="13">
        <v>2402.79</v>
      </c>
      <c r="I2053" s="13">
        <f>' car_sales_data 1'!$G2053*0.2</f>
        <v>3514.2</v>
      </c>
      <c r="J2053" s="13" t="str">
        <f>TEXT(' car_sales_data 1'!$A2053,"mmmm")</f>
        <v>June</v>
      </c>
      <c r="K2053" s="13" t="str">
        <f>IF(' car_sales_data 1'!$G2053&gt;40000,"Premium",
 IF(' car_sales_data 1'!$G2053&gt;=20000,"Mid Range","Budget"))</f>
        <v>Budget</v>
      </c>
      <c r="L2053" s="13">
        <f>YEAR(TODAY())-' car_sales_data 1'!$F2053</f>
        <v>11</v>
      </c>
    </row>
    <row r="2054" ht="15.75" customHeight="1">
      <c r="A2054" s="16">
        <v>44733.0</v>
      </c>
      <c r="B2054" s="13" t="s">
        <v>4038</v>
      </c>
      <c r="C2054" s="13" t="s">
        <v>740</v>
      </c>
      <c r="D2054" s="13" t="s">
        <v>10</v>
      </c>
      <c r="E2054" s="13" t="s">
        <v>70</v>
      </c>
      <c r="F2054" s="13">
        <v>2022.0</v>
      </c>
      <c r="G2054" s="13">
        <v>27804.0</v>
      </c>
      <c r="H2054" s="13">
        <v>3638.41</v>
      </c>
      <c r="I2054" s="13">
        <f>' car_sales_data 1'!$G2054*0.2</f>
        <v>5560.8</v>
      </c>
      <c r="J2054" s="13" t="str">
        <f>TEXT(' car_sales_data 1'!$A2054,"mmmm")</f>
        <v>June</v>
      </c>
      <c r="K2054" s="13" t="str">
        <f>IF(' car_sales_data 1'!$G2054&gt;40000,"Premium",
 IF(' car_sales_data 1'!$G2054&gt;=20000,"Mid Range","Budget"))</f>
        <v>Mid Range</v>
      </c>
      <c r="L2054" s="13">
        <f>YEAR(TODAY())-' car_sales_data 1'!$F2054</f>
        <v>3</v>
      </c>
    </row>
    <row r="2055" ht="15.75" customHeight="1">
      <c r="A2055" s="16">
        <v>44882.0</v>
      </c>
      <c r="B2055" s="13" t="s">
        <v>4039</v>
      </c>
      <c r="C2055" s="13" t="s">
        <v>4040</v>
      </c>
      <c r="D2055" s="13" t="s">
        <v>8</v>
      </c>
      <c r="E2055" s="13" t="s">
        <v>54</v>
      </c>
      <c r="F2055" s="13">
        <v>2021.0</v>
      </c>
      <c r="G2055" s="13">
        <v>14333.0</v>
      </c>
      <c r="H2055" s="13">
        <v>752.95</v>
      </c>
      <c r="I2055" s="13">
        <f>' car_sales_data 1'!$G2055*0.2</f>
        <v>2866.6</v>
      </c>
      <c r="J2055" s="13" t="str">
        <f>TEXT(' car_sales_data 1'!$A2055,"mmmm")</f>
        <v>November</v>
      </c>
      <c r="K2055" s="13" t="str">
        <f>IF(' car_sales_data 1'!$G2055&gt;40000,"Premium",
 IF(' car_sales_data 1'!$G2055&gt;=20000,"Mid Range","Budget"))</f>
        <v>Budget</v>
      </c>
      <c r="L2055" s="13">
        <f>YEAR(TODAY())-' car_sales_data 1'!$F2055</f>
        <v>4</v>
      </c>
    </row>
    <row r="2056" ht="15.75" customHeight="1">
      <c r="A2056" s="16">
        <v>44741.0</v>
      </c>
      <c r="B2056" s="13" t="s">
        <v>4041</v>
      </c>
      <c r="C2056" s="13" t="s">
        <v>4042</v>
      </c>
      <c r="D2056" s="13" t="s">
        <v>14</v>
      </c>
      <c r="E2056" s="13" t="s">
        <v>62</v>
      </c>
      <c r="F2056" s="13">
        <v>2017.0</v>
      </c>
      <c r="G2056" s="13">
        <v>13182.0</v>
      </c>
      <c r="H2056" s="13">
        <v>1798.93</v>
      </c>
      <c r="I2056" s="13">
        <f>' car_sales_data 1'!$G2056*0.2</f>
        <v>2636.4</v>
      </c>
      <c r="J2056" s="13" t="str">
        <f>TEXT(' car_sales_data 1'!$A2056,"mmmm")</f>
        <v>June</v>
      </c>
      <c r="K2056" s="13" t="str">
        <f>IF(' car_sales_data 1'!$G2056&gt;40000,"Premium",
 IF(' car_sales_data 1'!$G2056&gt;=20000,"Mid Range","Budget"))</f>
        <v>Budget</v>
      </c>
      <c r="L2056" s="13">
        <f>YEAR(TODAY())-' car_sales_data 1'!$F2056</f>
        <v>8</v>
      </c>
    </row>
    <row r="2057" ht="15.75" customHeight="1">
      <c r="A2057" s="16">
        <v>44688.0</v>
      </c>
      <c r="B2057" s="13" t="s">
        <v>4043</v>
      </c>
      <c r="C2057" s="13" t="s">
        <v>4044</v>
      </c>
      <c r="D2057" s="13" t="s">
        <v>14</v>
      </c>
      <c r="E2057" s="13" t="s">
        <v>70</v>
      </c>
      <c r="F2057" s="13">
        <v>2020.0</v>
      </c>
      <c r="G2057" s="13">
        <v>19457.0</v>
      </c>
      <c r="H2057" s="13">
        <v>1711.19</v>
      </c>
      <c r="I2057" s="13">
        <f>' car_sales_data 1'!$G2057*0.2</f>
        <v>3891.4</v>
      </c>
      <c r="J2057" s="13" t="str">
        <f>TEXT(' car_sales_data 1'!$A2057,"mmmm")</f>
        <v>May</v>
      </c>
      <c r="K2057" s="13" t="str">
        <f>IF(' car_sales_data 1'!$G2057&gt;40000,"Premium",
 IF(' car_sales_data 1'!$G2057&gt;=20000,"Mid Range","Budget"))</f>
        <v>Budget</v>
      </c>
      <c r="L2057" s="13">
        <f>YEAR(TODAY())-' car_sales_data 1'!$F2057</f>
        <v>5</v>
      </c>
    </row>
    <row r="2058" ht="15.75" customHeight="1">
      <c r="A2058" s="16">
        <v>44698.0</v>
      </c>
      <c r="B2058" s="13" t="s">
        <v>4045</v>
      </c>
      <c r="C2058" s="13" t="s">
        <v>1602</v>
      </c>
      <c r="D2058" s="13" t="s">
        <v>6</v>
      </c>
      <c r="E2058" s="13" t="s">
        <v>57</v>
      </c>
      <c r="F2058" s="13">
        <v>2017.0</v>
      </c>
      <c r="G2058" s="13">
        <v>27154.0</v>
      </c>
      <c r="H2058" s="13">
        <v>2922.19</v>
      </c>
      <c r="I2058" s="13">
        <f>' car_sales_data 1'!$G2058*0.2</f>
        <v>5430.8</v>
      </c>
      <c r="J2058" s="13" t="str">
        <f>TEXT(' car_sales_data 1'!$A2058,"mmmm")</f>
        <v>May</v>
      </c>
      <c r="K2058" s="13" t="str">
        <f>IF(' car_sales_data 1'!$G2058&gt;40000,"Premium",
 IF(' car_sales_data 1'!$G2058&gt;=20000,"Mid Range","Budget"))</f>
        <v>Mid Range</v>
      </c>
      <c r="L2058" s="13">
        <f>YEAR(TODAY())-' car_sales_data 1'!$F2058</f>
        <v>8</v>
      </c>
    </row>
    <row r="2059" ht="15.75" customHeight="1">
      <c r="A2059" s="16">
        <v>44778.0</v>
      </c>
      <c r="B2059" s="13" t="s">
        <v>4046</v>
      </c>
      <c r="C2059" s="13" t="s">
        <v>519</v>
      </c>
      <c r="D2059" s="13" t="s">
        <v>10</v>
      </c>
      <c r="E2059" s="13" t="s">
        <v>51</v>
      </c>
      <c r="F2059" s="13">
        <v>2010.0</v>
      </c>
      <c r="G2059" s="13">
        <v>46532.0</v>
      </c>
      <c r="H2059" s="13">
        <v>2524.63</v>
      </c>
      <c r="I2059" s="13">
        <f>' car_sales_data 1'!$G2059*0.2</f>
        <v>9306.4</v>
      </c>
      <c r="J2059" s="13" t="str">
        <f>TEXT(' car_sales_data 1'!$A2059,"mmmm")</f>
        <v>August</v>
      </c>
      <c r="K2059" s="13" t="str">
        <f>IF(' car_sales_data 1'!$G2059&gt;40000,"Premium",
 IF(' car_sales_data 1'!$G2059&gt;=20000,"Mid Range","Budget"))</f>
        <v>Premium</v>
      </c>
      <c r="L2059" s="13">
        <f>YEAR(TODAY())-' car_sales_data 1'!$F2059</f>
        <v>15</v>
      </c>
    </row>
    <row r="2060" ht="15.75" customHeight="1">
      <c r="A2060" s="16">
        <v>44866.0</v>
      </c>
      <c r="B2060" s="13" t="s">
        <v>9</v>
      </c>
      <c r="C2060" s="13" t="s">
        <v>4047</v>
      </c>
      <c r="D2060" s="13" t="s">
        <v>6</v>
      </c>
      <c r="E2060" s="13" t="s">
        <v>70</v>
      </c>
      <c r="F2060" s="13">
        <v>2010.0</v>
      </c>
      <c r="G2060" s="13">
        <v>39992.0</v>
      </c>
      <c r="H2060" s="13">
        <v>4601.99</v>
      </c>
      <c r="I2060" s="13">
        <f>' car_sales_data 1'!$G2060*0.2</f>
        <v>7998.4</v>
      </c>
      <c r="J2060" s="13" t="str">
        <f>TEXT(' car_sales_data 1'!$A2060,"mmmm")</f>
        <v>November</v>
      </c>
      <c r="K2060" s="13" t="str">
        <f>IF(' car_sales_data 1'!$G2060&gt;40000,"Premium",
 IF(' car_sales_data 1'!$G2060&gt;=20000,"Mid Range","Budget"))</f>
        <v>Mid Range</v>
      </c>
      <c r="L2060" s="13">
        <f>YEAR(TODAY())-' car_sales_data 1'!$F2060</f>
        <v>15</v>
      </c>
    </row>
    <row r="2061" ht="15.75" customHeight="1">
      <c r="A2061" s="16">
        <v>44892.0</v>
      </c>
      <c r="B2061" s="13" t="s">
        <v>4048</v>
      </c>
      <c r="C2061" s="13" t="s">
        <v>1071</v>
      </c>
      <c r="D2061" s="13" t="s">
        <v>10</v>
      </c>
      <c r="E2061" s="13" t="s">
        <v>57</v>
      </c>
      <c r="F2061" s="13">
        <v>2019.0</v>
      </c>
      <c r="G2061" s="13">
        <v>30601.0</v>
      </c>
      <c r="H2061" s="13">
        <v>3933.13</v>
      </c>
      <c r="I2061" s="13">
        <f>' car_sales_data 1'!$G2061*0.2</f>
        <v>6120.2</v>
      </c>
      <c r="J2061" s="13" t="str">
        <f>TEXT(' car_sales_data 1'!$A2061,"mmmm")</f>
        <v>November</v>
      </c>
      <c r="K2061" s="13" t="str">
        <f>IF(' car_sales_data 1'!$G2061&gt;40000,"Premium",
 IF(' car_sales_data 1'!$G2061&gt;=20000,"Mid Range","Budget"))</f>
        <v>Mid Range</v>
      </c>
      <c r="L2061" s="13">
        <f>YEAR(TODAY())-' car_sales_data 1'!$F2061</f>
        <v>6</v>
      </c>
    </row>
    <row r="2062" ht="15.75" customHeight="1">
      <c r="A2062" s="16">
        <v>44702.0</v>
      </c>
      <c r="B2062" s="13" t="s">
        <v>4049</v>
      </c>
      <c r="C2062" s="13" t="s">
        <v>4050</v>
      </c>
      <c r="D2062" s="13" t="s">
        <v>6</v>
      </c>
      <c r="E2062" s="13" t="s">
        <v>62</v>
      </c>
      <c r="F2062" s="13">
        <v>2018.0</v>
      </c>
      <c r="G2062" s="13">
        <v>48083.0</v>
      </c>
      <c r="H2062" s="13">
        <v>2718.8</v>
      </c>
      <c r="I2062" s="13">
        <f>' car_sales_data 1'!$G2062*0.2</f>
        <v>9616.6</v>
      </c>
      <c r="J2062" s="13" t="str">
        <f>TEXT(' car_sales_data 1'!$A2062,"mmmm")</f>
        <v>May</v>
      </c>
      <c r="K2062" s="13" t="str">
        <f>IF(' car_sales_data 1'!$G2062&gt;40000,"Premium",
 IF(' car_sales_data 1'!$G2062&gt;=20000,"Mid Range","Budget"))</f>
        <v>Premium</v>
      </c>
      <c r="L2062" s="13">
        <f>YEAR(TODAY())-' car_sales_data 1'!$F2062</f>
        <v>7</v>
      </c>
    </row>
    <row r="2063" ht="15.75" customHeight="1">
      <c r="A2063" s="16">
        <v>44695.0</v>
      </c>
      <c r="B2063" s="13" t="s">
        <v>4051</v>
      </c>
      <c r="C2063" s="13" t="s">
        <v>4052</v>
      </c>
      <c r="D2063" s="13" t="s">
        <v>10</v>
      </c>
      <c r="E2063" s="13" t="s">
        <v>54</v>
      </c>
      <c r="F2063" s="13">
        <v>2021.0</v>
      </c>
      <c r="G2063" s="13">
        <v>49678.0</v>
      </c>
      <c r="H2063" s="13">
        <v>4807.19</v>
      </c>
      <c r="I2063" s="13">
        <f>' car_sales_data 1'!$G2063*0.2</f>
        <v>9935.6</v>
      </c>
      <c r="J2063" s="13" t="str">
        <f>TEXT(' car_sales_data 1'!$A2063,"mmmm")</f>
        <v>May</v>
      </c>
      <c r="K2063" s="13" t="str">
        <f>IF(' car_sales_data 1'!$G2063&gt;40000,"Premium",
 IF(' car_sales_data 1'!$G2063&gt;=20000,"Mid Range","Budget"))</f>
        <v>Premium</v>
      </c>
      <c r="L2063" s="13">
        <f>YEAR(TODAY())-' car_sales_data 1'!$F2063</f>
        <v>4</v>
      </c>
    </row>
    <row r="2064" ht="15.75" customHeight="1">
      <c r="A2064" s="16">
        <v>44851.0</v>
      </c>
      <c r="B2064" s="13" t="s">
        <v>4053</v>
      </c>
      <c r="C2064" s="13" t="s">
        <v>4054</v>
      </c>
      <c r="D2064" s="13" t="s">
        <v>14</v>
      </c>
      <c r="E2064" s="13" t="s">
        <v>70</v>
      </c>
      <c r="F2064" s="13">
        <v>2017.0</v>
      </c>
      <c r="G2064" s="13">
        <v>39067.0</v>
      </c>
      <c r="H2064" s="13">
        <v>2143.5</v>
      </c>
      <c r="I2064" s="13">
        <f>' car_sales_data 1'!$G2064*0.2</f>
        <v>7813.4</v>
      </c>
      <c r="J2064" s="13" t="str">
        <f>TEXT(' car_sales_data 1'!$A2064,"mmmm")</f>
        <v>October</v>
      </c>
      <c r="K2064" s="13" t="str">
        <f>IF(' car_sales_data 1'!$G2064&gt;40000,"Premium",
 IF(' car_sales_data 1'!$G2064&gt;=20000,"Mid Range","Budget"))</f>
        <v>Mid Range</v>
      </c>
      <c r="L2064" s="13">
        <f>YEAR(TODAY())-' car_sales_data 1'!$F2064</f>
        <v>8</v>
      </c>
    </row>
    <row r="2065" ht="15.75" customHeight="1">
      <c r="A2065" s="16">
        <v>44707.0</v>
      </c>
      <c r="B2065" s="13" t="s">
        <v>4055</v>
      </c>
      <c r="C2065" s="13" t="s">
        <v>4056</v>
      </c>
      <c r="D2065" s="13" t="s">
        <v>10</v>
      </c>
      <c r="E2065" s="13" t="s">
        <v>62</v>
      </c>
      <c r="F2065" s="13">
        <v>2011.0</v>
      </c>
      <c r="G2065" s="13">
        <v>29921.0</v>
      </c>
      <c r="H2065" s="13">
        <v>2203.99</v>
      </c>
      <c r="I2065" s="13">
        <f>' car_sales_data 1'!$G2065*0.2</f>
        <v>5984.2</v>
      </c>
      <c r="J2065" s="13" t="str">
        <f>TEXT(' car_sales_data 1'!$A2065,"mmmm")</f>
        <v>May</v>
      </c>
      <c r="K2065" s="13" t="str">
        <f>IF(' car_sales_data 1'!$G2065&gt;40000,"Premium",
 IF(' car_sales_data 1'!$G2065&gt;=20000,"Mid Range","Budget"))</f>
        <v>Mid Range</v>
      </c>
      <c r="L2065" s="13">
        <f>YEAR(TODAY())-' car_sales_data 1'!$F2065</f>
        <v>14</v>
      </c>
    </row>
    <row r="2066" ht="15.75" customHeight="1">
      <c r="A2066" s="16">
        <v>44990.0</v>
      </c>
      <c r="B2066" s="13" t="s">
        <v>4057</v>
      </c>
      <c r="C2066" s="13" t="s">
        <v>4058</v>
      </c>
      <c r="D2066" s="13" t="s">
        <v>10</v>
      </c>
      <c r="E2066" s="13" t="s">
        <v>62</v>
      </c>
      <c r="F2066" s="13">
        <v>2017.0</v>
      </c>
      <c r="G2066" s="13">
        <v>29644.0</v>
      </c>
      <c r="H2066" s="13">
        <v>2755.94</v>
      </c>
      <c r="I2066" s="13">
        <f>' car_sales_data 1'!$G2066*0.2</f>
        <v>5928.8</v>
      </c>
      <c r="J2066" s="13" t="str">
        <f>TEXT(' car_sales_data 1'!$A2066,"mmmm")</f>
        <v>March</v>
      </c>
      <c r="K2066" s="13" t="str">
        <f>IF(' car_sales_data 1'!$G2066&gt;40000,"Premium",
 IF(' car_sales_data 1'!$G2066&gt;=20000,"Mid Range","Budget"))</f>
        <v>Mid Range</v>
      </c>
      <c r="L2066" s="13">
        <f>YEAR(TODAY())-' car_sales_data 1'!$F2066</f>
        <v>8</v>
      </c>
    </row>
    <row r="2067" ht="15.75" customHeight="1">
      <c r="A2067" s="16">
        <v>44732.0</v>
      </c>
      <c r="B2067" s="13" t="s">
        <v>4059</v>
      </c>
      <c r="C2067" s="13" t="s">
        <v>4060</v>
      </c>
      <c r="D2067" s="13" t="s">
        <v>8</v>
      </c>
      <c r="E2067" s="13" t="s">
        <v>51</v>
      </c>
      <c r="F2067" s="13">
        <v>2015.0</v>
      </c>
      <c r="G2067" s="13">
        <v>46275.0</v>
      </c>
      <c r="H2067" s="13">
        <v>4475.01</v>
      </c>
      <c r="I2067" s="13">
        <f>' car_sales_data 1'!$G2067*0.2</f>
        <v>9255</v>
      </c>
      <c r="J2067" s="13" t="str">
        <f>TEXT(' car_sales_data 1'!$A2067,"mmmm")</f>
        <v>June</v>
      </c>
      <c r="K2067" s="13" t="str">
        <f>IF(' car_sales_data 1'!$G2067&gt;40000,"Premium",
 IF(' car_sales_data 1'!$G2067&gt;=20000,"Mid Range","Budget"))</f>
        <v>Premium</v>
      </c>
      <c r="L2067" s="13">
        <f>YEAR(TODAY())-' car_sales_data 1'!$F2067</f>
        <v>10</v>
      </c>
    </row>
    <row r="2068" ht="15.75" customHeight="1">
      <c r="A2068" s="16">
        <v>45038.0</v>
      </c>
      <c r="B2068" s="13" t="s">
        <v>4061</v>
      </c>
      <c r="C2068" s="13" t="s">
        <v>4062</v>
      </c>
      <c r="D2068" s="13" t="s">
        <v>6</v>
      </c>
      <c r="E2068" s="13" t="s">
        <v>70</v>
      </c>
      <c r="F2068" s="13">
        <v>2012.0</v>
      </c>
      <c r="G2068" s="13">
        <v>39545.0</v>
      </c>
      <c r="H2068" s="13">
        <v>5504.18</v>
      </c>
      <c r="I2068" s="13">
        <f>' car_sales_data 1'!$G2068*0.2</f>
        <v>7909</v>
      </c>
      <c r="J2068" s="13" t="str">
        <f>TEXT(' car_sales_data 1'!$A2068,"mmmm")</f>
        <v>April</v>
      </c>
      <c r="K2068" s="13" t="str">
        <f>IF(' car_sales_data 1'!$G2068&gt;40000,"Premium",
 IF(' car_sales_data 1'!$G2068&gt;=20000,"Mid Range","Budget"))</f>
        <v>Mid Range</v>
      </c>
      <c r="L2068" s="13">
        <f>YEAR(TODAY())-' car_sales_data 1'!$F2068</f>
        <v>13</v>
      </c>
    </row>
    <row r="2069" ht="15.75" customHeight="1">
      <c r="A2069" s="16">
        <v>44924.0</v>
      </c>
      <c r="B2069" s="13" t="s">
        <v>4063</v>
      </c>
      <c r="C2069" s="13" t="s">
        <v>4064</v>
      </c>
      <c r="D2069" s="13" t="s">
        <v>6</v>
      </c>
      <c r="E2069" s="13" t="s">
        <v>70</v>
      </c>
      <c r="F2069" s="13">
        <v>2018.0</v>
      </c>
      <c r="G2069" s="13">
        <v>25669.0</v>
      </c>
      <c r="H2069" s="13">
        <v>3012.29</v>
      </c>
      <c r="I2069" s="13">
        <f>' car_sales_data 1'!$G2069*0.2</f>
        <v>5133.8</v>
      </c>
      <c r="J2069" s="13" t="str">
        <f>TEXT(' car_sales_data 1'!$A2069,"mmmm")</f>
        <v>December</v>
      </c>
      <c r="K2069" s="13" t="str">
        <f>IF(' car_sales_data 1'!$G2069&gt;40000,"Premium",
 IF(' car_sales_data 1'!$G2069&gt;=20000,"Mid Range","Budget"))</f>
        <v>Mid Range</v>
      </c>
      <c r="L2069" s="13">
        <f>YEAR(TODAY())-' car_sales_data 1'!$F2069</f>
        <v>7</v>
      </c>
    </row>
    <row r="2070" ht="15.75" customHeight="1">
      <c r="A2070" s="16">
        <v>44887.0</v>
      </c>
      <c r="B2070" s="13" t="s">
        <v>4065</v>
      </c>
      <c r="C2070" s="13" t="s">
        <v>4066</v>
      </c>
      <c r="D2070" s="13" t="s">
        <v>12</v>
      </c>
      <c r="E2070" s="13" t="s">
        <v>51</v>
      </c>
      <c r="F2070" s="13">
        <v>2017.0</v>
      </c>
      <c r="G2070" s="13">
        <v>38039.0</v>
      </c>
      <c r="H2070" s="13">
        <v>2462.65</v>
      </c>
      <c r="I2070" s="13">
        <f>' car_sales_data 1'!$G2070*0.2</f>
        <v>7607.8</v>
      </c>
      <c r="J2070" s="13" t="str">
        <f>TEXT(' car_sales_data 1'!$A2070,"mmmm")</f>
        <v>November</v>
      </c>
      <c r="K2070" s="13" t="str">
        <f>IF(' car_sales_data 1'!$G2070&gt;40000,"Premium",
 IF(' car_sales_data 1'!$G2070&gt;=20000,"Mid Range","Budget"))</f>
        <v>Mid Range</v>
      </c>
      <c r="L2070" s="13">
        <f>YEAR(TODAY())-' car_sales_data 1'!$F2070</f>
        <v>8</v>
      </c>
    </row>
    <row r="2071" ht="15.75" customHeight="1">
      <c r="A2071" s="16">
        <v>44927.0</v>
      </c>
      <c r="B2071" s="13" t="s">
        <v>4067</v>
      </c>
      <c r="C2071" s="13" t="s">
        <v>4068</v>
      </c>
      <c r="D2071" s="13" t="s">
        <v>12</v>
      </c>
      <c r="E2071" s="13" t="s">
        <v>51</v>
      </c>
      <c r="F2071" s="13">
        <v>2015.0</v>
      </c>
      <c r="G2071" s="13">
        <v>25937.0</v>
      </c>
      <c r="H2071" s="13">
        <v>2378.85</v>
      </c>
      <c r="I2071" s="13">
        <f>' car_sales_data 1'!$G2071*0.2</f>
        <v>5187.4</v>
      </c>
      <c r="J2071" s="13" t="str">
        <f>TEXT(' car_sales_data 1'!$A2071,"mmmm")</f>
        <v>January</v>
      </c>
      <c r="K2071" s="13" t="str">
        <f>IF(' car_sales_data 1'!$G2071&gt;40000,"Premium",
 IF(' car_sales_data 1'!$G2071&gt;=20000,"Mid Range","Budget"))</f>
        <v>Mid Range</v>
      </c>
      <c r="L2071" s="13">
        <f>YEAR(TODAY())-' car_sales_data 1'!$F2071</f>
        <v>10</v>
      </c>
    </row>
    <row r="2072" ht="15.75" customHeight="1">
      <c r="A2072" s="16">
        <v>45013.0</v>
      </c>
      <c r="B2072" s="13" t="s">
        <v>4069</v>
      </c>
      <c r="C2072" s="13" t="s">
        <v>4070</v>
      </c>
      <c r="D2072" s="13" t="s">
        <v>14</v>
      </c>
      <c r="E2072" s="13" t="s">
        <v>57</v>
      </c>
      <c r="F2072" s="13">
        <v>2013.0</v>
      </c>
      <c r="G2072" s="13">
        <v>37222.0</v>
      </c>
      <c r="H2072" s="13">
        <v>2719.38</v>
      </c>
      <c r="I2072" s="13">
        <f>' car_sales_data 1'!$G2072*0.2</f>
        <v>7444.4</v>
      </c>
      <c r="J2072" s="13" t="str">
        <f>TEXT(' car_sales_data 1'!$A2072,"mmmm")</f>
        <v>March</v>
      </c>
      <c r="K2072" s="13" t="str">
        <f>IF(' car_sales_data 1'!$G2072&gt;40000,"Premium",
 IF(' car_sales_data 1'!$G2072&gt;=20000,"Mid Range","Budget"))</f>
        <v>Mid Range</v>
      </c>
      <c r="L2072" s="13">
        <f>YEAR(TODAY())-' car_sales_data 1'!$F2072</f>
        <v>12</v>
      </c>
    </row>
    <row r="2073" ht="15.75" customHeight="1">
      <c r="A2073" s="16">
        <v>44805.0</v>
      </c>
      <c r="B2073" s="13" t="s">
        <v>4071</v>
      </c>
      <c r="C2073" s="13" t="s">
        <v>4072</v>
      </c>
      <c r="D2073" s="13" t="s">
        <v>10</v>
      </c>
      <c r="E2073" s="13" t="s">
        <v>57</v>
      </c>
      <c r="F2073" s="13">
        <v>2010.0</v>
      </c>
      <c r="G2073" s="13">
        <v>11491.0</v>
      </c>
      <c r="H2073" s="13">
        <v>1404.81</v>
      </c>
      <c r="I2073" s="13">
        <f>' car_sales_data 1'!$G2073*0.2</f>
        <v>2298.2</v>
      </c>
      <c r="J2073" s="13" t="str">
        <f>TEXT(' car_sales_data 1'!$A2073,"mmmm")</f>
        <v>September</v>
      </c>
      <c r="K2073" s="13" t="str">
        <f>IF(' car_sales_data 1'!$G2073&gt;40000,"Premium",
 IF(' car_sales_data 1'!$G2073&gt;=20000,"Mid Range","Budget"))</f>
        <v>Budget</v>
      </c>
      <c r="L2073" s="13">
        <f>YEAR(TODAY())-' car_sales_data 1'!$F2073</f>
        <v>15</v>
      </c>
    </row>
    <row r="2074" ht="15.75" customHeight="1">
      <c r="A2074" s="16">
        <v>44740.0</v>
      </c>
      <c r="B2074" s="13" t="s">
        <v>4073</v>
      </c>
      <c r="C2074" s="13" t="s">
        <v>4074</v>
      </c>
      <c r="D2074" s="13" t="s">
        <v>12</v>
      </c>
      <c r="E2074" s="13" t="s">
        <v>62</v>
      </c>
      <c r="F2074" s="13">
        <v>2022.0</v>
      </c>
      <c r="G2074" s="13">
        <v>14939.0</v>
      </c>
      <c r="H2074" s="13">
        <v>2081.16</v>
      </c>
      <c r="I2074" s="13">
        <f>' car_sales_data 1'!$G2074*0.2</f>
        <v>2987.8</v>
      </c>
      <c r="J2074" s="13" t="str">
        <f>TEXT(' car_sales_data 1'!$A2074,"mmmm")</f>
        <v>June</v>
      </c>
      <c r="K2074" s="13" t="str">
        <f>IF(' car_sales_data 1'!$G2074&gt;40000,"Premium",
 IF(' car_sales_data 1'!$G2074&gt;=20000,"Mid Range","Budget"))</f>
        <v>Budget</v>
      </c>
      <c r="L2074" s="13">
        <f>YEAR(TODAY())-' car_sales_data 1'!$F2074</f>
        <v>3</v>
      </c>
    </row>
    <row r="2075" ht="15.75" customHeight="1">
      <c r="A2075" s="16">
        <v>44863.0</v>
      </c>
      <c r="B2075" s="13" t="s">
        <v>4075</v>
      </c>
      <c r="C2075" s="13" t="s">
        <v>4076</v>
      </c>
      <c r="D2075" s="13" t="s">
        <v>10</v>
      </c>
      <c r="E2075" s="13" t="s">
        <v>57</v>
      </c>
      <c r="F2075" s="13">
        <v>2014.0</v>
      </c>
      <c r="G2075" s="13">
        <v>34047.0</v>
      </c>
      <c r="H2075" s="13">
        <v>4334.36</v>
      </c>
      <c r="I2075" s="13">
        <f>' car_sales_data 1'!$G2075*0.2</f>
        <v>6809.4</v>
      </c>
      <c r="J2075" s="13" t="str">
        <f>TEXT(' car_sales_data 1'!$A2075,"mmmm")</f>
        <v>October</v>
      </c>
      <c r="K2075" s="13" t="str">
        <f>IF(' car_sales_data 1'!$G2075&gt;40000,"Premium",
 IF(' car_sales_data 1'!$G2075&gt;=20000,"Mid Range","Budget"))</f>
        <v>Mid Range</v>
      </c>
      <c r="L2075" s="13">
        <f>YEAR(TODAY())-' car_sales_data 1'!$F2075</f>
        <v>11</v>
      </c>
    </row>
    <row r="2076" ht="15.75" customHeight="1">
      <c r="A2076" s="16">
        <v>44901.0</v>
      </c>
      <c r="B2076" s="13" t="s">
        <v>4077</v>
      </c>
      <c r="C2076" s="13" t="s">
        <v>4078</v>
      </c>
      <c r="D2076" s="13" t="s">
        <v>6</v>
      </c>
      <c r="E2076" s="13" t="s">
        <v>70</v>
      </c>
      <c r="F2076" s="13">
        <v>2020.0</v>
      </c>
      <c r="G2076" s="13">
        <v>41951.0</v>
      </c>
      <c r="H2076" s="13">
        <v>5304.32</v>
      </c>
      <c r="I2076" s="13">
        <f>' car_sales_data 1'!$G2076*0.2</f>
        <v>8390.2</v>
      </c>
      <c r="J2076" s="13" t="str">
        <f>TEXT(' car_sales_data 1'!$A2076,"mmmm")</f>
        <v>December</v>
      </c>
      <c r="K2076" s="13" t="str">
        <f>IF(' car_sales_data 1'!$G2076&gt;40000,"Premium",
 IF(' car_sales_data 1'!$G2076&gt;=20000,"Mid Range","Budget"))</f>
        <v>Premium</v>
      </c>
      <c r="L2076" s="13">
        <f>YEAR(TODAY())-' car_sales_data 1'!$F2076</f>
        <v>5</v>
      </c>
    </row>
    <row r="2077" ht="15.75" customHeight="1">
      <c r="A2077" s="16">
        <v>44945.0</v>
      </c>
      <c r="B2077" s="13" t="s">
        <v>4079</v>
      </c>
      <c r="C2077" s="13" t="s">
        <v>4080</v>
      </c>
      <c r="D2077" s="13" t="s">
        <v>12</v>
      </c>
      <c r="E2077" s="13" t="s">
        <v>51</v>
      </c>
      <c r="F2077" s="13">
        <v>2013.0</v>
      </c>
      <c r="G2077" s="13">
        <v>10240.0</v>
      </c>
      <c r="H2077" s="13">
        <v>578.39</v>
      </c>
      <c r="I2077" s="13">
        <f>' car_sales_data 1'!$G2077*0.2</f>
        <v>2048</v>
      </c>
      <c r="J2077" s="13" t="str">
        <f>TEXT(' car_sales_data 1'!$A2077,"mmmm")</f>
        <v>January</v>
      </c>
      <c r="K2077" s="13" t="str">
        <f>IF(' car_sales_data 1'!$G2077&gt;40000,"Premium",
 IF(' car_sales_data 1'!$G2077&gt;=20000,"Mid Range","Budget"))</f>
        <v>Budget</v>
      </c>
      <c r="L2077" s="13">
        <f>YEAR(TODAY())-' car_sales_data 1'!$F2077</f>
        <v>12</v>
      </c>
    </row>
    <row r="2078" ht="15.75" customHeight="1">
      <c r="A2078" s="16">
        <v>44810.0</v>
      </c>
      <c r="B2078" s="13" t="s">
        <v>3673</v>
      </c>
      <c r="C2078" s="13" t="s">
        <v>4081</v>
      </c>
      <c r="D2078" s="13" t="s">
        <v>12</v>
      </c>
      <c r="E2078" s="13" t="s">
        <v>54</v>
      </c>
      <c r="F2078" s="13">
        <v>2020.0</v>
      </c>
      <c r="G2078" s="13">
        <v>19010.0</v>
      </c>
      <c r="H2078" s="13">
        <v>2160.64</v>
      </c>
      <c r="I2078" s="13">
        <f>' car_sales_data 1'!$G2078*0.2</f>
        <v>3802</v>
      </c>
      <c r="J2078" s="13" t="str">
        <f>TEXT(' car_sales_data 1'!$A2078,"mmmm")</f>
        <v>September</v>
      </c>
      <c r="K2078" s="13" t="str">
        <f>IF(' car_sales_data 1'!$G2078&gt;40000,"Premium",
 IF(' car_sales_data 1'!$G2078&gt;=20000,"Mid Range","Budget"))</f>
        <v>Budget</v>
      </c>
      <c r="L2078" s="13">
        <f>YEAR(TODAY())-' car_sales_data 1'!$F2078</f>
        <v>5</v>
      </c>
    </row>
    <row r="2079" ht="15.75" customHeight="1">
      <c r="A2079" s="16">
        <v>44815.0</v>
      </c>
      <c r="B2079" s="13" t="s">
        <v>4082</v>
      </c>
      <c r="C2079" s="13" t="s">
        <v>4083</v>
      </c>
      <c r="D2079" s="13" t="s">
        <v>8</v>
      </c>
      <c r="E2079" s="13" t="s">
        <v>51</v>
      </c>
      <c r="F2079" s="13">
        <v>2016.0</v>
      </c>
      <c r="G2079" s="13">
        <v>14274.0</v>
      </c>
      <c r="H2079" s="13">
        <v>1450.76</v>
      </c>
      <c r="I2079" s="13">
        <f>' car_sales_data 1'!$G2079*0.2</f>
        <v>2854.8</v>
      </c>
      <c r="J2079" s="13" t="str">
        <f>TEXT(' car_sales_data 1'!$A2079,"mmmm")</f>
        <v>September</v>
      </c>
      <c r="K2079" s="13" t="str">
        <f>IF(' car_sales_data 1'!$G2079&gt;40000,"Premium",
 IF(' car_sales_data 1'!$G2079&gt;=20000,"Mid Range","Budget"))</f>
        <v>Budget</v>
      </c>
      <c r="L2079" s="13">
        <f>YEAR(TODAY())-' car_sales_data 1'!$F2079</f>
        <v>9</v>
      </c>
    </row>
    <row r="2080" ht="15.75" customHeight="1">
      <c r="A2080" s="16">
        <v>45035.0</v>
      </c>
      <c r="B2080" s="13" t="s">
        <v>4084</v>
      </c>
      <c r="C2080" s="13" t="s">
        <v>2002</v>
      </c>
      <c r="D2080" s="13" t="s">
        <v>10</v>
      </c>
      <c r="E2080" s="13" t="s">
        <v>70</v>
      </c>
      <c r="F2080" s="13">
        <v>2017.0</v>
      </c>
      <c r="G2080" s="13">
        <v>22597.0</v>
      </c>
      <c r="H2080" s="13">
        <v>1671.87</v>
      </c>
      <c r="I2080" s="13">
        <f>' car_sales_data 1'!$G2080*0.2</f>
        <v>4519.4</v>
      </c>
      <c r="J2080" s="13" t="str">
        <f>TEXT(' car_sales_data 1'!$A2080,"mmmm")</f>
        <v>April</v>
      </c>
      <c r="K2080" s="13" t="str">
        <f>IF(' car_sales_data 1'!$G2080&gt;40000,"Premium",
 IF(' car_sales_data 1'!$G2080&gt;=20000,"Mid Range","Budget"))</f>
        <v>Mid Range</v>
      </c>
      <c r="L2080" s="13">
        <f>YEAR(TODAY())-' car_sales_data 1'!$F2080</f>
        <v>8</v>
      </c>
    </row>
    <row r="2081" ht="15.75" customHeight="1">
      <c r="A2081" s="16">
        <v>44911.0</v>
      </c>
      <c r="B2081" s="13" t="s">
        <v>4085</v>
      </c>
      <c r="C2081" s="13" t="s">
        <v>4086</v>
      </c>
      <c r="D2081" s="13" t="s">
        <v>10</v>
      </c>
      <c r="E2081" s="13" t="s">
        <v>70</v>
      </c>
      <c r="F2081" s="13">
        <v>2016.0</v>
      </c>
      <c r="G2081" s="13">
        <v>36494.0</v>
      </c>
      <c r="H2081" s="13">
        <v>3493.97</v>
      </c>
      <c r="I2081" s="13">
        <f>' car_sales_data 1'!$G2081*0.2</f>
        <v>7298.8</v>
      </c>
      <c r="J2081" s="13" t="str">
        <f>TEXT(' car_sales_data 1'!$A2081,"mmmm")</f>
        <v>December</v>
      </c>
      <c r="K2081" s="13" t="str">
        <f>IF(' car_sales_data 1'!$G2081&gt;40000,"Premium",
 IF(' car_sales_data 1'!$G2081&gt;=20000,"Mid Range","Budget"))</f>
        <v>Mid Range</v>
      </c>
      <c r="L2081" s="13">
        <f>YEAR(TODAY())-' car_sales_data 1'!$F2081</f>
        <v>9</v>
      </c>
    </row>
    <row r="2082" ht="15.75" customHeight="1">
      <c r="A2082" s="16">
        <v>44698.0</v>
      </c>
      <c r="B2082" s="13" t="s">
        <v>4087</v>
      </c>
      <c r="C2082" s="13" t="s">
        <v>534</v>
      </c>
      <c r="D2082" s="13" t="s">
        <v>12</v>
      </c>
      <c r="E2082" s="13" t="s">
        <v>62</v>
      </c>
      <c r="F2082" s="13">
        <v>2020.0</v>
      </c>
      <c r="G2082" s="13">
        <v>36744.0</v>
      </c>
      <c r="H2082" s="13">
        <v>4475.54</v>
      </c>
      <c r="I2082" s="13">
        <f>' car_sales_data 1'!$G2082*0.2</f>
        <v>7348.8</v>
      </c>
      <c r="J2082" s="13" t="str">
        <f>TEXT(' car_sales_data 1'!$A2082,"mmmm")</f>
        <v>May</v>
      </c>
      <c r="K2082" s="13" t="str">
        <f>IF(' car_sales_data 1'!$G2082&gt;40000,"Premium",
 IF(' car_sales_data 1'!$G2082&gt;=20000,"Mid Range","Budget"))</f>
        <v>Mid Range</v>
      </c>
      <c r="L2082" s="13">
        <f>YEAR(TODAY())-' car_sales_data 1'!$F2082</f>
        <v>5</v>
      </c>
    </row>
    <row r="2083" ht="15.75" customHeight="1">
      <c r="A2083" s="16">
        <v>45038.0</v>
      </c>
      <c r="B2083" s="13" t="s">
        <v>4088</v>
      </c>
      <c r="C2083" s="13" t="s">
        <v>4089</v>
      </c>
      <c r="D2083" s="13" t="s">
        <v>10</v>
      </c>
      <c r="E2083" s="13" t="s">
        <v>54</v>
      </c>
      <c r="F2083" s="13">
        <v>2012.0</v>
      </c>
      <c r="G2083" s="13">
        <v>31326.0</v>
      </c>
      <c r="H2083" s="13">
        <v>3264.07</v>
      </c>
      <c r="I2083" s="13">
        <f>' car_sales_data 1'!$G2083*0.2</f>
        <v>6265.2</v>
      </c>
      <c r="J2083" s="13" t="str">
        <f>TEXT(' car_sales_data 1'!$A2083,"mmmm")</f>
        <v>April</v>
      </c>
      <c r="K2083" s="13" t="str">
        <f>IF(' car_sales_data 1'!$G2083&gt;40000,"Premium",
 IF(' car_sales_data 1'!$G2083&gt;=20000,"Mid Range","Budget"))</f>
        <v>Mid Range</v>
      </c>
      <c r="L2083" s="13">
        <f>YEAR(TODAY())-' car_sales_data 1'!$F2083</f>
        <v>13</v>
      </c>
    </row>
    <row r="2084" ht="15.75" customHeight="1">
      <c r="A2084" s="16">
        <v>44880.0</v>
      </c>
      <c r="B2084" s="13" t="s">
        <v>4090</v>
      </c>
      <c r="C2084" s="13" t="s">
        <v>4091</v>
      </c>
      <c r="D2084" s="13" t="s">
        <v>12</v>
      </c>
      <c r="E2084" s="13" t="s">
        <v>54</v>
      </c>
      <c r="F2084" s="13">
        <v>2020.0</v>
      </c>
      <c r="G2084" s="13">
        <v>30953.0</v>
      </c>
      <c r="H2084" s="13">
        <v>3752.42</v>
      </c>
      <c r="I2084" s="13">
        <f>' car_sales_data 1'!$G2084*0.2</f>
        <v>6190.6</v>
      </c>
      <c r="J2084" s="13" t="str">
        <f>TEXT(' car_sales_data 1'!$A2084,"mmmm")</f>
        <v>November</v>
      </c>
      <c r="K2084" s="13" t="str">
        <f>IF(' car_sales_data 1'!$G2084&gt;40000,"Premium",
 IF(' car_sales_data 1'!$G2084&gt;=20000,"Mid Range","Budget"))</f>
        <v>Mid Range</v>
      </c>
      <c r="L2084" s="13">
        <f>YEAR(TODAY())-' car_sales_data 1'!$F2084</f>
        <v>5</v>
      </c>
    </row>
    <row r="2085" ht="15.75" customHeight="1">
      <c r="A2085" s="16">
        <v>45038.0</v>
      </c>
      <c r="B2085" s="13" t="s">
        <v>4092</v>
      </c>
      <c r="C2085" s="13" t="s">
        <v>4093</v>
      </c>
      <c r="D2085" s="13" t="s">
        <v>14</v>
      </c>
      <c r="E2085" s="13" t="s">
        <v>62</v>
      </c>
      <c r="F2085" s="13">
        <v>2012.0</v>
      </c>
      <c r="G2085" s="13">
        <v>30936.0</v>
      </c>
      <c r="H2085" s="13">
        <v>1706.14</v>
      </c>
      <c r="I2085" s="13">
        <f>' car_sales_data 1'!$G2085*0.2</f>
        <v>6187.2</v>
      </c>
      <c r="J2085" s="13" t="str">
        <f>TEXT(' car_sales_data 1'!$A2085,"mmmm")</f>
        <v>April</v>
      </c>
      <c r="K2085" s="13" t="str">
        <f>IF(' car_sales_data 1'!$G2085&gt;40000,"Premium",
 IF(' car_sales_data 1'!$G2085&gt;=20000,"Mid Range","Budget"))</f>
        <v>Mid Range</v>
      </c>
      <c r="L2085" s="13">
        <f>YEAR(TODAY())-' car_sales_data 1'!$F2085</f>
        <v>13</v>
      </c>
    </row>
    <row r="2086" ht="15.75" customHeight="1">
      <c r="A2086" s="16">
        <v>45040.0</v>
      </c>
      <c r="B2086" s="13" t="s">
        <v>4094</v>
      </c>
      <c r="C2086" s="13" t="s">
        <v>4095</v>
      </c>
      <c r="D2086" s="13" t="s">
        <v>10</v>
      </c>
      <c r="E2086" s="13" t="s">
        <v>70</v>
      </c>
      <c r="F2086" s="13">
        <v>2012.0</v>
      </c>
      <c r="G2086" s="13">
        <v>49914.0</v>
      </c>
      <c r="H2086" s="13">
        <v>6560.12</v>
      </c>
      <c r="I2086" s="13">
        <f>' car_sales_data 1'!$G2086*0.2</f>
        <v>9982.8</v>
      </c>
      <c r="J2086" s="13" t="str">
        <f>TEXT(' car_sales_data 1'!$A2086,"mmmm")</f>
        <v>April</v>
      </c>
      <c r="K2086" s="13" t="str">
        <f>IF(' car_sales_data 1'!$G2086&gt;40000,"Premium",
 IF(' car_sales_data 1'!$G2086&gt;=20000,"Mid Range","Budget"))</f>
        <v>Premium</v>
      </c>
      <c r="L2086" s="13">
        <f>YEAR(TODAY())-' car_sales_data 1'!$F2086</f>
        <v>13</v>
      </c>
    </row>
    <row r="2087" ht="15.75" customHeight="1">
      <c r="A2087" s="16">
        <v>44888.0</v>
      </c>
      <c r="B2087" s="13" t="s">
        <v>4096</v>
      </c>
      <c r="C2087" s="13" t="s">
        <v>4097</v>
      </c>
      <c r="D2087" s="13" t="s">
        <v>8</v>
      </c>
      <c r="E2087" s="13" t="s">
        <v>70</v>
      </c>
      <c r="F2087" s="13">
        <v>2019.0</v>
      </c>
      <c r="G2087" s="13">
        <v>23784.0</v>
      </c>
      <c r="H2087" s="13">
        <v>2681.57</v>
      </c>
      <c r="I2087" s="13">
        <f>' car_sales_data 1'!$G2087*0.2</f>
        <v>4756.8</v>
      </c>
      <c r="J2087" s="13" t="str">
        <f>TEXT(' car_sales_data 1'!$A2087,"mmmm")</f>
        <v>November</v>
      </c>
      <c r="K2087" s="13" t="str">
        <f>IF(' car_sales_data 1'!$G2087&gt;40000,"Premium",
 IF(' car_sales_data 1'!$G2087&gt;=20000,"Mid Range","Budget"))</f>
        <v>Mid Range</v>
      </c>
      <c r="L2087" s="13">
        <f>YEAR(TODAY())-' car_sales_data 1'!$F2087</f>
        <v>6</v>
      </c>
    </row>
    <row r="2088" ht="15.75" customHeight="1">
      <c r="A2088" s="16">
        <v>44838.0</v>
      </c>
      <c r="B2088" s="13" t="s">
        <v>4098</v>
      </c>
      <c r="C2088" s="13" t="s">
        <v>4099</v>
      </c>
      <c r="D2088" s="13" t="s">
        <v>12</v>
      </c>
      <c r="E2088" s="13" t="s">
        <v>51</v>
      </c>
      <c r="F2088" s="13">
        <v>2017.0</v>
      </c>
      <c r="G2088" s="13">
        <v>29576.0</v>
      </c>
      <c r="H2088" s="13">
        <v>2856.2</v>
      </c>
      <c r="I2088" s="13">
        <f>' car_sales_data 1'!$G2088*0.2</f>
        <v>5915.2</v>
      </c>
      <c r="J2088" s="13" t="str">
        <f>TEXT(' car_sales_data 1'!$A2088,"mmmm")</f>
        <v>October</v>
      </c>
      <c r="K2088" s="13" t="str">
        <f>IF(' car_sales_data 1'!$G2088&gt;40000,"Premium",
 IF(' car_sales_data 1'!$G2088&gt;=20000,"Mid Range","Budget"))</f>
        <v>Mid Range</v>
      </c>
      <c r="L2088" s="13">
        <f>YEAR(TODAY())-' car_sales_data 1'!$F2088</f>
        <v>8</v>
      </c>
    </row>
    <row r="2089" ht="15.75" customHeight="1">
      <c r="A2089" s="16">
        <v>44694.0</v>
      </c>
      <c r="B2089" s="13" t="s">
        <v>4100</v>
      </c>
      <c r="C2089" s="13" t="s">
        <v>4101</v>
      </c>
      <c r="D2089" s="13" t="s">
        <v>14</v>
      </c>
      <c r="E2089" s="13" t="s">
        <v>51</v>
      </c>
      <c r="F2089" s="13">
        <v>2011.0</v>
      </c>
      <c r="G2089" s="13">
        <v>25068.0</v>
      </c>
      <c r="H2089" s="13">
        <v>3055.35</v>
      </c>
      <c r="I2089" s="13">
        <f>' car_sales_data 1'!$G2089*0.2</f>
        <v>5013.6</v>
      </c>
      <c r="J2089" s="13" t="str">
        <f>TEXT(' car_sales_data 1'!$A2089,"mmmm")</f>
        <v>May</v>
      </c>
      <c r="K2089" s="13" t="str">
        <f>IF(' car_sales_data 1'!$G2089&gt;40000,"Premium",
 IF(' car_sales_data 1'!$G2089&gt;=20000,"Mid Range","Budget"))</f>
        <v>Mid Range</v>
      </c>
      <c r="L2089" s="13">
        <f>YEAR(TODAY())-' car_sales_data 1'!$F2089</f>
        <v>14</v>
      </c>
    </row>
    <row r="2090" ht="15.75" customHeight="1">
      <c r="A2090" s="16">
        <v>44714.0</v>
      </c>
      <c r="B2090" s="13" t="s">
        <v>4102</v>
      </c>
      <c r="C2090" s="13" t="s">
        <v>4103</v>
      </c>
      <c r="D2090" s="13" t="s">
        <v>6</v>
      </c>
      <c r="E2090" s="13" t="s">
        <v>54</v>
      </c>
      <c r="F2090" s="13">
        <v>2014.0</v>
      </c>
      <c r="G2090" s="13">
        <v>24254.0</v>
      </c>
      <c r="H2090" s="13">
        <v>2839.64</v>
      </c>
      <c r="I2090" s="13">
        <f>' car_sales_data 1'!$G2090*0.2</f>
        <v>4850.8</v>
      </c>
      <c r="J2090" s="13" t="str">
        <f>TEXT(' car_sales_data 1'!$A2090,"mmmm")</f>
        <v>June</v>
      </c>
      <c r="K2090" s="13" t="str">
        <f>IF(' car_sales_data 1'!$G2090&gt;40000,"Premium",
 IF(' car_sales_data 1'!$G2090&gt;=20000,"Mid Range","Budget"))</f>
        <v>Mid Range</v>
      </c>
      <c r="L2090" s="13">
        <f>YEAR(TODAY())-' car_sales_data 1'!$F2090</f>
        <v>11</v>
      </c>
    </row>
    <row r="2091" ht="15.75" customHeight="1">
      <c r="A2091" s="16">
        <v>44916.0</v>
      </c>
      <c r="B2091" s="13" t="s">
        <v>4104</v>
      </c>
      <c r="C2091" s="13" t="s">
        <v>4105</v>
      </c>
      <c r="D2091" s="13" t="s">
        <v>14</v>
      </c>
      <c r="E2091" s="13" t="s">
        <v>51</v>
      </c>
      <c r="F2091" s="13">
        <v>2010.0</v>
      </c>
      <c r="G2091" s="13">
        <v>26862.0</v>
      </c>
      <c r="H2091" s="13">
        <v>2815.88</v>
      </c>
      <c r="I2091" s="13">
        <f>' car_sales_data 1'!$G2091*0.2</f>
        <v>5372.4</v>
      </c>
      <c r="J2091" s="13" t="str">
        <f>TEXT(' car_sales_data 1'!$A2091,"mmmm")</f>
        <v>December</v>
      </c>
      <c r="K2091" s="13" t="str">
        <f>IF(' car_sales_data 1'!$G2091&gt;40000,"Premium",
 IF(' car_sales_data 1'!$G2091&gt;=20000,"Mid Range","Budget"))</f>
        <v>Mid Range</v>
      </c>
      <c r="L2091" s="13">
        <f>YEAR(TODAY())-' car_sales_data 1'!$F2091</f>
        <v>15</v>
      </c>
    </row>
    <row r="2092" ht="15.75" customHeight="1">
      <c r="A2092" s="16">
        <v>44760.0</v>
      </c>
      <c r="B2092" s="13" t="s">
        <v>4106</v>
      </c>
      <c r="C2092" s="13" t="s">
        <v>4107</v>
      </c>
      <c r="D2092" s="13" t="s">
        <v>8</v>
      </c>
      <c r="E2092" s="13" t="s">
        <v>51</v>
      </c>
      <c r="F2092" s="13">
        <v>2017.0</v>
      </c>
      <c r="G2092" s="13">
        <v>13115.0</v>
      </c>
      <c r="H2092" s="13">
        <v>865.51</v>
      </c>
      <c r="I2092" s="13">
        <f>' car_sales_data 1'!$G2092*0.2</f>
        <v>2623</v>
      </c>
      <c r="J2092" s="13" t="str">
        <f>TEXT(' car_sales_data 1'!$A2092,"mmmm")</f>
        <v>July</v>
      </c>
      <c r="K2092" s="13" t="str">
        <f>IF(' car_sales_data 1'!$G2092&gt;40000,"Premium",
 IF(' car_sales_data 1'!$G2092&gt;=20000,"Mid Range","Budget"))</f>
        <v>Budget</v>
      </c>
      <c r="L2092" s="13">
        <f>YEAR(TODAY())-' car_sales_data 1'!$F2092</f>
        <v>8</v>
      </c>
    </row>
    <row r="2093" ht="15.75" customHeight="1">
      <c r="A2093" s="16">
        <v>44701.0</v>
      </c>
      <c r="B2093" s="13" t="s">
        <v>4108</v>
      </c>
      <c r="C2093" s="13" t="s">
        <v>4109</v>
      </c>
      <c r="D2093" s="13" t="s">
        <v>14</v>
      </c>
      <c r="E2093" s="13" t="s">
        <v>70</v>
      </c>
      <c r="F2093" s="13">
        <v>2015.0</v>
      </c>
      <c r="G2093" s="13">
        <v>46714.0</v>
      </c>
      <c r="H2093" s="13">
        <v>6681.37</v>
      </c>
      <c r="I2093" s="13">
        <f>' car_sales_data 1'!$G2093*0.2</f>
        <v>9342.8</v>
      </c>
      <c r="J2093" s="13" t="str">
        <f>TEXT(' car_sales_data 1'!$A2093,"mmmm")</f>
        <v>May</v>
      </c>
      <c r="K2093" s="13" t="str">
        <f>IF(' car_sales_data 1'!$G2093&gt;40000,"Premium",
 IF(' car_sales_data 1'!$G2093&gt;=20000,"Mid Range","Budget"))</f>
        <v>Premium</v>
      </c>
      <c r="L2093" s="13">
        <f>YEAR(TODAY())-' car_sales_data 1'!$F2093</f>
        <v>10</v>
      </c>
    </row>
    <row r="2094" ht="15.75" customHeight="1">
      <c r="A2094" s="16">
        <v>44959.0</v>
      </c>
      <c r="B2094" s="13" t="s">
        <v>4110</v>
      </c>
      <c r="C2094" s="13" t="s">
        <v>4111</v>
      </c>
      <c r="D2094" s="13" t="s">
        <v>6</v>
      </c>
      <c r="E2094" s="13" t="s">
        <v>54</v>
      </c>
      <c r="F2094" s="13">
        <v>2022.0</v>
      </c>
      <c r="G2094" s="13">
        <v>36833.0</v>
      </c>
      <c r="H2094" s="13">
        <v>4295.36</v>
      </c>
      <c r="I2094" s="13">
        <f>' car_sales_data 1'!$G2094*0.2</f>
        <v>7366.6</v>
      </c>
      <c r="J2094" s="13" t="str">
        <f>TEXT(' car_sales_data 1'!$A2094,"mmmm")</f>
        <v>February</v>
      </c>
      <c r="K2094" s="13" t="str">
        <f>IF(' car_sales_data 1'!$G2094&gt;40000,"Premium",
 IF(' car_sales_data 1'!$G2094&gt;=20000,"Mid Range","Budget"))</f>
        <v>Mid Range</v>
      </c>
      <c r="L2094" s="13">
        <f>YEAR(TODAY())-' car_sales_data 1'!$F2094</f>
        <v>3</v>
      </c>
    </row>
    <row r="2095" ht="15.75" customHeight="1">
      <c r="A2095" s="16">
        <v>44958.0</v>
      </c>
      <c r="B2095" s="13" t="s">
        <v>4112</v>
      </c>
      <c r="C2095" s="13" t="s">
        <v>4113</v>
      </c>
      <c r="D2095" s="13" t="s">
        <v>12</v>
      </c>
      <c r="E2095" s="13" t="s">
        <v>57</v>
      </c>
      <c r="F2095" s="13">
        <v>2016.0</v>
      </c>
      <c r="G2095" s="13">
        <v>39577.0</v>
      </c>
      <c r="H2095" s="13">
        <v>5132.25</v>
      </c>
      <c r="I2095" s="13">
        <f>' car_sales_data 1'!$G2095*0.2</f>
        <v>7915.4</v>
      </c>
      <c r="J2095" s="13" t="str">
        <f>TEXT(' car_sales_data 1'!$A2095,"mmmm")</f>
        <v>February</v>
      </c>
      <c r="K2095" s="13" t="str">
        <f>IF(' car_sales_data 1'!$G2095&gt;40000,"Premium",
 IF(' car_sales_data 1'!$G2095&gt;=20000,"Mid Range","Budget"))</f>
        <v>Mid Range</v>
      </c>
      <c r="L2095" s="13">
        <f>YEAR(TODAY())-' car_sales_data 1'!$F2095</f>
        <v>9</v>
      </c>
    </row>
    <row r="2096" ht="15.75" customHeight="1">
      <c r="A2096" s="16">
        <v>44696.0</v>
      </c>
      <c r="B2096" s="13" t="s">
        <v>4114</v>
      </c>
      <c r="C2096" s="13" t="s">
        <v>4115</v>
      </c>
      <c r="D2096" s="13" t="s">
        <v>10</v>
      </c>
      <c r="E2096" s="13" t="s">
        <v>51</v>
      </c>
      <c r="F2096" s="13">
        <v>2016.0</v>
      </c>
      <c r="G2096" s="13">
        <v>39898.0</v>
      </c>
      <c r="H2096" s="13">
        <v>4821.28</v>
      </c>
      <c r="I2096" s="13">
        <f>' car_sales_data 1'!$G2096*0.2</f>
        <v>7979.6</v>
      </c>
      <c r="J2096" s="13" t="str">
        <f>TEXT(' car_sales_data 1'!$A2096,"mmmm")</f>
        <v>May</v>
      </c>
      <c r="K2096" s="13" t="str">
        <f>IF(' car_sales_data 1'!$G2096&gt;40000,"Premium",
 IF(' car_sales_data 1'!$G2096&gt;=20000,"Mid Range","Budget"))</f>
        <v>Mid Range</v>
      </c>
      <c r="L2096" s="13">
        <f>YEAR(TODAY())-' car_sales_data 1'!$F2096</f>
        <v>9</v>
      </c>
    </row>
    <row r="2097" ht="15.75" customHeight="1">
      <c r="A2097" s="16">
        <v>44823.0</v>
      </c>
      <c r="B2097" s="13" t="s">
        <v>4116</v>
      </c>
      <c r="C2097" s="13" t="s">
        <v>4117</v>
      </c>
      <c r="D2097" s="13" t="s">
        <v>10</v>
      </c>
      <c r="E2097" s="13" t="s">
        <v>57</v>
      </c>
      <c r="F2097" s="13">
        <v>2016.0</v>
      </c>
      <c r="G2097" s="13">
        <v>47329.0</v>
      </c>
      <c r="H2097" s="13">
        <v>5061.22</v>
      </c>
      <c r="I2097" s="13">
        <f>' car_sales_data 1'!$G2097*0.2</f>
        <v>9465.8</v>
      </c>
      <c r="J2097" s="13" t="str">
        <f>TEXT(' car_sales_data 1'!$A2097,"mmmm")</f>
        <v>September</v>
      </c>
      <c r="K2097" s="13" t="str">
        <f>IF(' car_sales_data 1'!$G2097&gt;40000,"Premium",
 IF(' car_sales_data 1'!$G2097&gt;=20000,"Mid Range","Budget"))</f>
        <v>Premium</v>
      </c>
      <c r="L2097" s="13">
        <f>YEAR(TODAY())-' car_sales_data 1'!$F2097</f>
        <v>9</v>
      </c>
    </row>
    <row r="2098" ht="15.75" customHeight="1">
      <c r="A2098" s="16">
        <v>45009.0</v>
      </c>
      <c r="B2098" s="13" t="s">
        <v>4118</v>
      </c>
      <c r="C2098" s="13" t="s">
        <v>4119</v>
      </c>
      <c r="D2098" s="13" t="s">
        <v>14</v>
      </c>
      <c r="E2098" s="13" t="s">
        <v>62</v>
      </c>
      <c r="F2098" s="13">
        <v>2019.0</v>
      </c>
      <c r="G2098" s="13">
        <v>20035.0</v>
      </c>
      <c r="H2098" s="13">
        <v>1040.34</v>
      </c>
      <c r="I2098" s="13">
        <f>' car_sales_data 1'!$G2098*0.2</f>
        <v>4007</v>
      </c>
      <c r="J2098" s="13" t="str">
        <f>TEXT(' car_sales_data 1'!$A2098,"mmmm")</f>
        <v>March</v>
      </c>
      <c r="K2098" s="13" t="str">
        <f>IF(' car_sales_data 1'!$G2098&gt;40000,"Premium",
 IF(' car_sales_data 1'!$G2098&gt;=20000,"Mid Range","Budget"))</f>
        <v>Mid Range</v>
      </c>
      <c r="L2098" s="13">
        <f>YEAR(TODAY())-' car_sales_data 1'!$F2098</f>
        <v>6</v>
      </c>
    </row>
    <row r="2099" ht="15.75" customHeight="1">
      <c r="A2099" s="16">
        <v>44909.0</v>
      </c>
      <c r="B2099" s="13" t="s">
        <v>4120</v>
      </c>
      <c r="C2099" s="13" t="s">
        <v>4121</v>
      </c>
      <c r="D2099" s="13" t="s">
        <v>8</v>
      </c>
      <c r="E2099" s="13" t="s">
        <v>70</v>
      </c>
      <c r="F2099" s="13">
        <v>2012.0</v>
      </c>
      <c r="G2099" s="13">
        <v>34134.0</v>
      </c>
      <c r="H2099" s="13">
        <v>3875.08</v>
      </c>
      <c r="I2099" s="13">
        <f>' car_sales_data 1'!$G2099*0.2</f>
        <v>6826.8</v>
      </c>
      <c r="J2099" s="13" t="str">
        <f>TEXT(' car_sales_data 1'!$A2099,"mmmm")</f>
        <v>December</v>
      </c>
      <c r="K2099" s="13" t="str">
        <f>IF(' car_sales_data 1'!$G2099&gt;40000,"Premium",
 IF(' car_sales_data 1'!$G2099&gt;=20000,"Mid Range","Budget"))</f>
        <v>Mid Range</v>
      </c>
      <c r="L2099" s="13">
        <f>YEAR(TODAY())-' car_sales_data 1'!$F2099</f>
        <v>13</v>
      </c>
    </row>
    <row r="2100" ht="15.75" customHeight="1">
      <c r="A2100" s="16">
        <v>44822.0</v>
      </c>
      <c r="B2100" s="13" t="s">
        <v>4122</v>
      </c>
      <c r="C2100" s="13" t="s">
        <v>96</v>
      </c>
      <c r="D2100" s="13" t="s">
        <v>12</v>
      </c>
      <c r="E2100" s="13" t="s">
        <v>57</v>
      </c>
      <c r="F2100" s="13">
        <v>2019.0</v>
      </c>
      <c r="G2100" s="13">
        <v>14459.0</v>
      </c>
      <c r="H2100" s="13">
        <v>1907.89</v>
      </c>
      <c r="I2100" s="13">
        <f>' car_sales_data 1'!$G2100*0.2</f>
        <v>2891.8</v>
      </c>
      <c r="J2100" s="13" t="str">
        <f>TEXT(' car_sales_data 1'!$A2100,"mmmm")</f>
        <v>September</v>
      </c>
      <c r="K2100" s="13" t="str">
        <f>IF(' car_sales_data 1'!$G2100&gt;40000,"Premium",
 IF(' car_sales_data 1'!$G2100&gt;=20000,"Mid Range","Budget"))</f>
        <v>Budget</v>
      </c>
      <c r="L2100" s="13">
        <f>YEAR(TODAY())-' car_sales_data 1'!$F2100</f>
        <v>6</v>
      </c>
    </row>
    <row r="2101" ht="15.75" customHeight="1">
      <c r="A2101" s="16">
        <v>44777.0</v>
      </c>
      <c r="B2101" s="13" t="s">
        <v>4123</v>
      </c>
      <c r="C2101" s="13" t="s">
        <v>4124</v>
      </c>
      <c r="D2101" s="13" t="s">
        <v>12</v>
      </c>
      <c r="E2101" s="13" t="s">
        <v>70</v>
      </c>
      <c r="F2101" s="13">
        <v>2017.0</v>
      </c>
      <c r="G2101" s="13">
        <v>23927.0</v>
      </c>
      <c r="H2101" s="13">
        <v>2083.16</v>
      </c>
      <c r="I2101" s="13">
        <f>' car_sales_data 1'!$G2101*0.2</f>
        <v>4785.4</v>
      </c>
      <c r="J2101" s="13" t="str">
        <f>TEXT(' car_sales_data 1'!$A2101,"mmmm")</f>
        <v>August</v>
      </c>
      <c r="K2101" s="13" t="str">
        <f>IF(' car_sales_data 1'!$G2101&gt;40000,"Premium",
 IF(' car_sales_data 1'!$G2101&gt;=20000,"Mid Range","Budget"))</f>
        <v>Mid Range</v>
      </c>
      <c r="L2101" s="13">
        <f>YEAR(TODAY())-' car_sales_data 1'!$F2101</f>
        <v>8</v>
      </c>
    </row>
    <row r="2102" ht="15.75" customHeight="1">
      <c r="A2102" s="16">
        <v>44910.0</v>
      </c>
      <c r="B2102" s="13" t="s">
        <v>3259</v>
      </c>
      <c r="C2102" s="13" t="s">
        <v>4125</v>
      </c>
      <c r="D2102" s="13" t="s">
        <v>6</v>
      </c>
      <c r="E2102" s="13" t="s">
        <v>54</v>
      </c>
      <c r="F2102" s="13">
        <v>2020.0</v>
      </c>
      <c r="G2102" s="13">
        <v>14505.0</v>
      </c>
      <c r="H2102" s="13">
        <v>1027.52</v>
      </c>
      <c r="I2102" s="13">
        <f>' car_sales_data 1'!$G2102*0.2</f>
        <v>2901</v>
      </c>
      <c r="J2102" s="13" t="str">
        <f>TEXT(' car_sales_data 1'!$A2102,"mmmm")</f>
        <v>December</v>
      </c>
      <c r="K2102" s="13" t="str">
        <f>IF(' car_sales_data 1'!$G2102&gt;40000,"Premium",
 IF(' car_sales_data 1'!$G2102&gt;=20000,"Mid Range","Budget"))</f>
        <v>Budget</v>
      </c>
      <c r="L2102" s="13">
        <f>YEAR(TODAY())-' car_sales_data 1'!$F2102</f>
        <v>5</v>
      </c>
    </row>
    <row r="2103" ht="15.75" customHeight="1">
      <c r="A2103" s="16">
        <v>44803.0</v>
      </c>
      <c r="B2103" s="13" t="s">
        <v>3785</v>
      </c>
      <c r="C2103" s="13" t="s">
        <v>4126</v>
      </c>
      <c r="D2103" s="13" t="s">
        <v>8</v>
      </c>
      <c r="E2103" s="13" t="s">
        <v>54</v>
      </c>
      <c r="F2103" s="13">
        <v>2018.0</v>
      </c>
      <c r="G2103" s="13">
        <v>35415.0</v>
      </c>
      <c r="H2103" s="13">
        <v>3716.93</v>
      </c>
      <c r="I2103" s="13">
        <f>' car_sales_data 1'!$G2103*0.2</f>
        <v>7083</v>
      </c>
      <c r="J2103" s="13" t="str">
        <f>TEXT(' car_sales_data 1'!$A2103,"mmmm")</f>
        <v>August</v>
      </c>
      <c r="K2103" s="13" t="str">
        <f>IF(' car_sales_data 1'!$G2103&gt;40000,"Premium",
 IF(' car_sales_data 1'!$G2103&gt;=20000,"Mid Range","Budget"))</f>
        <v>Mid Range</v>
      </c>
      <c r="L2103" s="13">
        <f>YEAR(TODAY())-' car_sales_data 1'!$F2103</f>
        <v>7</v>
      </c>
    </row>
    <row r="2104" ht="15.75" customHeight="1">
      <c r="A2104" s="16">
        <v>45022.0</v>
      </c>
      <c r="B2104" s="13" t="s">
        <v>4127</v>
      </c>
      <c r="C2104" s="13" t="s">
        <v>4128</v>
      </c>
      <c r="D2104" s="13" t="s">
        <v>14</v>
      </c>
      <c r="E2104" s="13" t="s">
        <v>51</v>
      </c>
      <c r="F2104" s="13">
        <v>2021.0</v>
      </c>
      <c r="G2104" s="13">
        <v>13131.0</v>
      </c>
      <c r="H2104" s="13">
        <v>1114.26</v>
      </c>
      <c r="I2104" s="13">
        <f>' car_sales_data 1'!$G2104*0.2</f>
        <v>2626.2</v>
      </c>
      <c r="J2104" s="13" t="str">
        <f>TEXT(' car_sales_data 1'!$A2104,"mmmm")</f>
        <v>April</v>
      </c>
      <c r="K2104" s="13" t="str">
        <f>IF(' car_sales_data 1'!$G2104&gt;40000,"Premium",
 IF(' car_sales_data 1'!$G2104&gt;=20000,"Mid Range","Budget"))</f>
        <v>Budget</v>
      </c>
      <c r="L2104" s="13">
        <f>YEAR(TODAY())-' car_sales_data 1'!$F2104</f>
        <v>4</v>
      </c>
    </row>
    <row r="2105" ht="15.75" customHeight="1">
      <c r="A2105" s="16">
        <v>45014.0</v>
      </c>
      <c r="B2105" s="13" t="s">
        <v>4129</v>
      </c>
      <c r="C2105" s="13" t="s">
        <v>4130</v>
      </c>
      <c r="D2105" s="13" t="s">
        <v>10</v>
      </c>
      <c r="E2105" s="13" t="s">
        <v>62</v>
      </c>
      <c r="F2105" s="13">
        <v>2016.0</v>
      </c>
      <c r="G2105" s="13">
        <v>26616.0</v>
      </c>
      <c r="H2105" s="13">
        <v>1557.82</v>
      </c>
      <c r="I2105" s="13">
        <f>' car_sales_data 1'!$G2105*0.2</f>
        <v>5323.2</v>
      </c>
      <c r="J2105" s="13" t="str">
        <f>TEXT(' car_sales_data 1'!$A2105,"mmmm")</f>
        <v>March</v>
      </c>
      <c r="K2105" s="13" t="str">
        <f>IF(' car_sales_data 1'!$G2105&gt;40000,"Premium",
 IF(' car_sales_data 1'!$G2105&gt;=20000,"Mid Range","Budget"))</f>
        <v>Mid Range</v>
      </c>
      <c r="L2105" s="13">
        <f>YEAR(TODAY())-' car_sales_data 1'!$F2105</f>
        <v>9</v>
      </c>
    </row>
    <row r="2106" ht="15.75" customHeight="1">
      <c r="A2106" s="16">
        <v>44682.0</v>
      </c>
      <c r="B2106" s="13" t="s">
        <v>4131</v>
      </c>
      <c r="C2106" s="13" t="s">
        <v>4132</v>
      </c>
      <c r="D2106" s="13" t="s">
        <v>14</v>
      </c>
      <c r="E2106" s="13" t="s">
        <v>51</v>
      </c>
      <c r="F2106" s="13">
        <v>2015.0</v>
      </c>
      <c r="G2106" s="13">
        <v>26771.0</v>
      </c>
      <c r="H2106" s="13">
        <v>2148.82</v>
      </c>
      <c r="I2106" s="13">
        <f>' car_sales_data 1'!$G2106*0.2</f>
        <v>5354.2</v>
      </c>
      <c r="J2106" s="13" t="str">
        <f>TEXT(' car_sales_data 1'!$A2106,"mmmm")</f>
        <v>May</v>
      </c>
      <c r="K2106" s="13" t="str">
        <f>IF(' car_sales_data 1'!$G2106&gt;40000,"Premium",
 IF(' car_sales_data 1'!$G2106&gt;=20000,"Mid Range","Budget"))</f>
        <v>Mid Range</v>
      </c>
      <c r="L2106" s="13">
        <f>YEAR(TODAY())-' car_sales_data 1'!$F2106</f>
        <v>10</v>
      </c>
    </row>
    <row r="2107" ht="15.75" customHeight="1">
      <c r="A2107" s="16">
        <v>44802.0</v>
      </c>
      <c r="B2107" s="13" t="s">
        <v>4133</v>
      </c>
      <c r="C2107" s="13" t="s">
        <v>4134</v>
      </c>
      <c r="D2107" s="13" t="s">
        <v>8</v>
      </c>
      <c r="E2107" s="13" t="s">
        <v>57</v>
      </c>
      <c r="F2107" s="13">
        <v>2016.0</v>
      </c>
      <c r="G2107" s="13">
        <v>37579.0</v>
      </c>
      <c r="H2107" s="13">
        <v>3386.86</v>
      </c>
      <c r="I2107" s="13">
        <f>' car_sales_data 1'!$G2107*0.2</f>
        <v>7515.8</v>
      </c>
      <c r="J2107" s="13" t="str">
        <f>TEXT(' car_sales_data 1'!$A2107,"mmmm")</f>
        <v>August</v>
      </c>
      <c r="K2107" s="13" t="str">
        <f>IF(' car_sales_data 1'!$G2107&gt;40000,"Premium",
 IF(' car_sales_data 1'!$G2107&gt;=20000,"Mid Range","Budget"))</f>
        <v>Mid Range</v>
      </c>
      <c r="L2107" s="13">
        <f>YEAR(TODAY())-' car_sales_data 1'!$F2107</f>
        <v>9</v>
      </c>
    </row>
    <row r="2108" ht="15.75" customHeight="1">
      <c r="A2108" s="16">
        <v>44994.0</v>
      </c>
      <c r="B2108" s="13" t="s">
        <v>4135</v>
      </c>
      <c r="C2108" s="13" t="s">
        <v>4136</v>
      </c>
      <c r="D2108" s="13" t="s">
        <v>6</v>
      </c>
      <c r="E2108" s="13" t="s">
        <v>51</v>
      </c>
      <c r="F2108" s="13">
        <v>2021.0</v>
      </c>
      <c r="G2108" s="13">
        <v>12379.0</v>
      </c>
      <c r="H2108" s="13">
        <v>1483.98</v>
      </c>
      <c r="I2108" s="13">
        <f>' car_sales_data 1'!$G2108*0.2</f>
        <v>2475.8</v>
      </c>
      <c r="J2108" s="13" t="str">
        <f>TEXT(' car_sales_data 1'!$A2108,"mmmm")</f>
        <v>March</v>
      </c>
      <c r="K2108" s="13" t="str">
        <f>IF(' car_sales_data 1'!$G2108&gt;40000,"Premium",
 IF(' car_sales_data 1'!$G2108&gt;=20000,"Mid Range","Budget"))</f>
        <v>Budget</v>
      </c>
      <c r="L2108" s="13">
        <f>YEAR(TODAY())-' car_sales_data 1'!$F2108</f>
        <v>4</v>
      </c>
    </row>
    <row r="2109" ht="15.75" customHeight="1">
      <c r="A2109" s="16">
        <v>44911.0</v>
      </c>
      <c r="B2109" s="13" t="s">
        <v>4137</v>
      </c>
      <c r="C2109" s="13" t="s">
        <v>4138</v>
      </c>
      <c r="D2109" s="13" t="s">
        <v>12</v>
      </c>
      <c r="E2109" s="13" t="s">
        <v>54</v>
      </c>
      <c r="F2109" s="13">
        <v>2014.0</v>
      </c>
      <c r="G2109" s="13">
        <v>40053.0</v>
      </c>
      <c r="H2109" s="13">
        <v>4325.48</v>
      </c>
      <c r="I2109" s="13">
        <f>' car_sales_data 1'!$G2109*0.2</f>
        <v>8010.6</v>
      </c>
      <c r="J2109" s="13" t="str">
        <f>TEXT(' car_sales_data 1'!$A2109,"mmmm")</f>
        <v>December</v>
      </c>
      <c r="K2109" s="13" t="str">
        <f>IF(' car_sales_data 1'!$G2109&gt;40000,"Premium",
 IF(' car_sales_data 1'!$G2109&gt;=20000,"Mid Range","Budget"))</f>
        <v>Premium</v>
      </c>
      <c r="L2109" s="13">
        <f>YEAR(TODAY())-' car_sales_data 1'!$F2109</f>
        <v>11</v>
      </c>
    </row>
    <row r="2110" ht="15.75" customHeight="1">
      <c r="A2110" s="16">
        <v>44875.0</v>
      </c>
      <c r="B2110" s="13" t="s">
        <v>971</v>
      </c>
      <c r="C2110" s="13" t="s">
        <v>4139</v>
      </c>
      <c r="D2110" s="13" t="s">
        <v>8</v>
      </c>
      <c r="E2110" s="13" t="s">
        <v>57</v>
      </c>
      <c r="F2110" s="13">
        <v>2010.0</v>
      </c>
      <c r="G2110" s="13">
        <v>21304.0</v>
      </c>
      <c r="H2110" s="13">
        <v>1810.12</v>
      </c>
      <c r="I2110" s="13">
        <f>' car_sales_data 1'!$G2110*0.2</f>
        <v>4260.8</v>
      </c>
      <c r="J2110" s="13" t="str">
        <f>TEXT(' car_sales_data 1'!$A2110,"mmmm")</f>
        <v>November</v>
      </c>
      <c r="K2110" s="13" t="str">
        <f>IF(' car_sales_data 1'!$G2110&gt;40000,"Premium",
 IF(' car_sales_data 1'!$G2110&gt;=20000,"Mid Range","Budget"))</f>
        <v>Mid Range</v>
      </c>
      <c r="L2110" s="13">
        <f>YEAR(TODAY())-' car_sales_data 1'!$F2110</f>
        <v>15</v>
      </c>
    </row>
    <row r="2111" ht="15.75" customHeight="1">
      <c r="A2111" s="16">
        <v>44796.0</v>
      </c>
      <c r="B2111" s="13" t="s">
        <v>2635</v>
      </c>
      <c r="C2111" s="13" t="s">
        <v>4140</v>
      </c>
      <c r="D2111" s="13" t="s">
        <v>14</v>
      </c>
      <c r="E2111" s="13" t="s">
        <v>57</v>
      </c>
      <c r="F2111" s="13">
        <v>2015.0</v>
      </c>
      <c r="G2111" s="13">
        <v>13852.0</v>
      </c>
      <c r="H2111" s="13">
        <v>1325.79</v>
      </c>
      <c r="I2111" s="13">
        <f>' car_sales_data 1'!$G2111*0.2</f>
        <v>2770.4</v>
      </c>
      <c r="J2111" s="13" t="str">
        <f>TEXT(' car_sales_data 1'!$A2111,"mmmm")</f>
        <v>August</v>
      </c>
      <c r="K2111" s="13" t="str">
        <f>IF(' car_sales_data 1'!$G2111&gt;40000,"Premium",
 IF(' car_sales_data 1'!$G2111&gt;=20000,"Mid Range","Budget"))</f>
        <v>Budget</v>
      </c>
      <c r="L2111" s="13">
        <f>YEAR(TODAY())-' car_sales_data 1'!$F2111</f>
        <v>10</v>
      </c>
    </row>
    <row r="2112" ht="15.75" customHeight="1">
      <c r="A2112" s="16">
        <v>44962.0</v>
      </c>
      <c r="B2112" s="13" t="s">
        <v>4141</v>
      </c>
      <c r="C2112" s="13" t="s">
        <v>4142</v>
      </c>
      <c r="D2112" s="13" t="s">
        <v>14</v>
      </c>
      <c r="E2112" s="13" t="s">
        <v>57</v>
      </c>
      <c r="F2112" s="13">
        <v>2022.0</v>
      </c>
      <c r="G2112" s="13">
        <v>40687.0</v>
      </c>
      <c r="H2112" s="13">
        <v>4550.61</v>
      </c>
      <c r="I2112" s="13">
        <f>' car_sales_data 1'!$G2112*0.2</f>
        <v>8137.4</v>
      </c>
      <c r="J2112" s="13" t="str">
        <f>TEXT(' car_sales_data 1'!$A2112,"mmmm")</f>
        <v>February</v>
      </c>
      <c r="K2112" s="13" t="str">
        <f>IF(' car_sales_data 1'!$G2112&gt;40000,"Premium",
 IF(' car_sales_data 1'!$G2112&gt;=20000,"Mid Range","Budget"))</f>
        <v>Premium</v>
      </c>
      <c r="L2112" s="13">
        <f>YEAR(TODAY())-' car_sales_data 1'!$F2112</f>
        <v>3</v>
      </c>
    </row>
    <row r="2113" ht="15.75" customHeight="1">
      <c r="A2113" s="16">
        <v>44966.0</v>
      </c>
      <c r="B2113" s="13" t="s">
        <v>4143</v>
      </c>
      <c r="C2113" s="13" t="s">
        <v>4144</v>
      </c>
      <c r="D2113" s="13" t="s">
        <v>6</v>
      </c>
      <c r="E2113" s="13" t="s">
        <v>54</v>
      </c>
      <c r="F2113" s="13">
        <v>2020.0</v>
      </c>
      <c r="G2113" s="13">
        <v>11704.0</v>
      </c>
      <c r="H2113" s="13">
        <v>889.14</v>
      </c>
      <c r="I2113" s="13">
        <f>' car_sales_data 1'!$G2113*0.2</f>
        <v>2340.8</v>
      </c>
      <c r="J2113" s="13" t="str">
        <f>TEXT(' car_sales_data 1'!$A2113,"mmmm")</f>
        <v>February</v>
      </c>
      <c r="K2113" s="13" t="str">
        <f>IF(' car_sales_data 1'!$G2113&gt;40000,"Premium",
 IF(' car_sales_data 1'!$G2113&gt;=20000,"Mid Range","Budget"))</f>
        <v>Budget</v>
      </c>
      <c r="L2113" s="13">
        <f>YEAR(TODAY())-' car_sales_data 1'!$F2113</f>
        <v>5</v>
      </c>
    </row>
    <row r="2114" ht="15.75" customHeight="1">
      <c r="A2114" s="16">
        <v>45032.0</v>
      </c>
      <c r="B2114" s="13" t="s">
        <v>4145</v>
      </c>
      <c r="C2114" s="13" t="s">
        <v>4146</v>
      </c>
      <c r="D2114" s="13" t="s">
        <v>6</v>
      </c>
      <c r="E2114" s="13" t="s">
        <v>51</v>
      </c>
      <c r="F2114" s="13">
        <v>2015.0</v>
      </c>
      <c r="G2114" s="13">
        <v>40315.0</v>
      </c>
      <c r="H2114" s="13">
        <v>5750.66</v>
      </c>
      <c r="I2114" s="13">
        <f>' car_sales_data 1'!$G2114*0.2</f>
        <v>8063</v>
      </c>
      <c r="J2114" s="13" t="str">
        <f>TEXT(' car_sales_data 1'!$A2114,"mmmm")</f>
        <v>April</v>
      </c>
      <c r="K2114" s="13" t="str">
        <f>IF(' car_sales_data 1'!$G2114&gt;40000,"Premium",
 IF(' car_sales_data 1'!$G2114&gt;=20000,"Mid Range","Budget"))</f>
        <v>Premium</v>
      </c>
      <c r="L2114" s="13">
        <f>YEAR(TODAY())-' car_sales_data 1'!$F2114</f>
        <v>10</v>
      </c>
    </row>
    <row r="2115" ht="15.75" customHeight="1">
      <c r="A2115" s="16">
        <v>44817.0</v>
      </c>
      <c r="B2115" s="13" t="s">
        <v>4147</v>
      </c>
      <c r="C2115" s="13" t="s">
        <v>4148</v>
      </c>
      <c r="D2115" s="13" t="s">
        <v>10</v>
      </c>
      <c r="E2115" s="13" t="s">
        <v>70</v>
      </c>
      <c r="F2115" s="13">
        <v>2013.0</v>
      </c>
      <c r="G2115" s="13">
        <v>44815.0</v>
      </c>
      <c r="H2115" s="13">
        <v>3997.36</v>
      </c>
      <c r="I2115" s="13">
        <f>' car_sales_data 1'!$G2115*0.2</f>
        <v>8963</v>
      </c>
      <c r="J2115" s="13" t="str">
        <f>TEXT(' car_sales_data 1'!$A2115,"mmmm")</f>
        <v>September</v>
      </c>
      <c r="K2115" s="13" t="str">
        <f>IF(' car_sales_data 1'!$G2115&gt;40000,"Premium",
 IF(' car_sales_data 1'!$G2115&gt;=20000,"Mid Range","Budget"))</f>
        <v>Premium</v>
      </c>
      <c r="L2115" s="13">
        <f>YEAR(TODAY())-' car_sales_data 1'!$F2115</f>
        <v>12</v>
      </c>
    </row>
    <row r="2116" ht="15.75" customHeight="1">
      <c r="A2116" s="16">
        <v>44793.0</v>
      </c>
      <c r="B2116" s="13" t="s">
        <v>4149</v>
      </c>
      <c r="C2116" s="13" t="s">
        <v>4150</v>
      </c>
      <c r="D2116" s="13" t="s">
        <v>14</v>
      </c>
      <c r="E2116" s="13" t="s">
        <v>57</v>
      </c>
      <c r="F2116" s="13">
        <v>2020.0</v>
      </c>
      <c r="G2116" s="13">
        <v>37440.0</v>
      </c>
      <c r="H2116" s="13">
        <v>4518.19</v>
      </c>
      <c r="I2116" s="13">
        <f>' car_sales_data 1'!$G2116*0.2</f>
        <v>7488</v>
      </c>
      <c r="J2116" s="13" t="str">
        <f>TEXT(' car_sales_data 1'!$A2116,"mmmm")</f>
        <v>August</v>
      </c>
      <c r="K2116" s="13" t="str">
        <f>IF(' car_sales_data 1'!$G2116&gt;40000,"Premium",
 IF(' car_sales_data 1'!$G2116&gt;=20000,"Mid Range","Budget"))</f>
        <v>Mid Range</v>
      </c>
      <c r="L2116" s="13">
        <f>YEAR(TODAY())-' car_sales_data 1'!$F2116</f>
        <v>5</v>
      </c>
    </row>
    <row r="2117" ht="15.75" customHeight="1">
      <c r="A2117" s="16">
        <v>44902.0</v>
      </c>
      <c r="B2117" s="13" t="s">
        <v>4151</v>
      </c>
      <c r="C2117" s="13" t="s">
        <v>4152</v>
      </c>
      <c r="D2117" s="13" t="s">
        <v>14</v>
      </c>
      <c r="E2117" s="13" t="s">
        <v>57</v>
      </c>
      <c r="F2117" s="13">
        <v>2015.0</v>
      </c>
      <c r="G2117" s="13">
        <v>34491.0</v>
      </c>
      <c r="H2117" s="13">
        <v>2668.34</v>
      </c>
      <c r="I2117" s="13">
        <f>' car_sales_data 1'!$G2117*0.2</f>
        <v>6898.2</v>
      </c>
      <c r="J2117" s="13" t="str">
        <f>TEXT(' car_sales_data 1'!$A2117,"mmmm")</f>
        <v>December</v>
      </c>
      <c r="K2117" s="13" t="str">
        <f>IF(' car_sales_data 1'!$G2117&gt;40000,"Premium",
 IF(' car_sales_data 1'!$G2117&gt;=20000,"Mid Range","Budget"))</f>
        <v>Mid Range</v>
      </c>
      <c r="L2117" s="13">
        <f>YEAR(TODAY())-' car_sales_data 1'!$F2117</f>
        <v>10</v>
      </c>
    </row>
    <row r="2118" ht="15.75" customHeight="1">
      <c r="A2118" s="16">
        <v>44949.0</v>
      </c>
      <c r="B2118" s="13" t="s">
        <v>4153</v>
      </c>
      <c r="C2118" s="13" t="s">
        <v>4154</v>
      </c>
      <c r="D2118" s="13" t="s">
        <v>10</v>
      </c>
      <c r="E2118" s="13" t="s">
        <v>62</v>
      </c>
      <c r="F2118" s="13">
        <v>2014.0</v>
      </c>
      <c r="G2118" s="13">
        <v>16351.0</v>
      </c>
      <c r="H2118" s="13">
        <v>1630.52</v>
      </c>
      <c r="I2118" s="13">
        <f>' car_sales_data 1'!$G2118*0.2</f>
        <v>3270.2</v>
      </c>
      <c r="J2118" s="13" t="str">
        <f>TEXT(' car_sales_data 1'!$A2118,"mmmm")</f>
        <v>January</v>
      </c>
      <c r="K2118" s="13" t="str">
        <f>IF(' car_sales_data 1'!$G2118&gt;40000,"Premium",
 IF(' car_sales_data 1'!$G2118&gt;=20000,"Mid Range","Budget"))</f>
        <v>Budget</v>
      </c>
      <c r="L2118" s="13">
        <f>YEAR(TODAY())-' car_sales_data 1'!$F2118</f>
        <v>11</v>
      </c>
    </row>
    <row r="2119" ht="15.75" customHeight="1">
      <c r="A2119" s="16">
        <v>44799.0</v>
      </c>
      <c r="B2119" s="13" t="s">
        <v>4155</v>
      </c>
      <c r="C2119" s="13" t="s">
        <v>4156</v>
      </c>
      <c r="D2119" s="13" t="s">
        <v>8</v>
      </c>
      <c r="E2119" s="13" t="s">
        <v>70</v>
      </c>
      <c r="F2119" s="13">
        <v>2022.0</v>
      </c>
      <c r="G2119" s="13">
        <v>22237.0</v>
      </c>
      <c r="H2119" s="13">
        <v>2910.63</v>
      </c>
      <c r="I2119" s="13">
        <f>' car_sales_data 1'!$G2119*0.2</f>
        <v>4447.4</v>
      </c>
      <c r="J2119" s="13" t="str">
        <f>TEXT(' car_sales_data 1'!$A2119,"mmmm")</f>
        <v>August</v>
      </c>
      <c r="K2119" s="13" t="str">
        <f>IF(' car_sales_data 1'!$G2119&gt;40000,"Premium",
 IF(' car_sales_data 1'!$G2119&gt;=20000,"Mid Range","Budget"))</f>
        <v>Mid Range</v>
      </c>
      <c r="L2119" s="13">
        <f>YEAR(TODAY())-' car_sales_data 1'!$F2119</f>
        <v>3</v>
      </c>
    </row>
    <row r="2120" ht="15.75" customHeight="1">
      <c r="A2120" s="16">
        <v>44786.0</v>
      </c>
      <c r="B2120" s="13" t="s">
        <v>4157</v>
      </c>
      <c r="C2120" s="13" t="s">
        <v>4158</v>
      </c>
      <c r="D2120" s="13" t="s">
        <v>12</v>
      </c>
      <c r="E2120" s="13" t="s">
        <v>70</v>
      </c>
      <c r="F2120" s="13">
        <v>2022.0</v>
      </c>
      <c r="G2120" s="13">
        <v>18298.0</v>
      </c>
      <c r="H2120" s="13">
        <v>1797.37</v>
      </c>
      <c r="I2120" s="13">
        <f>' car_sales_data 1'!$G2120*0.2</f>
        <v>3659.6</v>
      </c>
      <c r="J2120" s="13" t="str">
        <f>TEXT(' car_sales_data 1'!$A2120,"mmmm")</f>
        <v>August</v>
      </c>
      <c r="K2120" s="13" t="str">
        <f>IF(' car_sales_data 1'!$G2120&gt;40000,"Premium",
 IF(' car_sales_data 1'!$G2120&gt;=20000,"Mid Range","Budget"))</f>
        <v>Budget</v>
      </c>
      <c r="L2120" s="13">
        <f>YEAR(TODAY())-' car_sales_data 1'!$F2120</f>
        <v>3</v>
      </c>
    </row>
    <row r="2121" ht="15.75" customHeight="1">
      <c r="A2121" s="16">
        <v>44758.0</v>
      </c>
      <c r="B2121" s="13" t="s">
        <v>4159</v>
      </c>
      <c r="C2121" s="13" t="s">
        <v>4160</v>
      </c>
      <c r="D2121" s="13" t="s">
        <v>8</v>
      </c>
      <c r="E2121" s="13" t="s">
        <v>70</v>
      </c>
      <c r="F2121" s="13">
        <v>2020.0</v>
      </c>
      <c r="G2121" s="13">
        <v>34540.0</v>
      </c>
      <c r="H2121" s="13">
        <v>3513.54</v>
      </c>
      <c r="I2121" s="13">
        <f>' car_sales_data 1'!$G2121*0.2</f>
        <v>6908</v>
      </c>
      <c r="J2121" s="13" t="str">
        <f>TEXT(' car_sales_data 1'!$A2121,"mmmm")</f>
        <v>July</v>
      </c>
      <c r="K2121" s="13" t="str">
        <f>IF(' car_sales_data 1'!$G2121&gt;40000,"Premium",
 IF(' car_sales_data 1'!$G2121&gt;=20000,"Mid Range","Budget"))</f>
        <v>Mid Range</v>
      </c>
      <c r="L2121" s="13">
        <f>YEAR(TODAY())-' car_sales_data 1'!$F2121</f>
        <v>5</v>
      </c>
    </row>
    <row r="2122" ht="15.75" customHeight="1">
      <c r="A2122" s="16">
        <v>44773.0</v>
      </c>
      <c r="B2122" s="13" t="s">
        <v>4161</v>
      </c>
      <c r="C2122" s="13" t="s">
        <v>4162</v>
      </c>
      <c r="D2122" s="13" t="s">
        <v>6</v>
      </c>
      <c r="E2122" s="13" t="s">
        <v>54</v>
      </c>
      <c r="F2122" s="13">
        <v>2016.0</v>
      </c>
      <c r="G2122" s="13">
        <v>46917.0</v>
      </c>
      <c r="H2122" s="13">
        <v>3500.33</v>
      </c>
      <c r="I2122" s="13">
        <f>' car_sales_data 1'!$G2122*0.2</f>
        <v>9383.4</v>
      </c>
      <c r="J2122" s="13" t="str">
        <f>TEXT(' car_sales_data 1'!$A2122,"mmmm")</f>
        <v>July</v>
      </c>
      <c r="K2122" s="13" t="str">
        <f>IF(' car_sales_data 1'!$G2122&gt;40000,"Premium",
 IF(' car_sales_data 1'!$G2122&gt;=20000,"Mid Range","Budget"))</f>
        <v>Premium</v>
      </c>
      <c r="L2122" s="13">
        <f>YEAR(TODAY())-' car_sales_data 1'!$F2122</f>
        <v>9</v>
      </c>
    </row>
    <row r="2123" ht="15.75" customHeight="1">
      <c r="A2123" s="16">
        <v>44785.0</v>
      </c>
      <c r="B2123" s="13" t="s">
        <v>4163</v>
      </c>
      <c r="C2123" s="13" t="s">
        <v>4164</v>
      </c>
      <c r="D2123" s="13" t="s">
        <v>10</v>
      </c>
      <c r="E2123" s="13" t="s">
        <v>70</v>
      </c>
      <c r="F2123" s="13">
        <v>2017.0</v>
      </c>
      <c r="G2123" s="13">
        <v>43690.0</v>
      </c>
      <c r="H2123" s="13">
        <v>4974.75</v>
      </c>
      <c r="I2123" s="13">
        <f>' car_sales_data 1'!$G2123*0.2</f>
        <v>8738</v>
      </c>
      <c r="J2123" s="13" t="str">
        <f>TEXT(' car_sales_data 1'!$A2123,"mmmm")</f>
        <v>August</v>
      </c>
      <c r="K2123" s="13" t="str">
        <f>IF(' car_sales_data 1'!$G2123&gt;40000,"Premium",
 IF(' car_sales_data 1'!$G2123&gt;=20000,"Mid Range","Budget"))</f>
        <v>Premium</v>
      </c>
      <c r="L2123" s="13">
        <f>YEAR(TODAY())-' car_sales_data 1'!$F2123</f>
        <v>8</v>
      </c>
    </row>
    <row r="2124" ht="15.75" customHeight="1">
      <c r="A2124" s="16">
        <v>44715.0</v>
      </c>
      <c r="B2124" s="13" t="s">
        <v>4165</v>
      </c>
      <c r="C2124" s="13" t="s">
        <v>4166</v>
      </c>
      <c r="D2124" s="13" t="s">
        <v>14</v>
      </c>
      <c r="E2124" s="13" t="s">
        <v>70</v>
      </c>
      <c r="F2124" s="13">
        <v>2021.0</v>
      </c>
      <c r="G2124" s="13">
        <v>31703.0</v>
      </c>
      <c r="H2124" s="13">
        <v>3162.46</v>
      </c>
      <c r="I2124" s="13">
        <f>' car_sales_data 1'!$G2124*0.2</f>
        <v>6340.6</v>
      </c>
      <c r="J2124" s="13" t="str">
        <f>TEXT(' car_sales_data 1'!$A2124,"mmmm")</f>
        <v>June</v>
      </c>
      <c r="K2124" s="13" t="str">
        <f>IF(' car_sales_data 1'!$G2124&gt;40000,"Premium",
 IF(' car_sales_data 1'!$G2124&gt;=20000,"Mid Range","Budget"))</f>
        <v>Mid Range</v>
      </c>
      <c r="L2124" s="13">
        <f>YEAR(TODAY())-' car_sales_data 1'!$F2124</f>
        <v>4</v>
      </c>
    </row>
    <row r="2125" ht="15.75" customHeight="1">
      <c r="A2125" s="16">
        <v>44718.0</v>
      </c>
      <c r="B2125" s="13" t="s">
        <v>4167</v>
      </c>
      <c r="C2125" s="13" t="s">
        <v>4168</v>
      </c>
      <c r="D2125" s="13" t="s">
        <v>8</v>
      </c>
      <c r="E2125" s="13" t="s">
        <v>70</v>
      </c>
      <c r="F2125" s="13">
        <v>2014.0</v>
      </c>
      <c r="G2125" s="13">
        <v>18509.0</v>
      </c>
      <c r="H2125" s="13">
        <v>1241.16</v>
      </c>
      <c r="I2125" s="13">
        <f>' car_sales_data 1'!$G2125*0.2</f>
        <v>3701.8</v>
      </c>
      <c r="J2125" s="13" t="str">
        <f>TEXT(' car_sales_data 1'!$A2125,"mmmm")</f>
        <v>June</v>
      </c>
      <c r="K2125" s="13" t="str">
        <f>IF(' car_sales_data 1'!$G2125&gt;40000,"Premium",
 IF(' car_sales_data 1'!$G2125&gt;=20000,"Mid Range","Budget"))</f>
        <v>Budget</v>
      </c>
      <c r="L2125" s="13">
        <f>YEAR(TODAY())-' car_sales_data 1'!$F2125</f>
        <v>11</v>
      </c>
    </row>
    <row r="2126" ht="15.75" customHeight="1">
      <c r="A2126" s="16">
        <v>44978.0</v>
      </c>
      <c r="B2126" s="13" t="s">
        <v>4169</v>
      </c>
      <c r="C2126" s="13" t="s">
        <v>4170</v>
      </c>
      <c r="D2126" s="13" t="s">
        <v>14</v>
      </c>
      <c r="E2126" s="13" t="s">
        <v>51</v>
      </c>
      <c r="F2126" s="13">
        <v>2014.0</v>
      </c>
      <c r="G2126" s="13">
        <v>36514.0</v>
      </c>
      <c r="H2126" s="13">
        <v>3038.37</v>
      </c>
      <c r="I2126" s="13">
        <f>' car_sales_data 1'!$G2126*0.2</f>
        <v>7302.8</v>
      </c>
      <c r="J2126" s="13" t="str">
        <f>TEXT(' car_sales_data 1'!$A2126,"mmmm")</f>
        <v>February</v>
      </c>
      <c r="K2126" s="13" t="str">
        <f>IF(' car_sales_data 1'!$G2126&gt;40000,"Premium",
 IF(' car_sales_data 1'!$G2126&gt;=20000,"Mid Range","Budget"))</f>
        <v>Mid Range</v>
      </c>
      <c r="L2126" s="13">
        <f>YEAR(TODAY())-' car_sales_data 1'!$F2126</f>
        <v>11</v>
      </c>
    </row>
    <row r="2127" ht="15.75" customHeight="1">
      <c r="A2127" s="16">
        <v>44937.0</v>
      </c>
      <c r="B2127" s="13" t="s">
        <v>4171</v>
      </c>
      <c r="C2127" s="13" t="s">
        <v>4172</v>
      </c>
      <c r="D2127" s="13" t="s">
        <v>6</v>
      </c>
      <c r="E2127" s="13" t="s">
        <v>57</v>
      </c>
      <c r="F2127" s="13">
        <v>2015.0</v>
      </c>
      <c r="G2127" s="13">
        <v>46685.0</v>
      </c>
      <c r="H2127" s="13">
        <v>6359.61</v>
      </c>
      <c r="I2127" s="13">
        <f>' car_sales_data 1'!$G2127*0.2</f>
        <v>9337</v>
      </c>
      <c r="J2127" s="13" t="str">
        <f>TEXT(' car_sales_data 1'!$A2127,"mmmm")</f>
        <v>January</v>
      </c>
      <c r="K2127" s="13" t="str">
        <f>IF(' car_sales_data 1'!$G2127&gt;40000,"Premium",
 IF(' car_sales_data 1'!$G2127&gt;=20000,"Mid Range","Budget"))</f>
        <v>Premium</v>
      </c>
      <c r="L2127" s="13">
        <f>YEAR(TODAY())-' car_sales_data 1'!$F2127</f>
        <v>10</v>
      </c>
    </row>
    <row r="2128" ht="15.75" customHeight="1">
      <c r="A2128" s="16">
        <v>44902.0</v>
      </c>
      <c r="B2128" s="13" t="s">
        <v>4173</v>
      </c>
      <c r="C2128" s="13" t="s">
        <v>4174</v>
      </c>
      <c r="D2128" s="13" t="s">
        <v>8</v>
      </c>
      <c r="E2128" s="13" t="s">
        <v>54</v>
      </c>
      <c r="F2128" s="13">
        <v>2020.0</v>
      </c>
      <c r="G2128" s="13">
        <v>27647.0</v>
      </c>
      <c r="H2128" s="13">
        <v>2287.47</v>
      </c>
      <c r="I2128" s="13">
        <f>' car_sales_data 1'!$G2128*0.2</f>
        <v>5529.4</v>
      </c>
      <c r="J2128" s="13" t="str">
        <f>TEXT(' car_sales_data 1'!$A2128,"mmmm")</f>
        <v>December</v>
      </c>
      <c r="K2128" s="13" t="str">
        <f>IF(' car_sales_data 1'!$G2128&gt;40000,"Premium",
 IF(' car_sales_data 1'!$G2128&gt;=20000,"Mid Range","Budget"))</f>
        <v>Mid Range</v>
      </c>
      <c r="L2128" s="13">
        <f>YEAR(TODAY())-' car_sales_data 1'!$F2128</f>
        <v>5</v>
      </c>
    </row>
    <row r="2129" ht="15.75" customHeight="1">
      <c r="A2129" s="16">
        <v>44887.0</v>
      </c>
      <c r="B2129" s="13" t="s">
        <v>4175</v>
      </c>
      <c r="C2129" s="13" t="s">
        <v>4176</v>
      </c>
      <c r="D2129" s="13" t="s">
        <v>10</v>
      </c>
      <c r="E2129" s="13" t="s">
        <v>51</v>
      </c>
      <c r="F2129" s="13">
        <v>2022.0</v>
      </c>
      <c r="G2129" s="13">
        <v>43579.0</v>
      </c>
      <c r="H2129" s="13">
        <v>6314.5</v>
      </c>
      <c r="I2129" s="13">
        <f>' car_sales_data 1'!$G2129*0.2</f>
        <v>8715.8</v>
      </c>
      <c r="J2129" s="13" t="str">
        <f>TEXT(' car_sales_data 1'!$A2129,"mmmm")</f>
        <v>November</v>
      </c>
      <c r="K2129" s="13" t="str">
        <f>IF(' car_sales_data 1'!$G2129&gt;40000,"Premium",
 IF(' car_sales_data 1'!$G2129&gt;=20000,"Mid Range","Budget"))</f>
        <v>Premium</v>
      </c>
      <c r="L2129" s="13">
        <f>YEAR(TODAY())-' car_sales_data 1'!$F2129</f>
        <v>3</v>
      </c>
    </row>
    <row r="2130" ht="15.75" customHeight="1">
      <c r="A2130" s="16">
        <v>44951.0</v>
      </c>
      <c r="B2130" s="13" t="s">
        <v>4177</v>
      </c>
      <c r="C2130" s="13" t="s">
        <v>4178</v>
      </c>
      <c r="D2130" s="13" t="s">
        <v>14</v>
      </c>
      <c r="E2130" s="13" t="s">
        <v>51</v>
      </c>
      <c r="F2130" s="13">
        <v>2018.0</v>
      </c>
      <c r="G2130" s="13">
        <v>28680.0</v>
      </c>
      <c r="H2130" s="13">
        <v>4170.86</v>
      </c>
      <c r="I2130" s="13">
        <f>' car_sales_data 1'!$G2130*0.2</f>
        <v>5736</v>
      </c>
      <c r="J2130" s="13" t="str">
        <f>TEXT(' car_sales_data 1'!$A2130,"mmmm")</f>
        <v>January</v>
      </c>
      <c r="K2130" s="13" t="str">
        <f>IF(' car_sales_data 1'!$G2130&gt;40000,"Premium",
 IF(' car_sales_data 1'!$G2130&gt;=20000,"Mid Range","Budget"))</f>
        <v>Mid Range</v>
      </c>
      <c r="L2130" s="13">
        <f>YEAR(TODAY())-' car_sales_data 1'!$F2130</f>
        <v>7</v>
      </c>
    </row>
    <row r="2131" ht="15.75" customHeight="1">
      <c r="A2131" s="16">
        <v>44998.0</v>
      </c>
      <c r="B2131" s="13" t="s">
        <v>4179</v>
      </c>
      <c r="C2131" s="13" t="s">
        <v>2535</v>
      </c>
      <c r="D2131" s="13" t="s">
        <v>10</v>
      </c>
      <c r="E2131" s="13" t="s">
        <v>54</v>
      </c>
      <c r="F2131" s="13">
        <v>2011.0</v>
      </c>
      <c r="G2131" s="13">
        <v>12695.0</v>
      </c>
      <c r="H2131" s="13">
        <v>1847.77</v>
      </c>
      <c r="I2131" s="13">
        <f>' car_sales_data 1'!$G2131*0.2</f>
        <v>2539</v>
      </c>
      <c r="J2131" s="13" t="str">
        <f>TEXT(' car_sales_data 1'!$A2131,"mmmm")</f>
        <v>March</v>
      </c>
      <c r="K2131" s="13" t="str">
        <f>IF(' car_sales_data 1'!$G2131&gt;40000,"Premium",
 IF(' car_sales_data 1'!$G2131&gt;=20000,"Mid Range","Budget"))</f>
        <v>Budget</v>
      </c>
      <c r="L2131" s="13">
        <f>YEAR(TODAY())-' car_sales_data 1'!$F2131</f>
        <v>14</v>
      </c>
    </row>
    <row r="2132" ht="15.75" customHeight="1">
      <c r="A2132" s="16">
        <v>45007.0</v>
      </c>
      <c r="B2132" s="13" t="s">
        <v>4180</v>
      </c>
      <c r="C2132" s="13" t="s">
        <v>4181</v>
      </c>
      <c r="D2132" s="13" t="s">
        <v>10</v>
      </c>
      <c r="E2132" s="13" t="s">
        <v>70</v>
      </c>
      <c r="F2132" s="13">
        <v>2016.0</v>
      </c>
      <c r="G2132" s="13">
        <v>10054.0</v>
      </c>
      <c r="H2132" s="13">
        <v>1098.22</v>
      </c>
      <c r="I2132" s="13">
        <f>' car_sales_data 1'!$G2132*0.2</f>
        <v>2010.8</v>
      </c>
      <c r="J2132" s="13" t="str">
        <f>TEXT(' car_sales_data 1'!$A2132,"mmmm")</f>
        <v>March</v>
      </c>
      <c r="K2132" s="13" t="str">
        <f>IF(' car_sales_data 1'!$G2132&gt;40000,"Premium",
 IF(' car_sales_data 1'!$G2132&gt;=20000,"Mid Range","Budget"))</f>
        <v>Budget</v>
      </c>
      <c r="L2132" s="13">
        <f>YEAR(TODAY())-' car_sales_data 1'!$F2132</f>
        <v>9</v>
      </c>
    </row>
    <row r="2133" ht="15.75" customHeight="1">
      <c r="A2133" s="16">
        <v>44889.0</v>
      </c>
      <c r="B2133" s="13" t="s">
        <v>4182</v>
      </c>
      <c r="C2133" s="13" t="s">
        <v>4183</v>
      </c>
      <c r="D2133" s="13" t="s">
        <v>12</v>
      </c>
      <c r="E2133" s="13" t="s">
        <v>54</v>
      </c>
      <c r="F2133" s="13">
        <v>2014.0</v>
      </c>
      <c r="G2133" s="13">
        <v>30887.0</v>
      </c>
      <c r="H2133" s="13">
        <v>2004.5</v>
      </c>
      <c r="I2133" s="13">
        <f>' car_sales_data 1'!$G2133*0.2</f>
        <v>6177.4</v>
      </c>
      <c r="J2133" s="13" t="str">
        <f>TEXT(' car_sales_data 1'!$A2133,"mmmm")</f>
        <v>November</v>
      </c>
      <c r="K2133" s="13" t="str">
        <f>IF(' car_sales_data 1'!$G2133&gt;40000,"Premium",
 IF(' car_sales_data 1'!$G2133&gt;=20000,"Mid Range","Budget"))</f>
        <v>Mid Range</v>
      </c>
      <c r="L2133" s="13">
        <f>YEAR(TODAY())-' car_sales_data 1'!$F2133</f>
        <v>11</v>
      </c>
    </row>
    <row r="2134" ht="15.75" customHeight="1">
      <c r="A2134" s="16">
        <v>45023.0</v>
      </c>
      <c r="B2134" s="13" t="s">
        <v>4184</v>
      </c>
      <c r="C2134" s="13" t="s">
        <v>4185</v>
      </c>
      <c r="D2134" s="13" t="s">
        <v>8</v>
      </c>
      <c r="E2134" s="13" t="s">
        <v>70</v>
      </c>
      <c r="F2134" s="13">
        <v>2018.0</v>
      </c>
      <c r="G2134" s="13">
        <v>33772.0</v>
      </c>
      <c r="H2134" s="13">
        <v>3431.24</v>
      </c>
      <c r="I2134" s="13">
        <f>' car_sales_data 1'!$G2134*0.2</f>
        <v>6754.4</v>
      </c>
      <c r="J2134" s="13" t="str">
        <f>TEXT(' car_sales_data 1'!$A2134,"mmmm")</f>
        <v>April</v>
      </c>
      <c r="K2134" s="13" t="str">
        <f>IF(' car_sales_data 1'!$G2134&gt;40000,"Premium",
 IF(' car_sales_data 1'!$G2134&gt;=20000,"Mid Range","Budget"))</f>
        <v>Mid Range</v>
      </c>
      <c r="L2134" s="13">
        <f>YEAR(TODAY())-' car_sales_data 1'!$F2134</f>
        <v>7</v>
      </c>
    </row>
    <row r="2135" ht="15.75" customHeight="1">
      <c r="A2135" s="16">
        <v>44989.0</v>
      </c>
      <c r="B2135" s="13" t="s">
        <v>4186</v>
      </c>
      <c r="C2135" s="13" t="s">
        <v>4187</v>
      </c>
      <c r="D2135" s="13" t="s">
        <v>8</v>
      </c>
      <c r="E2135" s="13" t="s">
        <v>57</v>
      </c>
      <c r="F2135" s="13">
        <v>2017.0</v>
      </c>
      <c r="G2135" s="13">
        <v>44278.0</v>
      </c>
      <c r="H2135" s="13">
        <v>6086.32</v>
      </c>
      <c r="I2135" s="13">
        <f>' car_sales_data 1'!$G2135*0.2</f>
        <v>8855.6</v>
      </c>
      <c r="J2135" s="13" t="str">
        <f>TEXT(' car_sales_data 1'!$A2135,"mmmm")</f>
        <v>March</v>
      </c>
      <c r="K2135" s="13" t="str">
        <f>IF(' car_sales_data 1'!$G2135&gt;40000,"Premium",
 IF(' car_sales_data 1'!$G2135&gt;=20000,"Mid Range","Budget"))</f>
        <v>Premium</v>
      </c>
      <c r="L2135" s="13">
        <f>YEAR(TODAY())-' car_sales_data 1'!$F2135</f>
        <v>8</v>
      </c>
    </row>
    <row r="2136" ht="15.75" customHeight="1">
      <c r="A2136" s="16">
        <v>44735.0</v>
      </c>
      <c r="B2136" s="13" t="s">
        <v>4188</v>
      </c>
      <c r="C2136" s="13" t="s">
        <v>4189</v>
      </c>
      <c r="D2136" s="13" t="s">
        <v>12</v>
      </c>
      <c r="E2136" s="13" t="s">
        <v>70</v>
      </c>
      <c r="F2136" s="13">
        <v>2020.0</v>
      </c>
      <c r="G2136" s="13">
        <v>22427.0</v>
      </c>
      <c r="H2136" s="13">
        <v>2109.75</v>
      </c>
      <c r="I2136" s="13">
        <f>' car_sales_data 1'!$G2136*0.2</f>
        <v>4485.4</v>
      </c>
      <c r="J2136" s="13" t="str">
        <f>TEXT(' car_sales_data 1'!$A2136,"mmmm")</f>
        <v>June</v>
      </c>
      <c r="K2136" s="13" t="str">
        <f>IF(' car_sales_data 1'!$G2136&gt;40000,"Premium",
 IF(' car_sales_data 1'!$G2136&gt;=20000,"Mid Range","Budget"))</f>
        <v>Mid Range</v>
      </c>
      <c r="L2136" s="13">
        <f>YEAR(TODAY())-' car_sales_data 1'!$F2136</f>
        <v>5</v>
      </c>
    </row>
    <row r="2137" ht="15.75" customHeight="1">
      <c r="A2137" s="16">
        <v>44843.0</v>
      </c>
      <c r="B2137" s="13" t="s">
        <v>4190</v>
      </c>
      <c r="C2137" s="13" t="s">
        <v>4191</v>
      </c>
      <c r="D2137" s="13" t="s">
        <v>14</v>
      </c>
      <c r="E2137" s="13" t="s">
        <v>51</v>
      </c>
      <c r="F2137" s="13">
        <v>2010.0</v>
      </c>
      <c r="G2137" s="13">
        <v>10111.0</v>
      </c>
      <c r="H2137" s="13">
        <v>659.98</v>
      </c>
      <c r="I2137" s="13">
        <f>' car_sales_data 1'!$G2137*0.2</f>
        <v>2022.2</v>
      </c>
      <c r="J2137" s="13" t="str">
        <f>TEXT(' car_sales_data 1'!$A2137,"mmmm")</f>
        <v>October</v>
      </c>
      <c r="K2137" s="13" t="str">
        <f>IF(' car_sales_data 1'!$G2137&gt;40000,"Premium",
 IF(' car_sales_data 1'!$G2137&gt;=20000,"Mid Range","Budget"))</f>
        <v>Budget</v>
      </c>
      <c r="L2137" s="13">
        <f>YEAR(TODAY())-' car_sales_data 1'!$F2137</f>
        <v>15</v>
      </c>
    </row>
    <row r="2138" ht="15.75" customHeight="1">
      <c r="A2138" s="16">
        <v>44775.0</v>
      </c>
      <c r="B2138" s="13" t="s">
        <v>4192</v>
      </c>
      <c r="C2138" s="13" t="s">
        <v>4193</v>
      </c>
      <c r="D2138" s="13" t="s">
        <v>14</v>
      </c>
      <c r="E2138" s="13" t="s">
        <v>57</v>
      </c>
      <c r="F2138" s="13">
        <v>2021.0</v>
      </c>
      <c r="G2138" s="13">
        <v>42624.0</v>
      </c>
      <c r="H2138" s="13">
        <v>3219.51</v>
      </c>
      <c r="I2138" s="13">
        <f>' car_sales_data 1'!$G2138*0.2</f>
        <v>8524.8</v>
      </c>
      <c r="J2138" s="13" t="str">
        <f>TEXT(' car_sales_data 1'!$A2138,"mmmm")</f>
        <v>August</v>
      </c>
      <c r="K2138" s="13" t="str">
        <f>IF(' car_sales_data 1'!$G2138&gt;40000,"Premium",
 IF(' car_sales_data 1'!$G2138&gt;=20000,"Mid Range","Budget"))</f>
        <v>Premium</v>
      </c>
      <c r="L2138" s="13">
        <f>YEAR(TODAY())-' car_sales_data 1'!$F2138</f>
        <v>4</v>
      </c>
    </row>
    <row r="2139" ht="15.75" customHeight="1">
      <c r="A2139" s="16">
        <v>45008.0</v>
      </c>
      <c r="B2139" s="13" t="s">
        <v>4194</v>
      </c>
      <c r="C2139" s="13" t="s">
        <v>4195</v>
      </c>
      <c r="D2139" s="13" t="s">
        <v>14</v>
      </c>
      <c r="E2139" s="13" t="s">
        <v>51</v>
      </c>
      <c r="F2139" s="13">
        <v>2020.0</v>
      </c>
      <c r="G2139" s="13">
        <v>24360.0</v>
      </c>
      <c r="H2139" s="13">
        <v>1512.53</v>
      </c>
      <c r="I2139" s="13">
        <f>' car_sales_data 1'!$G2139*0.2</f>
        <v>4872</v>
      </c>
      <c r="J2139" s="13" t="str">
        <f>TEXT(' car_sales_data 1'!$A2139,"mmmm")</f>
        <v>March</v>
      </c>
      <c r="K2139" s="13" t="str">
        <f>IF(' car_sales_data 1'!$G2139&gt;40000,"Premium",
 IF(' car_sales_data 1'!$G2139&gt;=20000,"Mid Range","Budget"))</f>
        <v>Mid Range</v>
      </c>
      <c r="L2139" s="13">
        <f>YEAR(TODAY())-' car_sales_data 1'!$F2139</f>
        <v>5</v>
      </c>
    </row>
    <row r="2140" ht="15.75" customHeight="1">
      <c r="A2140" s="16">
        <v>44935.0</v>
      </c>
      <c r="B2140" s="13" t="s">
        <v>4196</v>
      </c>
      <c r="C2140" s="13" t="s">
        <v>4197</v>
      </c>
      <c r="D2140" s="13" t="s">
        <v>8</v>
      </c>
      <c r="E2140" s="13" t="s">
        <v>51</v>
      </c>
      <c r="F2140" s="13">
        <v>2012.0</v>
      </c>
      <c r="G2140" s="13">
        <v>40894.0</v>
      </c>
      <c r="H2140" s="13">
        <v>4464.15</v>
      </c>
      <c r="I2140" s="13">
        <f>' car_sales_data 1'!$G2140*0.2</f>
        <v>8178.8</v>
      </c>
      <c r="J2140" s="13" t="str">
        <f>TEXT(' car_sales_data 1'!$A2140,"mmmm")</f>
        <v>January</v>
      </c>
      <c r="K2140" s="13" t="str">
        <f>IF(' car_sales_data 1'!$G2140&gt;40000,"Premium",
 IF(' car_sales_data 1'!$G2140&gt;=20000,"Mid Range","Budget"))</f>
        <v>Premium</v>
      </c>
      <c r="L2140" s="13">
        <f>YEAR(TODAY())-' car_sales_data 1'!$F2140</f>
        <v>13</v>
      </c>
    </row>
    <row r="2141" ht="15.75" customHeight="1">
      <c r="A2141" s="16">
        <v>44698.0</v>
      </c>
      <c r="B2141" s="13" t="s">
        <v>4198</v>
      </c>
      <c r="C2141" s="13" t="s">
        <v>4199</v>
      </c>
      <c r="D2141" s="13" t="s">
        <v>14</v>
      </c>
      <c r="E2141" s="13" t="s">
        <v>54</v>
      </c>
      <c r="F2141" s="13">
        <v>2013.0</v>
      </c>
      <c r="G2141" s="13">
        <v>26187.0</v>
      </c>
      <c r="H2141" s="13">
        <v>3257.8</v>
      </c>
      <c r="I2141" s="13">
        <f>' car_sales_data 1'!$G2141*0.2</f>
        <v>5237.4</v>
      </c>
      <c r="J2141" s="13" t="str">
        <f>TEXT(' car_sales_data 1'!$A2141,"mmmm")</f>
        <v>May</v>
      </c>
      <c r="K2141" s="13" t="str">
        <f>IF(' car_sales_data 1'!$G2141&gt;40000,"Premium",
 IF(' car_sales_data 1'!$G2141&gt;=20000,"Mid Range","Budget"))</f>
        <v>Mid Range</v>
      </c>
      <c r="L2141" s="13">
        <f>YEAR(TODAY())-' car_sales_data 1'!$F2141</f>
        <v>12</v>
      </c>
    </row>
    <row r="2142" ht="15.75" customHeight="1">
      <c r="A2142" s="16">
        <v>44765.0</v>
      </c>
      <c r="B2142" s="13" t="s">
        <v>4200</v>
      </c>
      <c r="C2142" s="13" t="s">
        <v>4201</v>
      </c>
      <c r="D2142" s="13" t="s">
        <v>14</v>
      </c>
      <c r="E2142" s="13" t="s">
        <v>57</v>
      </c>
      <c r="F2142" s="13">
        <v>2014.0</v>
      </c>
      <c r="G2142" s="13">
        <v>13515.0</v>
      </c>
      <c r="H2142" s="13">
        <v>1654.72</v>
      </c>
      <c r="I2142" s="13">
        <f>' car_sales_data 1'!$G2142*0.2</f>
        <v>2703</v>
      </c>
      <c r="J2142" s="13" t="str">
        <f>TEXT(' car_sales_data 1'!$A2142,"mmmm")</f>
        <v>July</v>
      </c>
      <c r="K2142" s="13" t="str">
        <f>IF(' car_sales_data 1'!$G2142&gt;40000,"Premium",
 IF(' car_sales_data 1'!$G2142&gt;=20000,"Mid Range","Budget"))</f>
        <v>Budget</v>
      </c>
      <c r="L2142" s="13">
        <f>YEAR(TODAY())-' car_sales_data 1'!$F2142</f>
        <v>11</v>
      </c>
    </row>
    <row r="2143" ht="15.75" customHeight="1">
      <c r="A2143" s="16">
        <v>44805.0</v>
      </c>
      <c r="B2143" s="13" t="s">
        <v>4202</v>
      </c>
      <c r="C2143" s="13" t="s">
        <v>4203</v>
      </c>
      <c r="D2143" s="13" t="s">
        <v>12</v>
      </c>
      <c r="E2143" s="13" t="s">
        <v>54</v>
      </c>
      <c r="F2143" s="13">
        <v>2011.0</v>
      </c>
      <c r="G2143" s="13">
        <v>26798.0</v>
      </c>
      <c r="H2143" s="13">
        <v>3606.55</v>
      </c>
      <c r="I2143" s="13">
        <f>' car_sales_data 1'!$G2143*0.2</f>
        <v>5359.6</v>
      </c>
      <c r="J2143" s="13" t="str">
        <f>TEXT(' car_sales_data 1'!$A2143,"mmmm")</f>
        <v>September</v>
      </c>
      <c r="K2143" s="13" t="str">
        <f>IF(' car_sales_data 1'!$G2143&gt;40000,"Premium",
 IF(' car_sales_data 1'!$G2143&gt;=20000,"Mid Range","Budget"))</f>
        <v>Mid Range</v>
      </c>
      <c r="L2143" s="13">
        <f>YEAR(TODAY())-' car_sales_data 1'!$F2143</f>
        <v>14</v>
      </c>
    </row>
    <row r="2144" ht="15.75" customHeight="1">
      <c r="A2144" s="16">
        <v>44859.0</v>
      </c>
      <c r="B2144" s="13" t="s">
        <v>4204</v>
      </c>
      <c r="C2144" s="13" t="s">
        <v>4205</v>
      </c>
      <c r="D2144" s="13" t="s">
        <v>8</v>
      </c>
      <c r="E2144" s="13" t="s">
        <v>54</v>
      </c>
      <c r="F2144" s="13">
        <v>2010.0</v>
      </c>
      <c r="G2144" s="13">
        <v>24677.0</v>
      </c>
      <c r="H2144" s="13">
        <v>3097.37</v>
      </c>
      <c r="I2144" s="13">
        <f>' car_sales_data 1'!$G2144*0.2</f>
        <v>4935.4</v>
      </c>
      <c r="J2144" s="13" t="str">
        <f>TEXT(' car_sales_data 1'!$A2144,"mmmm")</f>
        <v>October</v>
      </c>
      <c r="K2144" s="13" t="str">
        <f>IF(' car_sales_data 1'!$G2144&gt;40000,"Premium",
 IF(' car_sales_data 1'!$G2144&gt;=20000,"Mid Range","Budget"))</f>
        <v>Mid Range</v>
      </c>
      <c r="L2144" s="13">
        <f>YEAR(TODAY())-' car_sales_data 1'!$F2144</f>
        <v>15</v>
      </c>
    </row>
    <row r="2145" ht="15.75" customHeight="1">
      <c r="A2145" s="16">
        <v>44977.0</v>
      </c>
      <c r="B2145" s="13" t="s">
        <v>4206</v>
      </c>
      <c r="C2145" s="13" t="s">
        <v>4207</v>
      </c>
      <c r="D2145" s="13" t="s">
        <v>14</v>
      </c>
      <c r="E2145" s="13" t="s">
        <v>62</v>
      </c>
      <c r="F2145" s="13">
        <v>2020.0</v>
      </c>
      <c r="G2145" s="13">
        <v>38006.0</v>
      </c>
      <c r="H2145" s="13">
        <v>2380.35</v>
      </c>
      <c r="I2145" s="13">
        <f>' car_sales_data 1'!$G2145*0.2</f>
        <v>7601.2</v>
      </c>
      <c r="J2145" s="13" t="str">
        <f>TEXT(' car_sales_data 1'!$A2145,"mmmm")</f>
        <v>February</v>
      </c>
      <c r="K2145" s="13" t="str">
        <f>IF(' car_sales_data 1'!$G2145&gt;40000,"Premium",
 IF(' car_sales_data 1'!$G2145&gt;=20000,"Mid Range","Budget"))</f>
        <v>Mid Range</v>
      </c>
      <c r="L2145" s="13">
        <f>YEAR(TODAY())-' car_sales_data 1'!$F2145</f>
        <v>5</v>
      </c>
    </row>
    <row r="2146" ht="15.75" customHeight="1">
      <c r="A2146" s="16">
        <v>44742.0</v>
      </c>
      <c r="B2146" s="13" t="s">
        <v>4208</v>
      </c>
      <c r="C2146" s="13" t="s">
        <v>4209</v>
      </c>
      <c r="D2146" s="13" t="s">
        <v>10</v>
      </c>
      <c r="E2146" s="13" t="s">
        <v>54</v>
      </c>
      <c r="F2146" s="13">
        <v>2020.0</v>
      </c>
      <c r="G2146" s="13">
        <v>34494.0</v>
      </c>
      <c r="H2146" s="13">
        <v>3128.75</v>
      </c>
      <c r="I2146" s="13">
        <f>' car_sales_data 1'!$G2146*0.2</f>
        <v>6898.8</v>
      </c>
      <c r="J2146" s="13" t="str">
        <f>TEXT(' car_sales_data 1'!$A2146,"mmmm")</f>
        <v>June</v>
      </c>
      <c r="K2146" s="13" t="str">
        <f>IF(' car_sales_data 1'!$G2146&gt;40000,"Premium",
 IF(' car_sales_data 1'!$G2146&gt;=20000,"Mid Range","Budget"))</f>
        <v>Mid Range</v>
      </c>
      <c r="L2146" s="13">
        <f>YEAR(TODAY())-' car_sales_data 1'!$F2146</f>
        <v>5</v>
      </c>
    </row>
    <row r="2147" ht="15.75" customHeight="1">
      <c r="A2147" s="16">
        <v>45039.0</v>
      </c>
      <c r="B2147" s="13" t="s">
        <v>4210</v>
      </c>
      <c r="C2147" s="13" t="s">
        <v>4211</v>
      </c>
      <c r="D2147" s="13" t="s">
        <v>12</v>
      </c>
      <c r="E2147" s="13" t="s">
        <v>54</v>
      </c>
      <c r="F2147" s="13">
        <v>2021.0</v>
      </c>
      <c r="G2147" s="13">
        <v>49080.0</v>
      </c>
      <c r="H2147" s="13">
        <v>6470.67</v>
      </c>
      <c r="I2147" s="13">
        <f>' car_sales_data 1'!$G2147*0.2</f>
        <v>9816</v>
      </c>
      <c r="J2147" s="13" t="str">
        <f>TEXT(' car_sales_data 1'!$A2147,"mmmm")</f>
        <v>April</v>
      </c>
      <c r="K2147" s="13" t="str">
        <f>IF(' car_sales_data 1'!$G2147&gt;40000,"Premium",
 IF(' car_sales_data 1'!$G2147&gt;=20000,"Mid Range","Budget"))</f>
        <v>Premium</v>
      </c>
      <c r="L2147" s="13">
        <f>YEAR(TODAY())-' car_sales_data 1'!$F2147</f>
        <v>4</v>
      </c>
    </row>
    <row r="2148" ht="15.75" customHeight="1">
      <c r="A2148" s="16">
        <v>45002.0</v>
      </c>
      <c r="B2148" s="13" t="s">
        <v>4212</v>
      </c>
      <c r="C2148" s="13" t="s">
        <v>4213</v>
      </c>
      <c r="D2148" s="13" t="s">
        <v>14</v>
      </c>
      <c r="E2148" s="13" t="s">
        <v>57</v>
      </c>
      <c r="F2148" s="13">
        <v>2018.0</v>
      </c>
      <c r="G2148" s="13">
        <v>28450.0</v>
      </c>
      <c r="H2148" s="13">
        <v>2400.77</v>
      </c>
      <c r="I2148" s="13">
        <f>' car_sales_data 1'!$G2148*0.2</f>
        <v>5690</v>
      </c>
      <c r="J2148" s="13" t="str">
        <f>TEXT(' car_sales_data 1'!$A2148,"mmmm")</f>
        <v>March</v>
      </c>
      <c r="K2148" s="13" t="str">
        <f>IF(' car_sales_data 1'!$G2148&gt;40000,"Premium",
 IF(' car_sales_data 1'!$G2148&gt;=20000,"Mid Range","Budget"))</f>
        <v>Mid Range</v>
      </c>
      <c r="L2148" s="13">
        <f>YEAR(TODAY())-' car_sales_data 1'!$F2148</f>
        <v>7</v>
      </c>
    </row>
    <row r="2149" ht="15.75" customHeight="1">
      <c r="A2149" s="16">
        <v>44881.0</v>
      </c>
      <c r="B2149" s="13" t="s">
        <v>4214</v>
      </c>
      <c r="C2149" s="13" t="s">
        <v>4215</v>
      </c>
      <c r="D2149" s="13" t="s">
        <v>8</v>
      </c>
      <c r="E2149" s="13" t="s">
        <v>70</v>
      </c>
      <c r="F2149" s="13">
        <v>2018.0</v>
      </c>
      <c r="G2149" s="13">
        <v>43806.0</v>
      </c>
      <c r="H2149" s="13">
        <v>5578.09</v>
      </c>
      <c r="I2149" s="13">
        <f>' car_sales_data 1'!$G2149*0.2</f>
        <v>8761.2</v>
      </c>
      <c r="J2149" s="13" t="str">
        <f>TEXT(' car_sales_data 1'!$A2149,"mmmm")</f>
        <v>November</v>
      </c>
      <c r="K2149" s="13" t="str">
        <f>IF(' car_sales_data 1'!$G2149&gt;40000,"Premium",
 IF(' car_sales_data 1'!$G2149&gt;=20000,"Mid Range","Budget"))</f>
        <v>Premium</v>
      </c>
      <c r="L2149" s="13">
        <f>YEAR(TODAY())-' car_sales_data 1'!$F2149</f>
        <v>7</v>
      </c>
    </row>
    <row r="2150" ht="15.75" customHeight="1">
      <c r="A2150" s="16">
        <v>45002.0</v>
      </c>
      <c r="B2150" s="13" t="s">
        <v>4216</v>
      </c>
      <c r="C2150" s="13" t="s">
        <v>4217</v>
      </c>
      <c r="D2150" s="13" t="s">
        <v>6</v>
      </c>
      <c r="E2150" s="13" t="s">
        <v>70</v>
      </c>
      <c r="F2150" s="13">
        <v>2016.0</v>
      </c>
      <c r="G2150" s="13">
        <v>16627.0</v>
      </c>
      <c r="H2150" s="13">
        <v>1388.78</v>
      </c>
      <c r="I2150" s="13">
        <f>' car_sales_data 1'!$G2150*0.2</f>
        <v>3325.4</v>
      </c>
      <c r="J2150" s="13" t="str">
        <f>TEXT(' car_sales_data 1'!$A2150,"mmmm")</f>
        <v>March</v>
      </c>
      <c r="K2150" s="13" t="str">
        <f>IF(' car_sales_data 1'!$G2150&gt;40000,"Premium",
 IF(' car_sales_data 1'!$G2150&gt;=20000,"Mid Range","Budget"))</f>
        <v>Budget</v>
      </c>
      <c r="L2150" s="13">
        <f>YEAR(TODAY())-' car_sales_data 1'!$F2150</f>
        <v>9</v>
      </c>
    </row>
    <row r="2151" ht="15.75" customHeight="1">
      <c r="A2151" s="16">
        <v>45028.0</v>
      </c>
      <c r="B2151" s="13" t="s">
        <v>4218</v>
      </c>
      <c r="C2151" s="13" t="s">
        <v>4219</v>
      </c>
      <c r="D2151" s="13" t="s">
        <v>14</v>
      </c>
      <c r="E2151" s="13" t="s">
        <v>54</v>
      </c>
      <c r="F2151" s="13">
        <v>2020.0</v>
      </c>
      <c r="G2151" s="13">
        <v>25947.0</v>
      </c>
      <c r="H2151" s="13">
        <v>2515.26</v>
      </c>
      <c r="I2151" s="13">
        <f>' car_sales_data 1'!$G2151*0.2</f>
        <v>5189.4</v>
      </c>
      <c r="J2151" s="13" t="str">
        <f>TEXT(' car_sales_data 1'!$A2151,"mmmm")</f>
        <v>April</v>
      </c>
      <c r="K2151" s="13" t="str">
        <f>IF(' car_sales_data 1'!$G2151&gt;40000,"Premium",
 IF(' car_sales_data 1'!$G2151&gt;=20000,"Mid Range","Budget"))</f>
        <v>Mid Range</v>
      </c>
      <c r="L2151" s="13">
        <f>YEAR(TODAY())-' car_sales_data 1'!$F2151</f>
        <v>5</v>
      </c>
    </row>
    <row r="2152" ht="15.75" customHeight="1">
      <c r="A2152" s="16">
        <v>44948.0</v>
      </c>
      <c r="B2152" s="13" t="s">
        <v>4220</v>
      </c>
      <c r="C2152" s="13" t="s">
        <v>4221</v>
      </c>
      <c r="D2152" s="13" t="s">
        <v>8</v>
      </c>
      <c r="E2152" s="13" t="s">
        <v>57</v>
      </c>
      <c r="F2152" s="13">
        <v>2019.0</v>
      </c>
      <c r="G2152" s="13">
        <v>39302.0</v>
      </c>
      <c r="H2152" s="13">
        <v>2107.46</v>
      </c>
      <c r="I2152" s="13">
        <f>' car_sales_data 1'!$G2152*0.2</f>
        <v>7860.4</v>
      </c>
      <c r="J2152" s="13" t="str">
        <f>TEXT(' car_sales_data 1'!$A2152,"mmmm")</f>
        <v>January</v>
      </c>
      <c r="K2152" s="13" t="str">
        <f>IF(' car_sales_data 1'!$G2152&gt;40000,"Premium",
 IF(' car_sales_data 1'!$G2152&gt;=20000,"Mid Range","Budget"))</f>
        <v>Mid Range</v>
      </c>
      <c r="L2152" s="13">
        <f>YEAR(TODAY())-' car_sales_data 1'!$F2152</f>
        <v>6</v>
      </c>
    </row>
    <row r="2153" ht="15.75" customHeight="1">
      <c r="A2153" s="16">
        <v>44771.0</v>
      </c>
      <c r="B2153" s="13" t="s">
        <v>4222</v>
      </c>
      <c r="C2153" s="13" t="s">
        <v>4223</v>
      </c>
      <c r="D2153" s="13" t="s">
        <v>8</v>
      </c>
      <c r="E2153" s="13" t="s">
        <v>62</v>
      </c>
      <c r="F2153" s="13">
        <v>2010.0</v>
      </c>
      <c r="G2153" s="13">
        <v>11248.0</v>
      </c>
      <c r="H2153" s="13">
        <v>594.6</v>
      </c>
      <c r="I2153" s="13">
        <f>' car_sales_data 1'!$G2153*0.2</f>
        <v>2249.6</v>
      </c>
      <c r="J2153" s="13" t="str">
        <f>TEXT(' car_sales_data 1'!$A2153,"mmmm")</f>
        <v>July</v>
      </c>
      <c r="K2153" s="13" t="str">
        <f>IF(' car_sales_data 1'!$G2153&gt;40000,"Premium",
 IF(' car_sales_data 1'!$G2153&gt;=20000,"Mid Range","Budget"))</f>
        <v>Budget</v>
      </c>
      <c r="L2153" s="13">
        <f>YEAR(TODAY())-' car_sales_data 1'!$F2153</f>
        <v>15</v>
      </c>
    </row>
    <row r="2154" ht="15.75" customHeight="1">
      <c r="A2154" s="16">
        <v>44979.0</v>
      </c>
      <c r="B2154" s="13" t="s">
        <v>4224</v>
      </c>
      <c r="C2154" s="13" t="s">
        <v>4225</v>
      </c>
      <c r="D2154" s="13" t="s">
        <v>14</v>
      </c>
      <c r="E2154" s="13" t="s">
        <v>62</v>
      </c>
      <c r="F2154" s="13">
        <v>2018.0</v>
      </c>
      <c r="G2154" s="13">
        <v>23188.0</v>
      </c>
      <c r="H2154" s="13">
        <v>1897.26</v>
      </c>
      <c r="I2154" s="13">
        <f>' car_sales_data 1'!$G2154*0.2</f>
        <v>4637.6</v>
      </c>
      <c r="J2154" s="13" t="str">
        <f>TEXT(' car_sales_data 1'!$A2154,"mmmm")</f>
        <v>February</v>
      </c>
      <c r="K2154" s="13" t="str">
        <f>IF(' car_sales_data 1'!$G2154&gt;40000,"Premium",
 IF(' car_sales_data 1'!$G2154&gt;=20000,"Mid Range","Budget"))</f>
        <v>Mid Range</v>
      </c>
      <c r="L2154" s="13">
        <f>YEAR(TODAY())-' car_sales_data 1'!$F2154</f>
        <v>7</v>
      </c>
    </row>
    <row r="2155" ht="15.75" customHeight="1">
      <c r="A2155" s="16">
        <v>44833.0</v>
      </c>
      <c r="B2155" s="13" t="s">
        <v>4226</v>
      </c>
      <c r="C2155" s="13" t="s">
        <v>4227</v>
      </c>
      <c r="D2155" s="13" t="s">
        <v>6</v>
      </c>
      <c r="E2155" s="13" t="s">
        <v>57</v>
      </c>
      <c r="F2155" s="13">
        <v>2015.0</v>
      </c>
      <c r="G2155" s="13">
        <v>10666.0</v>
      </c>
      <c r="H2155" s="13">
        <v>1366.39</v>
      </c>
      <c r="I2155" s="13">
        <f>' car_sales_data 1'!$G2155*0.2</f>
        <v>2133.2</v>
      </c>
      <c r="J2155" s="13" t="str">
        <f>TEXT(' car_sales_data 1'!$A2155,"mmmm")</f>
        <v>September</v>
      </c>
      <c r="K2155" s="13" t="str">
        <f>IF(' car_sales_data 1'!$G2155&gt;40000,"Premium",
 IF(' car_sales_data 1'!$G2155&gt;=20000,"Mid Range","Budget"))</f>
        <v>Budget</v>
      </c>
      <c r="L2155" s="13">
        <f>YEAR(TODAY())-' car_sales_data 1'!$F2155</f>
        <v>10</v>
      </c>
    </row>
    <row r="2156" ht="15.75" customHeight="1">
      <c r="A2156" s="16">
        <v>44935.0</v>
      </c>
      <c r="B2156" s="13" t="s">
        <v>4228</v>
      </c>
      <c r="C2156" s="13" t="s">
        <v>4229</v>
      </c>
      <c r="D2156" s="13" t="s">
        <v>12</v>
      </c>
      <c r="E2156" s="13" t="s">
        <v>62</v>
      </c>
      <c r="F2156" s="13">
        <v>2020.0</v>
      </c>
      <c r="G2156" s="13">
        <v>28019.0</v>
      </c>
      <c r="H2156" s="13">
        <v>1517.65</v>
      </c>
      <c r="I2156" s="13">
        <f>' car_sales_data 1'!$G2156*0.2</f>
        <v>5603.8</v>
      </c>
      <c r="J2156" s="13" t="str">
        <f>TEXT(' car_sales_data 1'!$A2156,"mmmm")</f>
        <v>January</v>
      </c>
      <c r="K2156" s="13" t="str">
        <f>IF(' car_sales_data 1'!$G2156&gt;40000,"Premium",
 IF(' car_sales_data 1'!$G2156&gt;=20000,"Mid Range","Budget"))</f>
        <v>Mid Range</v>
      </c>
      <c r="L2156" s="13">
        <f>YEAR(TODAY())-' car_sales_data 1'!$F2156</f>
        <v>5</v>
      </c>
    </row>
    <row r="2157" ht="15.75" customHeight="1">
      <c r="A2157" s="16">
        <v>44888.0</v>
      </c>
      <c r="B2157" s="13" t="s">
        <v>4230</v>
      </c>
      <c r="C2157" s="13" t="s">
        <v>4231</v>
      </c>
      <c r="D2157" s="13" t="s">
        <v>6</v>
      </c>
      <c r="E2157" s="13" t="s">
        <v>70</v>
      </c>
      <c r="F2157" s="13">
        <v>2010.0</v>
      </c>
      <c r="G2157" s="13">
        <v>13044.0</v>
      </c>
      <c r="H2157" s="13">
        <v>838.04</v>
      </c>
      <c r="I2157" s="13">
        <f>' car_sales_data 1'!$G2157*0.2</f>
        <v>2608.8</v>
      </c>
      <c r="J2157" s="13" t="str">
        <f>TEXT(' car_sales_data 1'!$A2157,"mmmm")</f>
        <v>November</v>
      </c>
      <c r="K2157" s="13" t="str">
        <f>IF(' car_sales_data 1'!$G2157&gt;40000,"Premium",
 IF(' car_sales_data 1'!$G2157&gt;=20000,"Mid Range","Budget"))</f>
        <v>Budget</v>
      </c>
      <c r="L2157" s="13">
        <f>YEAR(TODAY())-' car_sales_data 1'!$F2157</f>
        <v>15</v>
      </c>
    </row>
    <row r="2158" ht="15.75" customHeight="1">
      <c r="A2158" s="16">
        <v>44724.0</v>
      </c>
      <c r="B2158" s="13" t="s">
        <v>4232</v>
      </c>
      <c r="C2158" s="13" t="s">
        <v>4233</v>
      </c>
      <c r="D2158" s="13" t="s">
        <v>6</v>
      </c>
      <c r="E2158" s="13" t="s">
        <v>51</v>
      </c>
      <c r="F2158" s="13">
        <v>2021.0</v>
      </c>
      <c r="G2158" s="13">
        <v>21126.0</v>
      </c>
      <c r="H2158" s="13">
        <v>1297.93</v>
      </c>
      <c r="I2158" s="13">
        <f>' car_sales_data 1'!$G2158*0.2</f>
        <v>4225.2</v>
      </c>
      <c r="J2158" s="13" t="str">
        <f>TEXT(' car_sales_data 1'!$A2158,"mmmm")</f>
        <v>June</v>
      </c>
      <c r="K2158" s="13" t="str">
        <f>IF(' car_sales_data 1'!$G2158&gt;40000,"Premium",
 IF(' car_sales_data 1'!$G2158&gt;=20000,"Mid Range","Budget"))</f>
        <v>Mid Range</v>
      </c>
      <c r="L2158" s="13">
        <f>YEAR(TODAY())-' car_sales_data 1'!$F2158</f>
        <v>4</v>
      </c>
    </row>
    <row r="2159" ht="15.75" customHeight="1">
      <c r="A2159" s="16">
        <v>44986.0</v>
      </c>
      <c r="B2159" s="13" t="s">
        <v>4234</v>
      </c>
      <c r="C2159" s="13" t="s">
        <v>4235</v>
      </c>
      <c r="D2159" s="13" t="s">
        <v>12</v>
      </c>
      <c r="E2159" s="13" t="s">
        <v>54</v>
      </c>
      <c r="F2159" s="13">
        <v>2022.0</v>
      </c>
      <c r="G2159" s="13">
        <v>11405.0</v>
      </c>
      <c r="H2159" s="13">
        <v>1276.41</v>
      </c>
      <c r="I2159" s="13">
        <f>' car_sales_data 1'!$G2159*0.2</f>
        <v>2281</v>
      </c>
      <c r="J2159" s="13" t="str">
        <f>TEXT(' car_sales_data 1'!$A2159,"mmmm")</f>
        <v>March</v>
      </c>
      <c r="K2159" s="13" t="str">
        <f>IF(' car_sales_data 1'!$G2159&gt;40000,"Premium",
 IF(' car_sales_data 1'!$G2159&gt;=20000,"Mid Range","Budget"))</f>
        <v>Budget</v>
      </c>
      <c r="L2159" s="13">
        <f>YEAR(TODAY())-' car_sales_data 1'!$F2159</f>
        <v>3</v>
      </c>
    </row>
    <row r="2160" ht="15.75" customHeight="1">
      <c r="A2160" s="16">
        <v>44942.0</v>
      </c>
      <c r="B2160" s="13" t="s">
        <v>4236</v>
      </c>
      <c r="C2160" s="13" t="s">
        <v>4237</v>
      </c>
      <c r="D2160" s="13" t="s">
        <v>6</v>
      </c>
      <c r="E2160" s="13" t="s">
        <v>62</v>
      </c>
      <c r="F2160" s="13">
        <v>2021.0</v>
      </c>
      <c r="G2160" s="13">
        <v>42400.0</v>
      </c>
      <c r="H2160" s="13">
        <v>4184.77</v>
      </c>
      <c r="I2160" s="13">
        <f>' car_sales_data 1'!$G2160*0.2</f>
        <v>8480</v>
      </c>
      <c r="J2160" s="13" t="str">
        <f>TEXT(' car_sales_data 1'!$A2160,"mmmm")</f>
        <v>January</v>
      </c>
      <c r="K2160" s="13" t="str">
        <f>IF(' car_sales_data 1'!$G2160&gt;40000,"Premium",
 IF(' car_sales_data 1'!$G2160&gt;=20000,"Mid Range","Budget"))</f>
        <v>Premium</v>
      </c>
      <c r="L2160" s="13">
        <f>YEAR(TODAY())-' car_sales_data 1'!$F2160</f>
        <v>4</v>
      </c>
    </row>
    <row r="2161" ht="15.75" customHeight="1">
      <c r="A2161" s="16">
        <v>44976.0</v>
      </c>
      <c r="B2161" s="13" t="s">
        <v>4238</v>
      </c>
      <c r="C2161" s="13" t="s">
        <v>4239</v>
      </c>
      <c r="D2161" s="13" t="s">
        <v>6</v>
      </c>
      <c r="E2161" s="13" t="s">
        <v>54</v>
      </c>
      <c r="F2161" s="13">
        <v>2020.0</v>
      </c>
      <c r="G2161" s="13">
        <v>35793.0</v>
      </c>
      <c r="H2161" s="13">
        <v>4639.57</v>
      </c>
      <c r="I2161" s="13">
        <f>' car_sales_data 1'!$G2161*0.2</f>
        <v>7158.6</v>
      </c>
      <c r="J2161" s="13" t="str">
        <f>TEXT(' car_sales_data 1'!$A2161,"mmmm")</f>
        <v>February</v>
      </c>
      <c r="K2161" s="13" t="str">
        <f>IF(' car_sales_data 1'!$G2161&gt;40000,"Premium",
 IF(' car_sales_data 1'!$G2161&gt;=20000,"Mid Range","Budget"))</f>
        <v>Mid Range</v>
      </c>
      <c r="L2161" s="13">
        <f>YEAR(TODAY())-' car_sales_data 1'!$F2161</f>
        <v>5</v>
      </c>
    </row>
    <row r="2162" ht="15.75" customHeight="1">
      <c r="A2162" s="16">
        <v>44981.0</v>
      </c>
      <c r="B2162" s="13" t="s">
        <v>4240</v>
      </c>
      <c r="C2162" s="13" t="s">
        <v>4241</v>
      </c>
      <c r="D2162" s="13" t="s">
        <v>6</v>
      </c>
      <c r="E2162" s="13" t="s">
        <v>62</v>
      </c>
      <c r="F2162" s="13">
        <v>2021.0</v>
      </c>
      <c r="G2162" s="13">
        <v>22201.0</v>
      </c>
      <c r="H2162" s="13">
        <v>3307.66</v>
      </c>
      <c r="I2162" s="13">
        <f>' car_sales_data 1'!$G2162*0.2</f>
        <v>4440.2</v>
      </c>
      <c r="J2162" s="13" t="str">
        <f>TEXT(' car_sales_data 1'!$A2162,"mmmm")</f>
        <v>February</v>
      </c>
      <c r="K2162" s="13" t="str">
        <f>IF(' car_sales_data 1'!$G2162&gt;40000,"Premium",
 IF(' car_sales_data 1'!$G2162&gt;=20000,"Mid Range","Budget"))</f>
        <v>Mid Range</v>
      </c>
      <c r="L2162" s="13">
        <f>YEAR(TODAY())-' car_sales_data 1'!$F2162</f>
        <v>4</v>
      </c>
    </row>
    <row r="2163" ht="15.75" customHeight="1">
      <c r="A2163" s="16">
        <v>44843.0</v>
      </c>
      <c r="B2163" s="13" t="s">
        <v>4242</v>
      </c>
      <c r="C2163" s="13" t="s">
        <v>4243</v>
      </c>
      <c r="D2163" s="13" t="s">
        <v>14</v>
      </c>
      <c r="E2163" s="13" t="s">
        <v>51</v>
      </c>
      <c r="F2163" s="13">
        <v>2016.0</v>
      </c>
      <c r="G2163" s="13">
        <v>28928.0</v>
      </c>
      <c r="H2163" s="13">
        <v>4157.42</v>
      </c>
      <c r="I2163" s="13">
        <f>' car_sales_data 1'!$G2163*0.2</f>
        <v>5785.6</v>
      </c>
      <c r="J2163" s="13" t="str">
        <f>TEXT(' car_sales_data 1'!$A2163,"mmmm")</f>
        <v>October</v>
      </c>
      <c r="K2163" s="13" t="str">
        <f>IF(' car_sales_data 1'!$G2163&gt;40000,"Premium",
 IF(' car_sales_data 1'!$G2163&gt;=20000,"Mid Range","Budget"))</f>
        <v>Mid Range</v>
      </c>
      <c r="L2163" s="13">
        <f>YEAR(TODAY())-' car_sales_data 1'!$F2163</f>
        <v>9</v>
      </c>
    </row>
    <row r="2164" ht="15.75" customHeight="1">
      <c r="A2164" s="16">
        <v>44870.0</v>
      </c>
      <c r="B2164" s="13" t="s">
        <v>3357</v>
      </c>
      <c r="C2164" s="13" t="s">
        <v>4244</v>
      </c>
      <c r="D2164" s="13" t="s">
        <v>10</v>
      </c>
      <c r="E2164" s="13" t="s">
        <v>51</v>
      </c>
      <c r="F2164" s="13">
        <v>2019.0</v>
      </c>
      <c r="G2164" s="13">
        <v>43231.0</v>
      </c>
      <c r="H2164" s="13">
        <v>4173.07</v>
      </c>
      <c r="I2164" s="13">
        <f>' car_sales_data 1'!$G2164*0.2</f>
        <v>8646.2</v>
      </c>
      <c r="J2164" s="13" t="str">
        <f>TEXT(' car_sales_data 1'!$A2164,"mmmm")</f>
        <v>November</v>
      </c>
      <c r="K2164" s="13" t="str">
        <f>IF(' car_sales_data 1'!$G2164&gt;40000,"Premium",
 IF(' car_sales_data 1'!$G2164&gt;=20000,"Mid Range","Budget"))</f>
        <v>Premium</v>
      </c>
      <c r="L2164" s="13">
        <f>YEAR(TODAY())-' car_sales_data 1'!$F2164</f>
        <v>6</v>
      </c>
    </row>
    <row r="2165" ht="15.75" customHeight="1">
      <c r="A2165" s="16">
        <v>44768.0</v>
      </c>
      <c r="B2165" s="13" t="s">
        <v>4245</v>
      </c>
      <c r="C2165" s="13" t="s">
        <v>4246</v>
      </c>
      <c r="D2165" s="13" t="s">
        <v>14</v>
      </c>
      <c r="E2165" s="13" t="s">
        <v>57</v>
      </c>
      <c r="F2165" s="13">
        <v>2021.0</v>
      </c>
      <c r="G2165" s="13">
        <v>10974.0</v>
      </c>
      <c r="H2165" s="13">
        <v>952.32</v>
      </c>
      <c r="I2165" s="13">
        <f>' car_sales_data 1'!$G2165*0.2</f>
        <v>2194.8</v>
      </c>
      <c r="J2165" s="13" t="str">
        <f>TEXT(' car_sales_data 1'!$A2165,"mmmm")</f>
        <v>July</v>
      </c>
      <c r="K2165" s="13" t="str">
        <f>IF(' car_sales_data 1'!$G2165&gt;40000,"Premium",
 IF(' car_sales_data 1'!$G2165&gt;=20000,"Mid Range","Budget"))</f>
        <v>Budget</v>
      </c>
      <c r="L2165" s="13">
        <f>YEAR(TODAY())-' car_sales_data 1'!$F2165</f>
        <v>4</v>
      </c>
    </row>
    <row r="2166" ht="15.75" customHeight="1">
      <c r="A2166" s="16">
        <v>44877.0</v>
      </c>
      <c r="B2166" s="13" t="s">
        <v>4247</v>
      </c>
      <c r="C2166" s="13" t="s">
        <v>4248</v>
      </c>
      <c r="D2166" s="13" t="s">
        <v>8</v>
      </c>
      <c r="E2166" s="13" t="s">
        <v>62</v>
      </c>
      <c r="F2166" s="13">
        <v>2016.0</v>
      </c>
      <c r="G2166" s="13">
        <v>47504.0</v>
      </c>
      <c r="H2166" s="13">
        <v>2809.98</v>
      </c>
      <c r="I2166" s="13">
        <f>' car_sales_data 1'!$G2166*0.2</f>
        <v>9500.8</v>
      </c>
      <c r="J2166" s="13" t="str">
        <f>TEXT(' car_sales_data 1'!$A2166,"mmmm")</f>
        <v>November</v>
      </c>
      <c r="K2166" s="13" t="str">
        <f>IF(' car_sales_data 1'!$G2166&gt;40000,"Premium",
 IF(' car_sales_data 1'!$G2166&gt;=20000,"Mid Range","Budget"))</f>
        <v>Premium</v>
      </c>
      <c r="L2166" s="13">
        <f>YEAR(TODAY())-' car_sales_data 1'!$F2166</f>
        <v>9</v>
      </c>
    </row>
    <row r="2167" ht="15.75" customHeight="1">
      <c r="A2167" s="16">
        <v>44734.0</v>
      </c>
      <c r="B2167" s="13" t="s">
        <v>4249</v>
      </c>
      <c r="C2167" s="13" t="s">
        <v>4250</v>
      </c>
      <c r="D2167" s="13" t="s">
        <v>10</v>
      </c>
      <c r="E2167" s="13" t="s">
        <v>54</v>
      </c>
      <c r="F2167" s="13">
        <v>2010.0</v>
      </c>
      <c r="G2167" s="13">
        <v>25970.0</v>
      </c>
      <c r="H2167" s="13">
        <v>2945.02</v>
      </c>
      <c r="I2167" s="13">
        <f>' car_sales_data 1'!$G2167*0.2</f>
        <v>5194</v>
      </c>
      <c r="J2167" s="13" t="str">
        <f>TEXT(' car_sales_data 1'!$A2167,"mmmm")</f>
        <v>June</v>
      </c>
      <c r="K2167" s="13" t="str">
        <f>IF(' car_sales_data 1'!$G2167&gt;40000,"Premium",
 IF(' car_sales_data 1'!$G2167&gt;=20000,"Mid Range","Budget"))</f>
        <v>Mid Range</v>
      </c>
      <c r="L2167" s="13">
        <f>YEAR(TODAY())-' car_sales_data 1'!$F2167</f>
        <v>15</v>
      </c>
    </row>
    <row r="2168" ht="15.75" customHeight="1">
      <c r="A2168" s="16">
        <v>44829.0</v>
      </c>
      <c r="B2168" s="13" t="s">
        <v>4251</v>
      </c>
      <c r="C2168" s="13" t="s">
        <v>4252</v>
      </c>
      <c r="D2168" s="13" t="s">
        <v>8</v>
      </c>
      <c r="E2168" s="13" t="s">
        <v>54</v>
      </c>
      <c r="F2168" s="13">
        <v>2021.0</v>
      </c>
      <c r="G2168" s="13">
        <v>10039.0</v>
      </c>
      <c r="H2168" s="13">
        <v>1209.37</v>
      </c>
      <c r="I2168" s="13">
        <f>' car_sales_data 1'!$G2168*0.2</f>
        <v>2007.8</v>
      </c>
      <c r="J2168" s="13" t="str">
        <f>TEXT(' car_sales_data 1'!$A2168,"mmmm")</f>
        <v>September</v>
      </c>
      <c r="K2168" s="13" t="str">
        <f>IF(' car_sales_data 1'!$G2168&gt;40000,"Premium",
 IF(' car_sales_data 1'!$G2168&gt;=20000,"Mid Range","Budget"))</f>
        <v>Budget</v>
      </c>
      <c r="L2168" s="13">
        <f>YEAR(TODAY())-' car_sales_data 1'!$F2168</f>
        <v>4</v>
      </c>
    </row>
    <row r="2169" ht="15.75" customHeight="1">
      <c r="A2169" s="16">
        <v>44962.0</v>
      </c>
      <c r="B2169" s="13" t="s">
        <v>4253</v>
      </c>
      <c r="C2169" s="13" t="s">
        <v>4254</v>
      </c>
      <c r="D2169" s="13" t="s">
        <v>8</v>
      </c>
      <c r="E2169" s="13" t="s">
        <v>51</v>
      </c>
      <c r="F2169" s="13">
        <v>2016.0</v>
      </c>
      <c r="G2169" s="13">
        <v>10739.0</v>
      </c>
      <c r="H2169" s="13">
        <v>1103.8</v>
      </c>
      <c r="I2169" s="13">
        <f>' car_sales_data 1'!$G2169*0.2</f>
        <v>2147.8</v>
      </c>
      <c r="J2169" s="13" t="str">
        <f>TEXT(' car_sales_data 1'!$A2169,"mmmm")</f>
        <v>February</v>
      </c>
      <c r="K2169" s="13" t="str">
        <f>IF(' car_sales_data 1'!$G2169&gt;40000,"Premium",
 IF(' car_sales_data 1'!$G2169&gt;=20000,"Mid Range","Budget"))</f>
        <v>Budget</v>
      </c>
      <c r="L2169" s="13">
        <f>YEAR(TODAY())-' car_sales_data 1'!$F2169</f>
        <v>9</v>
      </c>
    </row>
    <row r="2170" ht="15.75" customHeight="1">
      <c r="A2170" s="16">
        <v>44747.0</v>
      </c>
      <c r="B2170" s="13" t="s">
        <v>4255</v>
      </c>
      <c r="C2170" s="13" t="s">
        <v>4256</v>
      </c>
      <c r="D2170" s="13" t="s">
        <v>14</v>
      </c>
      <c r="E2170" s="13" t="s">
        <v>51</v>
      </c>
      <c r="F2170" s="13">
        <v>2010.0</v>
      </c>
      <c r="G2170" s="13">
        <v>26694.0</v>
      </c>
      <c r="H2170" s="13">
        <v>3887.3</v>
      </c>
      <c r="I2170" s="13">
        <f>' car_sales_data 1'!$G2170*0.2</f>
        <v>5338.8</v>
      </c>
      <c r="J2170" s="13" t="str">
        <f>TEXT(' car_sales_data 1'!$A2170,"mmmm")</f>
        <v>July</v>
      </c>
      <c r="K2170" s="13" t="str">
        <f>IF(' car_sales_data 1'!$G2170&gt;40000,"Premium",
 IF(' car_sales_data 1'!$G2170&gt;=20000,"Mid Range","Budget"))</f>
        <v>Mid Range</v>
      </c>
      <c r="L2170" s="13">
        <f>YEAR(TODAY())-' car_sales_data 1'!$F2170</f>
        <v>15</v>
      </c>
    </row>
    <row r="2171" ht="15.75" customHeight="1">
      <c r="A2171" s="16">
        <v>44835.0</v>
      </c>
      <c r="B2171" s="13" t="s">
        <v>4257</v>
      </c>
      <c r="C2171" s="13" t="s">
        <v>4258</v>
      </c>
      <c r="D2171" s="13" t="s">
        <v>14</v>
      </c>
      <c r="E2171" s="13" t="s">
        <v>54</v>
      </c>
      <c r="F2171" s="13">
        <v>2017.0</v>
      </c>
      <c r="G2171" s="13">
        <v>18975.0</v>
      </c>
      <c r="H2171" s="13">
        <v>1106.45</v>
      </c>
      <c r="I2171" s="13">
        <f>' car_sales_data 1'!$G2171*0.2</f>
        <v>3795</v>
      </c>
      <c r="J2171" s="13" t="str">
        <f>TEXT(' car_sales_data 1'!$A2171,"mmmm")</f>
        <v>October</v>
      </c>
      <c r="K2171" s="13" t="str">
        <f>IF(' car_sales_data 1'!$G2171&gt;40000,"Premium",
 IF(' car_sales_data 1'!$G2171&gt;=20000,"Mid Range","Budget"))</f>
        <v>Budget</v>
      </c>
      <c r="L2171" s="13">
        <f>YEAR(TODAY())-' car_sales_data 1'!$F2171</f>
        <v>8</v>
      </c>
    </row>
    <row r="2172" ht="15.75" customHeight="1">
      <c r="A2172" s="16">
        <v>44865.0</v>
      </c>
      <c r="B2172" s="13" t="s">
        <v>4259</v>
      </c>
      <c r="C2172" s="13" t="s">
        <v>4260</v>
      </c>
      <c r="D2172" s="13" t="s">
        <v>14</v>
      </c>
      <c r="E2172" s="13" t="s">
        <v>70</v>
      </c>
      <c r="F2172" s="13">
        <v>2017.0</v>
      </c>
      <c r="G2172" s="13">
        <v>42654.0</v>
      </c>
      <c r="H2172" s="13">
        <v>4202.99</v>
      </c>
      <c r="I2172" s="13">
        <f>' car_sales_data 1'!$G2172*0.2</f>
        <v>8530.8</v>
      </c>
      <c r="J2172" s="13" t="str">
        <f>TEXT(' car_sales_data 1'!$A2172,"mmmm")</f>
        <v>October</v>
      </c>
      <c r="K2172" s="13" t="str">
        <f>IF(' car_sales_data 1'!$G2172&gt;40000,"Premium",
 IF(' car_sales_data 1'!$G2172&gt;=20000,"Mid Range","Budget"))</f>
        <v>Premium</v>
      </c>
      <c r="L2172" s="13">
        <f>YEAR(TODAY())-' car_sales_data 1'!$F2172</f>
        <v>8</v>
      </c>
    </row>
    <row r="2173" ht="15.75" customHeight="1">
      <c r="A2173" s="16">
        <v>44894.0</v>
      </c>
      <c r="B2173" s="13" t="s">
        <v>4261</v>
      </c>
      <c r="C2173" s="13" t="s">
        <v>4262</v>
      </c>
      <c r="D2173" s="13" t="s">
        <v>6</v>
      </c>
      <c r="E2173" s="13" t="s">
        <v>57</v>
      </c>
      <c r="F2173" s="13">
        <v>2020.0</v>
      </c>
      <c r="G2173" s="13">
        <v>35678.0</v>
      </c>
      <c r="H2173" s="13">
        <v>3111.88</v>
      </c>
      <c r="I2173" s="13">
        <f>' car_sales_data 1'!$G2173*0.2</f>
        <v>7135.6</v>
      </c>
      <c r="J2173" s="13" t="str">
        <f>TEXT(' car_sales_data 1'!$A2173,"mmmm")</f>
        <v>November</v>
      </c>
      <c r="K2173" s="13" t="str">
        <f>IF(' car_sales_data 1'!$G2173&gt;40000,"Premium",
 IF(' car_sales_data 1'!$G2173&gt;=20000,"Mid Range","Budget"))</f>
        <v>Mid Range</v>
      </c>
      <c r="L2173" s="13">
        <f>YEAR(TODAY())-' car_sales_data 1'!$F2173</f>
        <v>5</v>
      </c>
    </row>
    <row r="2174" ht="15.75" customHeight="1">
      <c r="A2174" s="16">
        <v>44863.0</v>
      </c>
      <c r="B2174" s="13" t="s">
        <v>4263</v>
      </c>
      <c r="C2174" s="13" t="s">
        <v>4264</v>
      </c>
      <c r="D2174" s="13" t="s">
        <v>6</v>
      </c>
      <c r="E2174" s="13" t="s">
        <v>57</v>
      </c>
      <c r="F2174" s="13">
        <v>2019.0</v>
      </c>
      <c r="G2174" s="13">
        <v>28779.0</v>
      </c>
      <c r="H2174" s="13">
        <v>1990.39</v>
      </c>
      <c r="I2174" s="13">
        <f>' car_sales_data 1'!$G2174*0.2</f>
        <v>5755.8</v>
      </c>
      <c r="J2174" s="13" t="str">
        <f>TEXT(' car_sales_data 1'!$A2174,"mmmm")</f>
        <v>October</v>
      </c>
      <c r="K2174" s="13" t="str">
        <f>IF(' car_sales_data 1'!$G2174&gt;40000,"Premium",
 IF(' car_sales_data 1'!$G2174&gt;=20000,"Mid Range","Budget"))</f>
        <v>Mid Range</v>
      </c>
      <c r="L2174" s="13">
        <f>YEAR(TODAY())-' car_sales_data 1'!$F2174</f>
        <v>6</v>
      </c>
    </row>
    <row r="2175" ht="15.75" customHeight="1">
      <c r="A2175" s="16">
        <v>45019.0</v>
      </c>
      <c r="B2175" s="13" t="s">
        <v>9</v>
      </c>
      <c r="C2175" s="13" t="s">
        <v>4265</v>
      </c>
      <c r="D2175" s="13" t="s">
        <v>12</v>
      </c>
      <c r="E2175" s="13" t="s">
        <v>62</v>
      </c>
      <c r="F2175" s="13">
        <v>2013.0</v>
      </c>
      <c r="G2175" s="13">
        <v>49917.0</v>
      </c>
      <c r="H2175" s="13">
        <v>3104.85</v>
      </c>
      <c r="I2175" s="13">
        <f>' car_sales_data 1'!$G2175*0.2</f>
        <v>9983.4</v>
      </c>
      <c r="J2175" s="13" t="str">
        <f>TEXT(' car_sales_data 1'!$A2175,"mmmm")</f>
        <v>April</v>
      </c>
      <c r="K2175" s="13" t="str">
        <f>IF(' car_sales_data 1'!$G2175&gt;40000,"Premium",
 IF(' car_sales_data 1'!$G2175&gt;=20000,"Mid Range","Budget"))</f>
        <v>Premium</v>
      </c>
      <c r="L2175" s="13">
        <f>YEAR(TODAY())-' car_sales_data 1'!$F2175</f>
        <v>12</v>
      </c>
    </row>
    <row r="2176" ht="15.75" customHeight="1">
      <c r="A2176" s="16">
        <v>44909.0</v>
      </c>
      <c r="B2176" s="13" t="s">
        <v>4266</v>
      </c>
      <c r="C2176" s="13" t="s">
        <v>4267</v>
      </c>
      <c r="D2176" s="13" t="s">
        <v>14</v>
      </c>
      <c r="E2176" s="13" t="s">
        <v>62</v>
      </c>
      <c r="F2176" s="13">
        <v>2017.0</v>
      </c>
      <c r="G2176" s="13">
        <v>28648.0</v>
      </c>
      <c r="H2176" s="13">
        <v>2019.22</v>
      </c>
      <c r="I2176" s="13">
        <f>' car_sales_data 1'!$G2176*0.2</f>
        <v>5729.6</v>
      </c>
      <c r="J2176" s="13" t="str">
        <f>TEXT(' car_sales_data 1'!$A2176,"mmmm")</f>
        <v>December</v>
      </c>
      <c r="K2176" s="13" t="str">
        <f>IF(' car_sales_data 1'!$G2176&gt;40000,"Premium",
 IF(' car_sales_data 1'!$G2176&gt;=20000,"Mid Range","Budget"))</f>
        <v>Mid Range</v>
      </c>
      <c r="L2176" s="13">
        <f>YEAR(TODAY())-' car_sales_data 1'!$F2176</f>
        <v>8</v>
      </c>
    </row>
    <row r="2177" ht="15.75" customHeight="1">
      <c r="A2177" s="16">
        <v>44876.0</v>
      </c>
      <c r="B2177" s="13" t="s">
        <v>4268</v>
      </c>
      <c r="C2177" s="13" t="s">
        <v>4269</v>
      </c>
      <c r="D2177" s="13" t="s">
        <v>8</v>
      </c>
      <c r="E2177" s="13" t="s">
        <v>62</v>
      </c>
      <c r="F2177" s="13">
        <v>2021.0</v>
      </c>
      <c r="G2177" s="13">
        <v>14012.0</v>
      </c>
      <c r="H2177" s="13">
        <v>1510.02</v>
      </c>
      <c r="I2177" s="13">
        <f>' car_sales_data 1'!$G2177*0.2</f>
        <v>2802.4</v>
      </c>
      <c r="J2177" s="13" t="str">
        <f>TEXT(' car_sales_data 1'!$A2177,"mmmm")</f>
        <v>November</v>
      </c>
      <c r="K2177" s="13" t="str">
        <f>IF(' car_sales_data 1'!$G2177&gt;40000,"Premium",
 IF(' car_sales_data 1'!$G2177&gt;=20000,"Mid Range","Budget"))</f>
        <v>Budget</v>
      </c>
      <c r="L2177" s="13">
        <f>YEAR(TODAY())-' car_sales_data 1'!$F2177</f>
        <v>4</v>
      </c>
    </row>
    <row r="2178" ht="15.75" customHeight="1">
      <c r="A2178" s="16">
        <v>44826.0</v>
      </c>
      <c r="B2178" s="13" t="s">
        <v>4270</v>
      </c>
      <c r="C2178" s="13" t="s">
        <v>4271</v>
      </c>
      <c r="D2178" s="13" t="s">
        <v>10</v>
      </c>
      <c r="E2178" s="13" t="s">
        <v>70</v>
      </c>
      <c r="F2178" s="13">
        <v>2016.0</v>
      </c>
      <c r="G2178" s="13">
        <v>21462.0</v>
      </c>
      <c r="H2178" s="13">
        <v>2845.86</v>
      </c>
      <c r="I2178" s="13">
        <f>' car_sales_data 1'!$G2178*0.2</f>
        <v>4292.4</v>
      </c>
      <c r="J2178" s="13" t="str">
        <f>TEXT(' car_sales_data 1'!$A2178,"mmmm")</f>
        <v>September</v>
      </c>
      <c r="K2178" s="13" t="str">
        <f>IF(' car_sales_data 1'!$G2178&gt;40000,"Premium",
 IF(' car_sales_data 1'!$G2178&gt;=20000,"Mid Range","Budget"))</f>
        <v>Mid Range</v>
      </c>
      <c r="L2178" s="13">
        <f>YEAR(TODAY())-' car_sales_data 1'!$F2178</f>
        <v>9</v>
      </c>
    </row>
    <row r="2179" ht="15.75" customHeight="1">
      <c r="A2179" s="16">
        <v>44934.0</v>
      </c>
      <c r="B2179" s="13" t="s">
        <v>4272</v>
      </c>
      <c r="C2179" s="13" t="s">
        <v>4273</v>
      </c>
      <c r="D2179" s="13" t="s">
        <v>8</v>
      </c>
      <c r="E2179" s="13" t="s">
        <v>57</v>
      </c>
      <c r="F2179" s="13">
        <v>2015.0</v>
      </c>
      <c r="G2179" s="13">
        <v>15395.0</v>
      </c>
      <c r="H2179" s="13">
        <v>2242.25</v>
      </c>
      <c r="I2179" s="13">
        <f>' car_sales_data 1'!$G2179*0.2</f>
        <v>3079</v>
      </c>
      <c r="J2179" s="13" t="str">
        <f>TEXT(' car_sales_data 1'!$A2179,"mmmm")</f>
        <v>January</v>
      </c>
      <c r="K2179" s="13" t="str">
        <f>IF(' car_sales_data 1'!$G2179&gt;40000,"Premium",
 IF(' car_sales_data 1'!$G2179&gt;=20000,"Mid Range","Budget"))</f>
        <v>Budget</v>
      </c>
      <c r="L2179" s="13">
        <f>YEAR(TODAY())-' car_sales_data 1'!$F2179</f>
        <v>10</v>
      </c>
    </row>
    <row r="2180" ht="15.75" customHeight="1">
      <c r="A2180" s="16">
        <v>44974.0</v>
      </c>
      <c r="B2180" s="13" t="s">
        <v>4274</v>
      </c>
      <c r="C2180" s="13" t="s">
        <v>4275</v>
      </c>
      <c r="D2180" s="13" t="s">
        <v>12</v>
      </c>
      <c r="E2180" s="13" t="s">
        <v>62</v>
      </c>
      <c r="F2180" s="13">
        <v>2016.0</v>
      </c>
      <c r="G2180" s="13">
        <v>49431.0</v>
      </c>
      <c r="H2180" s="13">
        <v>3531.5</v>
      </c>
      <c r="I2180" s="13">
        <f>' car_sales_data 1'!$G2180*0.2</f>
        <v>9886.2</v>
      </c>
      <c r="J2180" s="13" t="str">
        <f>TEXT(' car_sales_data 1'!$A2180,"mmmm")</f>
        <v>February</v>
      </c>
      <c r="K2180" s="13" t="str">
        <f>IF(' car_sales_data 1'!$G2180&gt;40000,"Premium",
 IF(' car_sales_data 1'!$G2180&gt;=20000,"Mid Range","Budget"))</f>
        <v>Premium</v>
      </c>
      <c r="L2180" s="13">
        <f>YEAR(TODAY())-' car_sales_data 1'!$F2180</f>
        <v>9</v>
      </c>
    </row>
    <row r="2181" ht="15.75" customHeight="1">
      <c r="A2181" s="16">
        <v>44711.0</v>
      </c>
      <c r="B2181" s="13" t="s">
        <v>4276</v>
      </c>
      <c r="C2181" s="13" t="s">
        <v>4277</v>
      </c>
      <c r="D2181" s="13" t="s">
        <v>6</v>
      </c>
      <c r="E2181" s="13" t="s">
        <v>62</v>
      </c>
      <c r="F2181" s="13">
        <v>2019.0</v>
      </c>
      <c r="G2181" s="13">
        <v>22178.0</v>
      </c>
      <c r="H2181" s="13">
        <v>2802.68</v>
      </c>
      <c r="I2181" s="13">
        <f>' car_sales_data 1'!$G2181*0.2</f>
        <v>4435.6</v>
      </c>
      <c r="J2181" s="13" t="str">
        <f>TEXT(' car_sales_data 1'!$A2181,"mmmm")</f>
        <v>May</v>
      </c>
      <c r="K2181" s="13" t="str">
        <f>IF(' car_sales_data 1'!$G2181&gt;40000,"Premium",
 IF(' car_sales_data 1'!$G2181&gt;=20000,"Mid Range","Budget"))</f>
        <v>Mid Range</v>
      </c>
      <c r="L2181" s="13">
        <f>YEAR(TODAY())-' car_sales_data 1'!$F2181</f>
        <v>6</v>
      </c>
    </row>
    <row r="2182" ht="15.75" customHeight="1">
      <c r="A2182" s="16">
        <v>44782.0</v>
      </c>
      <c r="B2182" s="13" t="s">
        <v>4278</v>
      </c>
      <c r="C2182" s="13" t="s">
        <v>4279</v>
      </c>
      <c r="D2182" s="13" t="s">
        <v>10</v>
      </c>
      <c r="E2182" s="13" t="s">
        <v>54</v>
      </c>
      <c r="F2182" s="13">
        <v>2013.0</v>
      </c>
      <c r="G2182" s="13">
        <v>16842.0</v>
      </c>
      <c r="H2182" s="13">
        <v>1814.08</v>
      </c>
      <c r="I2182" s="13">
        <f>' car_sales_data 1'!$G2182*0.2</f>
        <v>3368.4</v>
      </c>
      <c r="J2182" s="13" t="str">
        <f>TEXT(' car_sales_data 1'!$A2182,"mmmm")</f>
        <v>August</v>
      </c>
      <c r="K2182" s="13" t="str">
        <f>IF(' car_sales_data 1'!$G2182&gt;40000,"Premium",
 IF(' car_sales_data 1'!$G2182&gt;=20000,"Mid Range","Budget"))</f>
        <v>Budget</v>
      </c>
      <c r="L2182" s="13">
        <f>YEAR(TODAY())-' car_sales_data 1'!$F2182</f>
        <v>12</v>
      </c>
    </row>
    <row r="2183" ht="15.75" customHeight="1">
      <c r="A2183" s="16">
        <v>44900.0</v>
      </c>
      <c r="B2183" s="13" t="s">
        <v>4280</v>
      </c>
      <c r="C2183" s="13" t="s">
        <v>2198</v>
      </c>
      <c r="D2183" s="13" t="s">
        <v>8</v>
      </c>
      <c r="E2183" s="13" t="s">
        <v>70</v>
      </c>
      <c r="F2183" s="13">
        <v>2013.0</v>
      </c>
      <c r="G2183" s="13">
        <v>28113.0</v>
      </c>
      <c r="H2183" s="13">
        <v>1733.73</v>
      </c>
      <c r="I2183" s="13">
        <f>' car_sales_data 1'!$G2183*0.2</f>
        <v>5622.6</v>
      </c>
      <c r="J2183" s="13" t="str">
        <f>TEXT(' car_sales_data 1'!$A2183,"mmmm")</f>
        <v>December</v>
      </c>
      <c r="K2183" s="13" t="str">
        <f>IF(' car_sales_data 1'!$G2183&gt;40000,"Premium",
 IF(' car_sales_data 1'!$G2183&gt;=20000,"Mid Range","Budget"))</f>
        <v>Mid Range</v>
      </c>
      <c r="L2183" s="13">
        <f>YEAR(TODAY())-' car_sales_data 1'!$F2183</f>
        <v>12</v>
      </c>
    </row>
    <row r="2184" ht="15.75" customHeight="1">
      <c r="A2184" s="16">
        <v>44842.0</v>
      </c>
      <c r="B2184" s="13" t="s">
        <v>4281</v>
      </c>
      <c r="C2184" s="13" t="s">
        <v>4282</v>
      </c>
      <c r="D2184" s="13" t="s">
        <v>14</v>
      </c>
      <c r="E2184" s="13" t="s">
        <v>51</v>
      </c>
      <c r="F2184" s="13">
        <v>2015.0</v>
      </c>
      <c r="G2184" s="13">
        <v>12891.0</v>
      </c>
      <c r="H2184" s="13">
        <v>1510.19</v>
      </c>
      <c r="I2184" s="13">
        <f>' car_sales_data 1'!$G2184*0.2</f>
        <v>2578.2</v>
      </c>
      <c r="J2184" s="13" t="str">
        <f>TEXT(' car_sales_data 1'!$A2184,"mmmm")</f>
        <v>October</v>
      </c>
      <c r="K2184" s="13" t="str">
        <f>IF(' car_sales_data 1'!$G2184&gt;40000,"Premium",
 IF(' car_sales_data 1'!$G2184&gt;=20000,"Mid Range","Budget"))</f>
        <v>Budget</v>
      </c>
      <c r="L2184" s="13">
        <f>YEAR(TODAY())-' car_sales_data 1'!$F2184</f>
        <v>10</v>
      </c>
    </row>
    <row r="2185" ht="15.75" customHeight="1">
      <c r="A2185" s="16">
        <v>44906.0</v>
      </c>
      <c r="B2185" s="13" t="s">
        <v>4283</v>
      </c>
      <c r="C2185" s="13" t="s">
        <v>4284</v>
      </c>
      <c r="D2185" s="13" t="s">
        <v>8</v>
      </c>
      <c r="E2185" s="13" t="s">
        <v>62</v>
      </c>
      <c r="F2185" s="13">
        <v>2021.0</v>
      </c>
      <c r="G2185" s="13">
        <v>36579.0</v>
      </c>
      <c r="H2185" s="13">
        <v>3761.81</v>
      </c>
      <c r="I2185" s="13">
        <f>' car_sales_data 1'!$G2185*0.2</f>
        <v>7315.8</v>
      </c>
      <c r="J2185" s="13" t="str">
        <f>TEXT(' car_sales_data 1'!$A2185,"mmmm")</f>
        <v>December</v>
      </c>
      <c r="K2185" s="13" t="str">
        <f>IF(' car_sales_data 1'!$G2185&gt;40000,"Premium",
 IF(' car_sales_data 1'!$G2185&gt;=20000,"Mid Range","Budget"))</f>
        <v>Mid Range</v>
      </c>
      <c r="L2185" s="13">
        <f>YEAR(TODAY())-' car_sales_data 1'!$F2185</f>
        <v>4</v>
      </c>
    </row>
    <row r="2186" ht="15.75" customHeight="1">
      <c r="A2186" s="16">
        <v>45030.0</v>
      </c>
      <c r="B2186" s="13" t="s">
        <v>4285</v>
      </c>
      <c r="C2186" s="13" t="s">
        <v>3740</v>
      </c>
      <c r="D2186" s="13" t="s">
        <v>14</v>
      </c>
      <c r="E2186" s="13" t="s">
        <v>54</v>
      </c>
      <c r="F2186" s="13">
        <v>2017.0</v>
      </c>
      <c r="G2186" s="13">
        <v>21851.0</v>
      </c>
      <c r="H2186" s="13">
        <v>3218.01</v>
      </c>
      <c r="I2186" s="13">
        <f>' car_sales_data 1'!$G2186*0.2</f>
        <v>4370.2</v>
      </c>
      <c r="J2186" s="13" t="str">
        <f>TEXT(' car_sales_data 1'!$A2186,"mmmm")</f>
        <v>April</v>
      </c>
      <c r="K2186" s="13" t="str">
        <f>IF(' car_sales_data 1'!$G2186&gt;40000,"Premium",
 IF(' car_sales_data 1'!$G2186&gt;=20000,"Mid Range","Budget"))</f>
        <v>Mid Range</v>
      </c>
      <c r="L2186" s="13">
        <f>YEAR(TODAY())-' car_sales_data 1'!$F2186</f>
        <v>8</v>
      </c>
    </row>
    <row r="2187" ht="15.75" customHeight="1">
      <c r="A2187" s="16">
        <v>44830.0</v>
      </c>
      <c r="B2187" s="13" t="s">
        <v>4286</v>
      </c>
      <c r="C2187" s="13" t="s">
        <v>4287</v>
      </c>
      <c r="D2187" s="13" t="s">
        <v>14</v>
      </c>
      <c r="E2187" s="13" t="s">
        <v>51</v>
      </c>
      <c r="F2187" s="13">
        <v>2012.0</v>
      </c>
      <c r="G2187" s="13">
        <v>28410.0</v>
      </c>
      <c r="H2187" s="13">
        <v>3235.3</v>
      </c>
      <c r="I2187" s="13">
        <f>' car_sales_data 1'!$G2187*0.2</f>
        <v>5682</v>
      </c>
      <c r="J2187" s="13" t="str">
        <f>TEXT(' car_sales_data 1'!$A2187,"mmmm")</f>
        <v>September</v>
      </c>
      <c r="K2187" s="13" t="str">
        <f>IF(' car_sales_data 1'!$G2187&gt;40000,"Premium",
 IF(' car_sales_data 1'!$G2187&gt;=20000,"Mid Range","Budget"))</f>
        <v>Mid Range</v>
      </c>
      <c r="L2187" s="13">
        <f>YEAR(TODAY())-' car_sales_data 1'!$F2187</f>
        <v>13</v>
      </c>
    </row>
    <row r="2188" ht="15.75" customHeight="1">
      <c r="A2188" s="16">
        <v>44883.0</v>
      </c>
      <c r="B2188" s="13" t="s">
        <v>4288</v>
      </c>
      <c r="C2188" s="13" t="s">
        <v>4289</v>
      </c>
      <c r="D2188" s="13" t="s">
        <v>10</v>
      </c>
      <c r="E2188" s="13" t="s">
        <v>57</v>
      </c>
      <c r="F2188" s="13">
        <v>2015.0</v>
      </c>
      <c r="G2188" s="13">
        <v>16362.0</v>
      </c>
      <c r="H2188" s="13">
        <v>1484.36</v>
      </c>
      <c r="I2188" s="13">
        <f>' car_sales_data 1'!$G2188*0.2</f>
        <v>3272.4</v>
      </c>
      <c r="J2188" s="13" t="str">
        <f>TEXT(' car_sales_data 1'!$A2188,"mmmm")</f>
        <v>November</v>
      </c>
      <c r="K2188" s="13" t="str">
        <f>IF(' car_sales_data 1'!$G2188&gt;40000,"Premium",
 IF(' car_sales_data 1'!$G2188&gt;=20000,"Mid Range","Budget"))</f>
        <v>Budget</v>
      </c>
      <c r="L2188" s="13">
        <f>YEAR(TODAY())-' car_sales_data 1'!$F2188</f>
        <v>10</v>
      </c>
    </row>
    <row r="2189" ht="15.75" customHeight="1">
      <c r="A2189" s="16">
        <v>44773.0</v>
      </c>
      <c r="B2189" s="13" t="s">
        <v>4290</v>
      </c>
      <c r="C2189" s="13" t="s">
        <v>4291</v>
      </c>
      <c r="D2189" s="13" t="s">
        <v>10</v>
      </c>
      <c r="E2189" s="13" t="s">
        <v>62</v>
      </c>
      <c r="F2189" s="13">
        <v>2012.0</v>
      </c>
      <c r="G2189" s="13">
        <v>10442.0</v>
      </c>
      <c r="H2189" s="13">
        <v>1299.82</v>
      </c>
      <c r="I2189" s="13">
        <f>' car_sales_data 1'!$G2189*0.2</f>
        <v>2088.4</v>
      </c>
      <c r="J2189" s="13" t="str">
        <f>TEXT(' car_sales_data 1'!$A2189,"mmmm")</f>
        <v>July</v>
      </c>
      <c r="K2189" s="13" t="str">
        <f>IF(' car_sales_data 1'!$G2189&gt;40000,"Premium",
 IF(' car_sales_data 1'!$G2189&gt;=20000,"Mid Range","Budget"))</f>
        <v>Budget</v>
      </c>
      <c r="L2189" s="13">
        <f>YEAR(TODAY())-' car_sales_data 1'!$F2189</f>
        <v>13</v>
      </c>
    </row>
    <row r="2190" ht="15.75" customHeight="1">
      <c r="A2190" s="16">
        <v>45024.0</v>
      </c>
      <c r="B2190" s="13" t="s">
        <v>4292</v>
      </c>
      <c r="C2190" s="13" t="s">
        <v>4293</v>
      </c>
      <c r="D2190" s="13" t="s">
        <v>6</v>
      </c>
      <c r="E2190" s="13" t="s">
        <v>70</v>
      </c>
      <c r="F2190" s="13">
        <v>2013.0</v>
      </c>
      <c r="G2190" s="13">
        <v>26690.0</v>
      </c>
      <c r="H2190" s="13">
        <v>2290.75</v>
      </c>
      <c r="I2190" s="13">
        <f>' car_sales_data 1'!$G2190*0.2</f>
        <v>5338</v>
      </c>
      <c r="J2190" s="13" t="str">
        <f>TEXT(' car_sales_data 1'!$A2190,"mmmm")</f>
        <v>April</v>
      </c>
      <c r="K2190" s="13" t="str">
        <f>IF(' car_sales_data 1'!$G2190&gt;40000,"Premium",
 IF(' car_sales_data 1'!$G2190&gt;=20000,"Mid Range","Budget"))</f>
        <v>Mid Range</v>
      </c>
      <c r="L2190" s="13">
        <f>YEAR(TODAY())-' car_sales_data 1'!$F2190</f>
        <v>12</v>
      </c>
    </row>
    <row r="2191" ht="15.75" customHeight="1">
      <c r="A2191" s="16">
        <v>44917.0</v>
      </c>
      <c r="B2191" s="13" t="s">
        <v>3566</v>
      </c>
      <c r="C2191" s="13" t="s">
        <v>4294</v>
      </c>
      <c r="D2191" s="13" t="s">
        <v>14</v>
      </c>
      <c r="E2191" s="13" t="s">
        <v>62</v>
      </c>
      <c r="F2191" s="13">
        <v>2016.0</v>
      </c>
      <c r="G2191" s="13">
        <v>11147.0</v>
      </c>
      <c r="H2191" s="13">
        <v>1664.18</v>
      </c>
      <c r="I2191" s="13">
        <f>' car_sales_data 1'!$G2191*0.2</f>
        <v>2229.4</v>
      </c>
      <c r="J2191" s="13" t="str">
        <f>TEXT(' car_sales_data 1'!$A2191,"mmmm")</f>
        <v>December</v>
      </c>
      <c r="K2191" s="13" t="str">
        <f>IF(' car_sales_data 1'!$G2191&gt;40000,"Premium",
 IF(' car_sales_data 1'!$G2191&gt;=20000,"Mid Range","Budget"))</f>
        <v>Budget</v>
      </c>
      <c r="L2191" s="13">
        <f>YEAR(TODAY())-' car_sales_data 1'!$F2191</f>
        <v>9</v>
      </c>
    </row>
    <row r="2192" ht="15.75" customHeight="1">
      <c r="A2192" s="16">
        <v>44841.0</v>
      </c>
      <c r="B2192" s="13" t="s">
        <v>4295</v>
      </c>
      <c r="C2192" s="13" t="s">
        <v>4296</v>
      </c>
      <c r="D2192" s="13" t="s">
        <v>12</v>
      </c>
      <c r="E2192" s="13" t="s">
        <v>54</v>
      </c>
      <c r="F2192" s="13">
        <v>2011.0</v>
      </c>
      <c r="G2192" s="13">
        <v>18595.0</v>
      </c>
      <c r="H2192" s="13">
        <v>1796.14</v>
      </c>
      <c r="I2192" s="13">
        <f>' car_sales_data 1'!$G2192*0.2</f>
        <v>3719</v>
      </c>
      <c r="J2192" s="13" t="str">
        <f>TEXT(' car_sales_data 1'!$A2192,"mmmm")</f>
        <v>October</v>
      </c>
      <c r="K2192" s="13" t="str">
        <f>IF(' car_sales_data 1'!$G2192&gt;40000,"Premium",
 IF(' car_sales_data 1'!$G2192&gt;=20000,"Mid Range","Budget"))</f>
        <v>Budget</v>
      </c>
      <c r="L2192" s="13">
        <f>YEAR(TODAY())-' car_sales_data 1'!$F2192</f>
        <v>14</v>
      </c>
    </row>
    <row r="2193" ht="15.75" customHeight="1">
      <c r="A2193" s="16">
        <v>45046.0</v>
      </c>
      <c r="B2193" s="13" t="s">
        <v>4297</v>
      </c>
      <c r="C2193" s="13" t="s">
        <v>4298</v>
      </c>
      <c r="D2193" s="13" t="s">
        <v>12</v>
      </c>
      <c r="E2193" s="13" t="s">
        <v>57</v>
      </c>
      <c r="F2193" s="13">
        <v>2013.0</v>
      </c>
      <c r="G2193" s="13">
        <v>13163.0</v>
      </c>
      <c r="H2193" s="13">
        <v>1057.09</v>
      </c>
      <c r="I2193" s="13">
        <f>' car_sales_data 1'!$G2193*0.2</f>
        <v>2632.6</v>
      </c>
      <c r="J2193" s="13" t="str">
        <f>TEXT(' car_sales_data 1'!$A2193,"mmmm")</f>
        <v>April</v>
      </c>
      <c r="K2193" s="13" t="str">
        <f>IF(' car_sales_data 1'!$G2193&gt;40000,"Premium",
 IF(' car_sales_data 1'!$G2193&gt;=20000,"Mid Range","Budget"))</f>
        <v>Budget</v>
      </c>
      <c r="L2193" s="13">
        <f>YEAR(TODAY())-' car_sales_data 1'!$F2193</f>
        <v>12</v>
      </c>
    </row>
    <row r="2194" ht="15.75" customHeight="1">
      <c r="A2194" s="16">
        <v>44974.0</v>
      </c>
      <c r="B2194" s="13" t="s">
        <v>4299</v>
      </c>
      <c r="C2194" s="13" t="s">
        <v>1972</v>
      </c>
      <c r="D2194" s="13" t="s">
        <v>12</v>
      </c>
      <c r="E2194" s="13" t="s">
        <v>54</v>
      </c>
      <c r="F2194" s="13">
        <v>2010.0</v>
      </c>
      <c r="G2194" s="13">
        <v>46472.0</v>
      </c>
      <c r="H2194" s="13">
        <v>2678.8</v>
      </c>
      <c r="I2194" s="13">
        <f>' car_sales_data 1'!$G2194*0.2</f>
        <v>9294.4</v>
      </c>
      <c r="J2194" s="13" t="str">
        <f>TEXT(' car_sales_data 1'!$A2194,"mmmm")</f>
        <v>February</v>
      </c>
      <c r="K2194" s="13" t="str">
        <f>IF(' car_sales_data 1'!$G2194&gt;40000,"Premium",
 IF(' car_sales_data 1'!$G2194&gt;=20000,"Mid Range","Budget"))</f>
        <v>Premium</v>
      </c>
      <c r="L2194" s="13">
        <f>YEAR(TODAY())-' car_sales_data 1'!$F2194</f>
        <v>15</v>
      </c>
    </row>
    <row r="2195" ht="15.75" customHeight="1">
      <c r="A2195" s="16">
        <v>44701.0</v>
      </c>
      <c r="B2195" s="13" t="s">
        <v>4300</v>
      </c>
      <c r="C2195" s="13" t="s">
        <v>4301</v>
      </c>
      <c r="D2195" s="13" t="s">
        <v>8</v>
      </c>
      <c r="E2195" s="13" t="s">
        <v>57</v>
      </c>
      <c r="F2195" s="13">
        <v>2018.0</v>
      </c>
      <c r="G2195" s="13">
        <v>47977.0</v>
      </c>
      <c r="H2195" s="13">
        <v>4223.4</v>
      </c>
      <c r="I2195" s="13">
        <f>' car_sales_data 1'!$G2195*0.2</f>
        <v>9595.4</v>
      </c>
      <c r="J2195" s="13" t="str">
        <f>TEXT(' car_sales_data 1'!$A2195,"mmmm")</f>
        <v>May</v>
      </c>
      <c r="K2195" s="13" t="str">
        <f>IF(' car_sales_data 1'!$G2195&gt;40000,"Premium",
 IF(' car_sales_data 1'!$G2195&gt;=20000,"Mid Range","Budget"))</f>
        <v>Premium</v>
      </c>
      <c r="L2195" s="13">
        <f>YEAR(TODAY())-' car_sales_data 1'!$F2195</f>
        <v>7</v>
      </c>
    </row>
    <row r="2196" ht="15.75" customHeight="1">
      <c r="A2196" s="16">
        <v>45030.0</v>
      </c>
      <c r="B2196" s="13" t="s">
        <v>4302</v>
      </c>
      <c r="C2196" s="13" t="s">
        <v>4303</v>
      </c>
      <c r="D2196" s="13" t="s">
        <v>8</v>
      </c>
      <c r="E2196" s="13" t="s">
        <v>57</v>
      </c>
      <c r="F2196" s="13">
        <v>2020.0</v>
      </c>
      <c r="G2196" s="13">
        <v>40205.0</v>
      </c>
      <c r="H2196" s="13">
        <v>3287.87</v>
      </c>
      <c r="I2196" s="13">
        <f>' car_sales_data 1'!$G2196*0.2</f>
        <v>8041</v>
      </c>
      <c r="J2196" s="13" t="str">
        <f>TEXT(' car_sales_data 1'!$A2196,"mmmm")</f>
        <v>April</v>
      </c>
      <c r="K2196" s="13" t="str">
        <f>IF(' car_sales_data 1'!$G2196&gt;40000,"Premium",
 IF(' car_sales_data 1'!$G2196&gt;=20000,"Mid Range","Budget"))</f>
        <v>Premium</v>
      </c>
      <c r="L2196" s="13">
        <f>YEAR(TODAY())-' car_sales_data 1'!$F2196</f>
        <v>5</v>
      </c>
    </row>
    <row r="2197" ht="15.75" customHeight="1">
      <c r="A2197" s="16">
        <v>44838.0</v>
      </c>
      <c r="B2197" s="13" t="s">
        <v>4304</v>
      </c>
      <c r="C2197" s="13" t="s">
        <v>4305</v>
      </c>
      <c r="D2197" s="13" t="s">
        <v>14</v>
      </c>
      <c r="E2197" s="13" t="s">
        <v>51</v>
      </c>
      <c r="F2197" s="13">
        <v>2014.0</v>
      </c>
      <c r="G2197" s="13">
        <v>44428.0</v>
      </c>
      <c r="H2197" s="13">
        <v>6367.79</v>
      </c>
      <c r="I2197" s="13">
        <f>' car_sales_data 1'!$G2197*0.2</f>
        <v>8885.6</v>
      </c>
      <c r="J2197" s="13" t="str">
        <f>TEXT(' car_sales_data 1'!$A2197,"mmmm")</f>
        <v>October</v>
      </c>
      <c r="K2197" s="13" t="str">
        <f>IF(' car_sales_data 1'!$G2197&gt;40000,"Premium",
 IF(' car_sales_data 1'!$G2197&gt;=20000,"Mid Range","Budget"))</f>
        <v>Premium</v>
      </c>
      <c r="L2197" s="13">
        <f>YEAR(TODAY())-' car_sales_data 1'!$F2197</f>
        <v>11</v>
      </c>
    </row>
    <row r="2198" ht="15.75" customHeight="1">
      <c r="A2198" s="16">
        <v>44879.0</v>
      </c>
      <c r="B2198" s="13" t="s">
        <v>4306</v>
      </c>
      <c r="C2198" s="13" t="s">
        <v>4307</v>
      </c>
      <c r="D2198" s="13" t="s">
        <v>10</v>
      </c>
      <c r="E2198" s="13" t="s">
        <v>70</v>
      </c>
      <c r="F2198" s="13">
        <v>2015.0</v>
      </c>
      <c r="G2198" s="13">
        <v>35525.0</v>
      </c>
      <c r="H2198" s="13">
        <v>3623.47</v>
      </c>
      <c r="I2198" s="13">
        <f>' car_sales_data 1'!$G2198*0.2</f>
        <v>7105</v>
      </c>
      <c r="J2198" s="13" t="str">
        <f>TEXT(' car_sales_data 1'!$A2198,"mmmm")</f>
        <v>November</v>
      </c>
      <c r="K2198" s="13" t="str">
        <f>IF(' car_sales_data 1'!$G2198&gt;40000,"Premium",
 IF(' car_sales_data 1'!$G2198&gt;=20000,"Mid Range","Budget"))</f>
        <v>Mid Range</v>
      </c>
      <c r="L2198" s="13">
        <f>YEAR(TODAY())-' car_sales_data 1'!$F2198</f>
        <v>10</v>
      </c>
    </row>
    <row r="2199" ht="15.75" customHeight="1">
      <c r="A2199" s="16">
        <v>44708.0</v>
      </c>
      <c r="B2199" s="13" t="s">
        <v>4308</v>
      </c>
      <c r="C2199" s="13" t="s">
        <v>4309</v>
      </c>
      <c r="D2199" s="13" t="s">
        <v>6</v>
      </c>
      <c r="E2199" s="13" t="s">
        <v>70</v>
      </c>
      <c r="F2199" s="13">
        <v>2015.0</v>
      </c>
      <c r="G2199" s="13">
        <v>42091.0</v>
      </c>
      <c r="H2199" s="13">
        <v>4988.51</v>
      </c>
      <c r="I2199" s="13">
        <f>' car_sales_data 1'!$G2199*0.2</f>
        <v>8418.2</v>
      </c>
      <c r="J2199" s="13" t="str">
        <f>TEXT(' car_sales_data 1'!$A2199,"mmmm")</f>
        <v>May</v>
      </c>
      <c r="K2199" s="13" t="str">
        <f>IF(' car_sales_data 1'!$G2199&gt;40000,"Premium",
 IF(' car_sales_data 1'!$G2199&gt;=20000,"Mid Range","Budget"))</f>
        <v>Premium</v>
      </c>
      <c r="L2199" s="13">
        <f>YEAR(TODAY())-' car_sales_data 1'!$F2199</f>
        <v>10</v>
      </c>
    </row>
    <row r="2200" ht="15.75" customHeight="1">
      <c r="A2200" s="16">
        <v>44710.0</v>
      </c>
      <c r="B2200" s="13" t="s">
        <v>4310</v>
      </c>
      <c r="C2200" s="13" t="s">
        <v>4311</v>
      </c>
      <c r="D2200" s="13" t="s">
        <v>6</v>
      </c>
      <c r="E2200" s="13" t="s">
        <v>57</v>
      </c>
      <c r="F2200" s="13">
        <v>2021.0</v>
      </c>
      <c r="G2200" s="13">
        <v>39513.0</v>
      </c>
      <c r="H2200" s="13">
        <v>3469.73</v>
      </c>
      <c r="I2200" s="13">
        <f>' car_sales_data 1'!$G2200*0.2</f>
        <v>7902.6</v>
      </c>
      <c r="J2200" s="13" t="str">
        <f>TEXT(' car_sales_data 1'!$A2200,"mmmm")</f>
        <v>May</v>
      </c>
      <c r="K2200" s="13" t="str">
        <f>IF(' car_sales_data 1'!$G2200&gt;40000,"Premium",
 IF(' car_sales_data 1'!$G2200&gt;=20000,"Mid Range","Budget"))</f>
        <v>Mid Range</v>
      </c>
      <c r="L2200" s="13">
        <f>YEAR(TODAY())-' car_sales_data 1'!$F2200</f>
        <v>4</v>
      </c>
    </row>
    <row r="2201" ht="15.75" customHeight="1">
      <c r="A2201" s="16">
        <v>44923.0</v>
      </c>
      <c r="B2201" s="13" t="s">
        <v>4312</v>
      </c>
      <c r="C2201" s="13" t="s">
        <v>4313</v>
      </c>
      <c r="D2201" s="13" t="s">
        <v>12</v>
      </c>
      <c r="E2201" s="13" t="s">
        <v>54</v>
      </c>
      <c r="F2201" s="13">
        <v>2011.0</v>
      </c>
      <c r="G2201" s="13">
        <v>39022.0</v>
      </c>
      <c r="H2201" s="13">
        <v>5090.29</v>
      </c>
      <c r="I2201" s="13">
        <f>' car_sales_data 1'!$G2201*0.2</f>
        <v>7804.4</v>
      </c>
      <c r="J2201" s="13" t="str">
        <f>TEXT(' car_sales_data 1'!$A2201,"mmmm")</f>
        <v>December</v>
      </c>
      <c r="K2201" s="13" t="str">
        <f>IF(' car_sales_data 1'!$G2201&gt;40000,"Premium",
 IF(' car_sales_data 1'!$G2201&gt;=20000,"Mid Range","Budget"))</f>
        <v>Mid Range</v>
      </c>
      <c r="L2201" s="13">
        <f>YEAR(TODAY())-' car_sales_data 1'!$F2201</f>
        <v>14</v>
      </c>
    </row>
    <row r="2202" ht="15.75" customHeight="1">
      <c r="A2202" s="16">
        <v>44719.0</v>
      </c>
      <c r="B2202" s="13" t="s">
        <v>4314</v>
      </c>
      <c r="C2202" s="13" t="s">
        <v>4315</v>
      </c>
      <c r="D2202" s="13" t="s">
        <v>10</v>
      </c>
      <c r="E2202" s="13" t="s">
        <v>51</v>
      </c>
      <c r="F2202" s="13">
        <v>2019.0</v>
      </c>
      <c r="G2202" s="13">
        <v>13119.0</v>
      </c>
      <c r="H2202" s="13">
        <v>1622.97</v>
      </c>
      <c r="I2202" s="13">
        <f>' car_sales_data 1'!$G2202*0.2</f>
        <v>2623.8</v>
      </c>
      <c r="J2202" s="13" t="str">
        <f>TEXT(' car_sales_data 1'!$A2202,"mmmm")</f>
        <v>June</v>
      </c>
      <c r="K2202" s="13" t="str">
        <f>IF(' car_sales_data 1'!$G2202&gt;40000,"Premium",
 IF(' car_sales_data 1'!$G2202&gt;=20000,"Mid Range","Budget"))</f>
        <v>Budget</v>
      </c>
      <c r="L2202" s="13">
        <f>YEAR(TODAY())-' car_sales_data 1'!$F2202</f>
        <v>6</v>
      </c>
    </row>
    <row r="2203" ht="15.75" customHeight="1">
      <c r="A2203" s="16">
        <v>45003.0</v>
      </c>
      <c r="B2203" s="13" t="s">
        <v>4316</v>
      </c>
      <c r="C2203" s="13" t="s">
        <v>4317</v>
      </c>
      <c r="D2203" s="13" t="s">
        <v>6</v>
      </c>
      <c r="E2203" s="13" t="s">
        <v>70</v>
      </c>
      <c r="F2203" s="13">
        <v>2010.0</v>
      </c>
      <c r="G2203" s="13">
        <v>25113.0</v>
      </c>
      <c r="H2203" s="13">
        <v>1699.22</v>
      </c>
      <c r="I2203" s="13">
        <f>' car_sales_data 1'!$G2203*0.2</f>
        <v>5022.6</v>
      </c>
      <c r="J2203" s="13" t="str">
        <f>TEXT(' car_sales_data 1'!$A2203,"mmmm")</f>
        <v>March</v>
      </c>
      <c r="K2203" s="13" t="str">
        <f>IF(' car_sales_data 1'!$G2203&gt;40000,"Premium",
 IF(' car_sales_data 1'!$G2203&gt;=20000,"Mid Range","Budget"))</f>
        <v>Mid Range</v>
      </c>
      <c r="L2203" s="13">
        <f>YEAR(TODAY())-' car_sales_data 1'!$F2203</f>
        <v>15</v>
      </c>
    </row>
    <row r="2204" ht="15.75" customHeight="1">
      <c r="A2204" s="16">
        <v>44821.0</v>
      </c>
      <c r="B2204" s="13" t="s">
        <v>4318</v>
      </c>
      <c r="C2204" s="13" t="s">
        <v>4319</v>
      </c>
      <c r="D2204" s="13" t="s">
        <v>6</v>
      </c>
      <c r="E2204" s="13" t="s">
        <v>70</v>
      </c>
      <c r="F2204" s="13">
        <v>2021.0</v>
      </c>
      <c r="G2204" s="13">
        <v>18462.0</v>
      </c>
      <c r="H2204" s="13">
        <v>1325.31</v>
      </c>
      <c r="I2204" s="13">
        <f>' car_sales_data 1'!$G2204*0.2</f>
        <v>3692.4</v>
      </c>
      <c r="J2204" s="13" t="str">
        <f>TEXT(' car_sales_data 1'!$A2204,"mmmm")</f>
        <v>September</v>
      </c>
      <c r="K2204" s="13" t="str">
        <f>IF(' car_sales_data 1'!$G2204&gt;40000,"Premium",
 IF(' car_sales_data 1'!$G2204&gt;=20000,"Mid Range","Budget"))</f>
        <v>Budget</v>
      </c>
      <c r="L2204" s="13">
        <f>YEAR(TODAY())-' car_sales_data 1'!$F2204</f>
        <v>4</v>
      </c>
    </row>
    <row r="2205" ht="15.75" customHeight="1">
      <c r="A2205" s="16">
        <v>44775.0</v>
      </c>
      <c r="B2205" s="13" t="s">
        <v>4320</v>
      </c>
      <c r="C2205" s="13" t="s">
        <v>4321</v>
      </c>
      <c r="D2205" s="13" t="s">
        <v>6</v>
      </c>
      <c r="E2205" s="13" t="s">
        <v>54</v>
      </c>
      <c r="F2205" s="13">
        <v>2021.0</v>
      </c>
      <c r="G2205" s="13">
        <v>24925.0</v>
      </c>
      <c r="H2205" s="13">
        <v>1845.81</v>
      </c>
      <c r="I2205" s="13">
        <f>' car_sales_data 1'!$G2205*0.2</f>
        <v>4985</v>
      </c>
      <c r="J2205" s="13" t="str">
        <f>TEXT(' car_sales_data 1'!$A2205,"mmmm")</f>
        <v>August</v>
      </c>
      <c r="K2205" s="13" t="str">
        <f>IF(' car_sales_data 1'!$G2205&gt;40000,"Premium",
 IF(' car_sales_data 1'!$G2205&gt;=20000,"Mid Range","Budget"))</f>
        <v>Mid Range</v>
      </c>
      <c r="L2205" s="13">
        <f>YEAR(TODAY())-' car_sales_data 1'!$F2205</f>
        <v>4</v>
      </c>
    </row>
    <row r="2206" ht="15.75" customHeight="1">
      <c r="A2206" s="16">
        <v>44919.0</v>
      </c>
      <c r="B2206" s="13" t="s">
        <v>4322</v>
      </c>
      <c r="C2206" s="13" t="s">
        <v>4323</v>
      </c>
      <c r="D2206" s="13" t="s">
        <v>8</v>
      </c>
      <c r="E2206" s="13" t="s">
        <v>54</v>
      </c>
      <c r="F2206" s="13">
        <v>2015.0</v>
      </c>
      <c r="G2206" s="13">
        <v>22881.0</v>
      </c>
      <c r="H2206" s="13">
        <v>3239.74</v>
      </c>
      <c r="I2206" s="13">
        <f>' car_sales_data 1'!$G2206*0.2</f>
        <v>4576.2</v>
      </c>
      <c r="J2206" s="13" t="str">
        <f>TEXT(' car_sales_data 1'!$A2206,"mmmm")</f>
        <v>December</v>
      </c>
      <c r="K2206" s="13" t="str">
        <f>IF(' car_sales_data 1'!$G2206&gt;40000,"Premium",
 IF(' car_sales_data 1'!$G2206&gt;=20000,"Mid Range","Budget"))</f>
        <v>Mid Range</v>
      </c>
      <c r="L2206" s="13">
        <f>YEAR(TODAY())-' car_sales_data 1'!$F2206</f>
        <v>10</v>
      </c>
    </row>
    <row r="2207" ht="15.75" customHeight="1">
      <c r="A2207" s="16">
        <v>44958.0</v>
      </c>
      <c r="B2207" s="13" t="s">
        <v>4324</v>
      </c>
      <c r="C2207" s="13" t="s">
        <v>4325</v>
      </c>
      <c r="D2207" s="13" t="s">
        <v>8</v>
      </c>
      <c r="E2207" s="13" t="s">
        <v>70</v>
      </c>
      <c r="F2207" s="13">
        <v>2012.0</v>
      </c>
      <c r="G2207" s="13">
        <v>35027.0</v>
      </c>
      <c r="H2207" s="13">
        <v>3698.64</v>
      </c>
      <c r="I2207" s="13">
        <f>' car_sales_data 1'!$G2207*0.2</f>
        <v>7005.4</v>
      </c>
      <c r="J2207" s="13" t="str">
        <f>TEXT(' car_sales_data 1'!$A2207,"mmmm")</f>
        <v>February</v>
      </c>
      <c r="K2207" s="13" t="str">
        <f>IF(' car_sales_data 1'!$G2207&gt;40000,"Premium",
 IF(' car_sales_data 1'!$G2207&gt;=20000,"Mid Range","Budget"))</f>
        <v>Mid Range</v>
      </c>
      <c r="L2207" s="13">
        <f>YEAR(TODAY())-' car_sales_data 1'!$F2207</f>
        <v>13</v>
      </c>
    </row>
    <row r="2208" ht="15.75" customHeight="1">
      <c r="A2208" s="16">
        <v>44938.0</v>
      </c>
      <c r="B2208" s="13" t="s">
        <v>4326</v>
      </c>
      <c r="C2208" s="13" t="s">
        <v>4327</v>
      </c>
      <c r="D2208" s="13" t="s">
        <v>8</v>
      </c>
      <c r="E2208" s="13" t="s">
        <v>62</v>
      </c>
      <c r="F2208" s="13">
        <v>2022.0</v>
      </c>
      <c r="G2208" s="13">
        <v>19659.0</v>
      </c>
      <c r="H2208" s="13">
        <v>1090.17</v>
      </c>
      <c r="I2208" s="13">
        <f>' car_sales_data 1'!$G2208*0.2</f>
        <v>3931.8</v>
      </c>
      <c r="J2208" s="13" t="str">
        <f>TEXT(' car_sales_data 1'!$A2208,"mmmm")</f>
        <v>January</v>
      </c>
      <c r="K2208" s="13" t="str">
        <f>IF(' car_sales_data 1'!$G2208&gt;40000,"Premium",
 IF(' car_sales_data 1'!$G2208&gt;=20000,"Mid Range","Budget"))</f>
        <v>Budget</v>
      </c>
      <c r="L2208" s="13">
        <f>YEAR(TODAY())-' car_sales_data 1'!$F2208</f>
        <v>3</v>
      </c>
    </row>
    <row r="2209" ht="15.75" customHeight="1">
      <c r="A2209" s="16">
        <v>45028.0</v>
      </c>
      <c r="B2209" s="13" t="s">
        <v>3203</v>
      </c>
      <c r="C2209" s="13" t="s">
        <v>4328</v>
      </c>
      <c r="D2209" s="13" t="s">
        <v>12</v>
      </c>
      <c r="E2209" s="13" t="s">
        <v>70</v>
      </c>
      <c r="F2209" s="13">
        <v>2010.0</v>
      </c>
      <c r="G2209" s="13">
        <v>49057.0</v>
      </c>
      <c r="H2209" s="13">
        <v>5818.3</v>
      </c>
      <c r="I2209" s="13">
        <f>' car_sales_data 1'!$G2209*0.2</f>
        <v>9811.4</v>
      </c>
      <c r="J2209" s="13" t="str">
        <f>TEXT(' car_sales_data 1'!$A2209,"mmmm")</f>
        <v>April</v>
      </c>
      <c r="K2209" s="13" t="str">
        <f>IF(' car_sales_data 1'!$G2209&gt;40000,"Premium",
 IF(' car_sales_data 1'!$G2209&gt;=20000,"Mid Range","Budget"))</f>
        <v>Premium</v>
      </c>
      <c r="L2209" s="13">
        <f>YEAR(TODAY())-' car_sales_data 1'!$F2209</f>
        <v>15</v>
      </c>
    </row>
    <row r="2210" ht="15.75" customHeight="1">
      <c r="A2210" s="16">
        <v>44811.0</v>
      </c>
      <c r="B2210" s="13" t="s">
        <v>4329</v>
      </c>
      <c r="C2210" s="13" t="s">
        <v>4330</v>
      </c>
      <c r="D2210" s="13" t="s">
        <v>10</v>
      </c>
      <c r="E2210" s="13" t="s">
        <v>57</v>
      </c>
      <c r="F2210" s="13">
        <v>2017.0</v>
      </c>
      <c r="G2210" s="13">
        <v>30492.0</v>
      </c>
      <c r="H2210" s="13">
        <v>1652.99</v>
      </c>
      <c r="I2210" s="13">
        <f>' car_sales_data 1'!$G2210*0.2</f>
        <v>6098.4</v>
      </c>
      <c r="J2210" s="13" t="str">
        <f>TEXT(' car_sales_data 1'!$A2210,"mmmm")</f>
        <v>September</v>
      </c>
      <c r="K2210" s="13" t="str">
        <f>IF(' car_sales_data 1'!$G2210&gt;40000,"Premium",
 IF(' car_sales_data 1'!$G2210&gt;=20000,"Mid Range","Budget"))</f>
        <v>Mid Range</v>
      </c>
      <c r="L2210" s="13">
        <f>YEAR(TODAY())-' car_sales_data 1'!$F2210</f>
        <v>8</v>
      </c>
    </row>
    <row r="2211" ht="15.75" customHeight="1">
      <c r="A2211" s="16">
        <v>44952.0</v>
      </c>
      <c r="B2211" s="13" t="s">
        <v>4331</v>
      </c>
      <c r="C2211" s="13" t="s">
        <v>4332</v>
      </c>
      <c r="D2211" s="13" t="s">
        <v>6</v>
      </c>
      <c r="E2211" s="13" t="s">
        <v>51</v>
      </c>
      <c r="F2211" s="13">
        <v>2017.0</v>
      </c>
      <c r="G2211" s="13">
        <v>35556.0</v>
      </c>
      <c r="H2211" s="13">
        <v>2468.55</v>
      </c>
      <c r="I2211" s="13">
        <f>' car_sales_data 1'!$G2211*0.2</f>
        <v>7111.2</v>
      </c>
      <c r="J2211" s="13" t="str">
        <f>TEXT(' car_sales_data 1'!$A2211,"mmmm")</f>
        <v>January</v>
      </c>
      <c r="K2211" s="13" t="str">
        <f>IF(' car_sales_data 1'!$G2211&gt;40000,"Premium",
 IF(' car_sales_data 1'!$G2211&gt;=20000,"Mid Range","Budget"))</f>
        <v>Mid Range</v>
      </c>
      <c r="L2211" s="13">
        <f>YEAR(TODAY())-' car_sales_data 1'!$F2211</f>
        <v>8</v>
      </c>
    </row>
    <row r="2212" ht="15.75" customHeight="1">
      <c r="A2212" s="16">
        <v>44995.0</v>
      </c>
      <c r="B2212" s="13" t="s">
        <v>4333</v>
      </c>
      <c r="C2212" s="13" t="s">
        <v>4334</v>
      </c>
      <c r="D2212" s="13" t="s">
        <v>6</v>
      </c>
      <c r="E2212" s="13" t="s">
        <v>54</v>
      </c>
      <c r="F2212" s="13">
        <v>2010.0</v>
      </c>
      <c r="G2212" s="13">
        <v>39942.0</v>
      </c>
      <c r="H2212" s="13">
        <v>5147.15</v>
      </c>
      <c r="I2212" s="13">
        <f>' car_sales_data 1'!$G2212*0.2</f>
        <v>7988.4</v>
      </c>
      <c r="J2212" s="13" t="str">
        <f>TEXT(' car_sales_data 1'!$A2212,"mmmm")</f>
        <v>March</v>
      </c>
      <c r="K2212" s="13" t="str">
        <f>IF(' car_sales_data 1'!$G2212&gt;40000,"Premium",
 IF(' car_sales_data 1'!$G2212&gt;=20000,"Mid Range","Budget"))</f>
        <v>Mid Range</v>
      </c>
      <c r="L2212" s="13">
        <f>YEAR(TODAY())-' car_sales_data 1'!$F2212</f>
        <v>15</v>
      </c>
    </row>
    <row r="2213" ht="15.75" customHeight="1">
      <c r="A2213" s="16">
        <v>44849.0</v>
      </c>
      <c r="B2213" s="13" t="s">
        <v>4335</v>
      </c>
      <c r="C2213" s="13" t="s">
        <v>4336</v>
      </c>
      <c r="D2213" s="13" t="s">
        <v>10</v>
      </c>
      <c r="E2213" s="13" t="s">
        <v>57</v>
      </c>
      <c r="F2213" s="13">
        <v>2013.0</v>
      </c>
      <c r="G2213" s="13">
        <v>20880.0</v>
      </c>
      <c r="H2213" s="13">
        <v>2817.9</v>
      </c>
      <c r="I2213" s="13">
        <f>' car_sales_data 1'!$G2213*0.2</f>
        <v>4176</v>
      </c>
      <c r="J2213" s="13" t="str">
        <f>TEXT(' car_sales_data 1'!$A2213,"mmmm")</f>
        <v>October</v>
      </c>
      <c r="K2213" s="13" t="str">
        <f>IF(' car_sales_data 1'!$G2213&gt;40000,"Premium",
 IF(' car_sales_data 1'!$G2213&gt;=20000,"Mid Range","Budget"))</f>
        <v>Mid Range</v>
      </c>
      <c r="L2213" s="13">
        <f>YEAR(TODAY())-' car_sales_data 1'!$F2213</f>
        <v>12</v>
      </c>
    </row>
    <row r="2214" ht="15.75" customHeight="1">
      <c r="A2214" s="16">
        <v>45039.0</v>
      </c>
      <c r="B2214" s="13" t="s">
        <v>4337</v>
      </c>
      <c r="C2214" s="13" t="s">
        <v>4338</v>
      </c>
      <c r="D2214" s="13" t="s">
        <v>8</v>
      </c>
      <c r="E2214" s="13" t="s">
        <v>70</v>
      </c>
      <c r="F2214" s="13">
        <v>2022.0</v>
      </c>
      <c r="G2214" s="13">
        <v>33959.0</v>
      </c>
      <c r="H2214" s="13">
        <v>3656.32</v>
      </c>
      <c r="I2214" s="13">
        <f>' car_sales_data 1'!$G2214*0.2</f>
        <v>6791.8</v>
      </c>
      <c r="J2214" s="13" t="str">
        <f>TEXT(' car_sales_data 1'!$A2214,"mmmm")</f>
        <v>April</v>
      </c>
      <c r="K2214" s="13" t="str">
        <f>IF(' car_sales_data 1'!$G2214&gt;40000,"Premium",
 IF(' car_sales_data 1'!$G2214&gt;=20000,"Mid Range","Budget"))</f>
        <v>Mid Range</v>
      </c>
      <c r="L2214" s="13">
        <f>YEAR(TODAY())-' car_sales_data 1'!$F2214</f>
        <v>3</v>
      </c>
    </row>
    <row r="2215" ht="15.75" customHeight="1">
      <c r="A2215" s="16">
        <v>44805.0</v>
      </c>
      <c r="B2215" s="13" t="s">
        <v>685</v>
      </c>
      <c r="C2215" s="13" t="s">
        <v>4339</v>
      </c>
      <c r="D2215" s="13" t="s">
        <v>10</v>
      </c>
      <c r="E2215" s="13" t="s">
        <v>51</v>
      </c>
      <c r="F2215" s="13">
        <v>2011.0</v>
      </c>
      <c r="G2215" s="13">
        <v>39822.0</v>
      </c>
      <c r="H2215" s="13">
        <v>2046.57</v>
      </c>
      <c r="I2215" s="13">
        <f>' car_sales_data 1'!$G2215*0.2</f>
        <v>7964.4</v>
      </c>
      <c r="J2215" s="13" t="str">
        <f>TEXT(' car_sales_data 1'!$A2215,"mmmm")</f>
        <v>September</v>
      </c>
      <c r="K2215" s="13" t="str">
        <f>IF(' car_sales_data 1'!$G2215&gt;40000,"Premium",
 IF(' car_sales_data 1'!$G2215&gt;=20000,"Mid Range","Budget"))</f>
        <v>Mid Range</v>
      </c>
      <c r="L2215" s="13">
        <f>YEAR(TODAY())-' car_sales_data 1'!$F2215</f>
        <v>14</v>
      </c>
    </row>
    <row r="2216" ht="15.75" customHeight="1">
      <c r="A2216" s="16">
        <v>44986.0</v>
      </c>
      <c r="B2216" s="13" t="s">
        <v>4340</v>
      </c>
      <c r="C2216" s="13" t="s">
        <v>4341</v>
      </c>
      <c r="D2216" s="13" t="s">
        <v>8</v>
      </c>
      <c r="E2216" s="13" t="s">
        <v>54</v>
      </c>
      <c r="F2216" s="13">
        <v>2017.0</v>
      </c>
      <c r="G2216" s="13">
        <v>42114.0</v>
      </c>
      <c r="H2216" s="13">
        <v>6018.24</v>
      </c>
      <c r="I2216" s="13">
        <f>' car_sales_data 1'!$G2216*0.2</f>
        <v>8422.8</v>
      </c>
      <c r="J2216" s="13" t="str">
        <f>TEXT(' car_sales_data 1'!$A2216,"mmmm")</f>
        <v>March</v>
      </c>
      <c r="K2216" s="13" t="str">
        <f>IF(' car_sales_data 1'!$G2216&gt;40000,"Premium",
 IF(' car_sales_data 1'!$G2216&gt;=20000,"Mid Range","Budget"))</f>
        <v>Premium</v>
      </c>
      <c r="L2216" s="13">
        <f>YEAR(TODAY())-' car_sales_data 1'!$F2216</f>
        <v>8</v>
      </c>
    </row>
    <row r="2217" ht="15.75" customHeight="1">
      <c r="A2217" s="16">
        <v>44736.0</v>
      </c>
      <c r="B2217" s="13" t="s">
        <v>4342</v>
      </c>
      <c r="C2217" s="13" t="s">
        <v>4343</v>
      </c>
      <c r="D2217" s="13" t="s">
        <v>12</v>
      </c>
      <c r="E2217" s="13" t="s">
        <v>70</v>
      </c>
      <c r="F2217" s="13">
        <v>2016.0</v>
      </c>
      <c r="G2217" s="13">
        <v>36623.0</v>
      </c>
      <c r="H2217" s="13">
        <v>4801.61</v>
      </c>
      <c r="I2217" s="13">
        <f>' car_sales_data 1'!$G2217*0.2</f>
        <v>7324.6</v>
      </c>
      <c r="J2217" s="13" t="str">
        <f>TEXT(' car_sales_data 1'!$A2217,"mmmm")</f>
        <v>June</v>
      </c>
      <c r="K2217" s="13" t="str">
        <f>IF(' car_sales_data 1'!$G2217&gt;40000,"Premium",
 IF(' car_sales_data 1'!$G2217&gt;=20000,"Mid Range","Budget"))</f>
        <v>Mid Range</v>
      </c>
      <c r="L2217" s="13">
        <f>YEAR(TODAY())-' car_sales_data 1'!$F2217</f>
        <v>9</v>
      </c>
    </row>
    <row r="2218" ht="15.75" customHeight="1">
      <c r="A2218" s="16">
        <v>45043.0</v>
      </c>
      <c r="B2218" s="13" t="s">
        <v>4344</v>
      </c>
      <c r="C2218" s="13" t="s">
        <v>4345</v>
      </c>
      <c r="D2218" s="13" t="s">
        <v>12</v>
      </c>
      <c r="E2218" s="13" t="s">
        <v>54</v>
      </c>
      <c r="F2218" s="13">
        <v>2022.0</v>
      </c>
      <c r="G2218" s="13">
        <v>41243.0</v>
      </c>
      <c r="H2218" s="13">
        <v>5900.8</v>
      </c>
      <c r="I2218" s="13">
        <f>' car_sales_data 1'!$G2218*0.2</f>
        <v>8248.6</v>
      </c>
      <c r="J2218" s="13" t="str">
        <f>TEXT(' car_sales_data 1'!$A2218,"mmmm")</f>
        <v>April</v>
      </c>
      <c r="K2218" s="13" t="str">
        <f>IF(' car_sales_data 1'!$G2218&gt;40000,"Premium",
 IF(' car_sales_data 1'!$G2218&gt;=20000,"Mid Range","Budget"))</f>
        <v>Premium</v>
      </c>
      <c r="L2218" s="13">
        <f>YEAR(TODAY())-' car_sales_data 1'!$F2218</f>
        <v>3</v>
      </c>
    </row>
    <row r="2219" ht="15.75" customHeight="1">
      <c r="A2219" s="16">
        <v>44798.0</v>
      </c>
      <c r="B2219" s="13" t="s">
        <v>4346</v>
      </c>
      <c r="C2219" s="13" t="s">
        <v>4347</v>
      </c>
      <c r="D2219" s="13" t="s">
        <v>14</v>
      </c>
      <c r="E2219" s="13" t="s">
        <v>51</v>
      </c>
      <c r="F2219" s="13">
        <v>2018.0</v>
      </c>
      <c r="G2219" s="13">
        <v>29238.0</v>
      </c>
      <c r="H2219" s="13">
        <v>3266.33</v>
      </c>
      <c r="I2219" s="13">
        <f>' car_sales_data 1'!$G2219*0.2</f>
        <v>5847.6</v>
      </c>
      <c r="J2219" s="13" t="str">
        <f>TEXT(' car_sales_data 1'!$A2219,"mmmm")</f>
        <v>August</v>
      </c>
      <c r="K2219" s="13" t="str">
        <f>IF(' car_sales_data 1'!$G2219&gt;40000,"Premium",
 IF(' car_sales_data 1'!$G2219&gt;=20000,"Mid Range","Budget"))</f>
        <v>Mid Range</v>
      </c>
      <c r="L2219" s="13">
        <f>YEAR(TODAY())-' car_sales_data 1'!$F2219</f>
        <v>7</v>
      </c>
    </row>
    <row r="2220" ht="15.75" customHeight="1">
      <c r="A2220" s="16">
        <v>44836.0</v>
      </c>
      <c r="B2220" s="13" t="s">
        <v>4348</v>
      </c>
      <c r="C2220" s="13" t="s">
        <v>4349</v>
      </c>
      <c r="D2220" s="13" t="s">
        <v>6</v>
      </c>
      <c r="E2220" s="13" t="s">
        <v>51</v>
      </c>
      <c r="F2220" s="13">
        <v>2016.0</v>
      </c>
      <c r="G2220" s="13">
        <v>25383.0</v>
      </c>
      <c r="H2220" s="13">
        <v>1795.49</v>
      </c>
      <c r="I2220" s="13">
        <f>' car_sales_data 1'!$G2220*0.2</f>
        <v>5076.6</v>
      </c>
      <c r="J2220" s="13" t="str">
        <f>TEXT(' car_sales_data 1'!$A2220,"mmmm")</f>
        <v>October</v>
      </c>
      <c r="K2220" s="13" t="str">
        <f>IF(' car_sales_data 1'!$G2220&gt;40000,"Premium",
 IF(' car_sales_data 1'!$G2220&gt;=20000,"Mid Range","Budget"))</f>
        <v>Mid Range</v>
      </c>
      <c r="L2220" s="13">
        <f>YEAR(TODAY())-' car_sales_data 1'!$F2220</f>
        <v>9</v>
      </c>
    </row>
    <row r="2221" ht="15.75" customHeight="1">
      <c r="A2221" s="16">
        <v>44812.0</v>
      </c>
      <c r="B2221" s="13" t="s">
        <v>4350</v>
      </c>
      <c r="C2221" s="13" t="s">
        <v>4351</v>
      </c>
      <c r="D2221" s="13" t="s">
        <v>6</v>
      </c>
      <c r="E2221" s="13" t="s">
        <v>62</v>
      </c>
      <c r="F2221" s="13">
        <v>2019.0</v>
      </c>
      <c r="G2221" s="13">
        <v>19758.0</v>
      </c>
      <c r="H2221" s="13">
        <v>1899.59</v>
      </c>
      <c r="I2221" s="13">
        <f>' car_sales_data 1'!$G2221*0.2</f>
        <v>3951.6</v>
      </c>
      <c r="J2221" s="13" t="str">
        <f>TEXT(' car_sales_data 1'!$A2221,"mmmm")</f>
        <v>September</v>
      </c>
      <c r="K2221" s="13" t="str">
        <f>IF(' car_sales_data 1'!$G2221&gt;40000,"Premium",
 IF(' car_sales_data 1'!$G2221&gt;=20000,"Mid Range","Budget"))</f>
        <v>Budget</v>
      </c>
      <c r="L2221" s="13">
        <f>YEAR(TODAY())-' car_sales_data 1'!$F2221</f>
        <v>6</v>
      </c>
    </row>
    <row r="2222" ht="15.75" customHeight="1">
      <c r="A2222" s="16">
        <v>44900.0</v>
      </c>
      <c r="B2222" s="13" t="s">
        <v>4352</v>
      </c>
      <c r="C2222" s="13" t="s">
        <v>4353</v>
      </c>
      <c r="D2222" s="13" t="s">
        <v>6</v>
      </c>
      <c r="E2222" s="13" t="s">
        <v>51</v>
      </c>
      <c r="F2222" s="13">
        <v>2012.0</v>
      </c>
      <c r="G2222" s="13">
        <v>27251.0</v>
      </c>
      <c r="H2222" s="13">
        <v>3452.84</v>
      </c>
      <c r="I2222" s="13">
        <f>' car_sales_data 1'!$G2222*0.2</f>
        <v>5450.2</v>
      </c>
      <c r="J2222" s="13" t="str">
        <f>TEXT(' car_sales_data 1'!$A2222,"mmmm")</f>
        <v>December</v>
      </c>
      <c r="K2222" s="13" t="str">
        <f>IF(' car_sales_data 1'!$G2222&gt;40000,"Premium",
 IF(' car_sales_data 1'!$G2222&gt;=20000,"Mid Range","Budget"))</f>
        <v>Mid Range</v>
      </c>
      <c r="L2222" s="13">
        <f>YEAR(TODAY())-' car_sales_data 1'!$F2222</f>
        <v>13</v>
      </c>
    </row>
    <row r="2223" ht="15.75" customHeight="1">
      <c r="A2223" s="16">
        <v>44723.0</v>
      </c>
      <c r="B2223" s="13" t="s">
        <v>4354</v>
      </c>
      <c r="C2223" s="13" t="s">
        <v>4355</v>
      </c>
      <c r="D2223" s="13" t="s">
        <v>10</v>
      </c>
      <c r="E2223" s="13" t="s">
        <v>54</v>
      </c>
      <c r="F2223" s="13">
        <v>2010.0</v>
      </c>
      <c r="G2223" s="13">
        <v>18363.0</v>
      </c>
      <c r="H2223" s="13">
        <v>1768.14</v>
      </c>
      <c r="I2223" s="13">
        <f>' car_sales_data 1'!$G2223*0.2</f>
        <v>3672.6</v>
      </c>
      <c r="J2223" s="13" t="str">
        <f>TEXT(' car_sales_data 1'!$A2223,"mmmm")</f>
        <v>June</v>
      </c>
      <c r="K2223" s="13" t="str">
        <f>IF(' car_sales_data 1'!$G2223&gt;40000,"Premium",
 IF(' car_sales_data 1'!$G2223&gt;=20000,"Mid Range","Budget"))</f>
        <v>Budget</v>
      </c>
      <c r="L2223" s="13">
        <f>YEAR(TODAY())-' car_sales_data 1'!$F2223</f>
        <v>15</v>
      </c>
    </row>
    <row r="2224" ht="15.75" customHeight="1">
      <c r="A2224" s="16">
        <v>45018.0</v>
      </c>
      <c r="B2224" s="13" t="s">
        <v>4356</v>
      </c>
      <c r="C2224" s="13" t="s">
        <v>4357</v>
      </c>
      <c r="D2224" s="13" t="s">
        <v>12</v>
      </c>
      <c r="E2224" s="13" t="s">
        <v>62</v>
      </c>
      <c r="F2224" s="13">
        <v>2019.0</v>
      </c>
      <c r="G2224" s="13">
        <v>47228.0</v>
      </c>
      <c r="H2224" s="13">
        <v>4590.34</v>
      </c>
      <c r="I2224" s="13">
        <f>' car_sales_data 1'!$G2224*0.2</f>
        <v>9445.6</v>
      </c>
      <c r="J2224" s="13" t="str">
        <f>TEXT(' car_sales_data 1'!$A2224,"mmmm")</f>
        <v>April</v>
      </c>
      <c r="K2224" s="13" t="str">
        <f>IF(' car_sales_data 1'!$G2224&gt;40000,"Premium",
 IF(' car_sales_data 1'!$G2224&gt;=20000,"Mid Range","Budget"))</f>
        <v>Premium</v>
      </c>
      <c r="L2224" s="13">
        <f>YEAR(TODAY())-' car_sales_data 1'!$F2224</f>
        <v>6</v>
      </c>
    </row>
    <row r="2225" ht="15.75" customHeight="1">
      <c r="A2225" s="16">
        <v>44852.0</v>
      </c>
      <c r="B2225" s="13" t="s">
        <v>4358</v>
      </c>
      <c r="C2225" s="13" t="s">
        <v>4359</v>
      </c>
      <c r="D2225" s="13" t="s">
        <v>14</v>
      </c>
      <c r="E2225" s="13" t="s">
        <v>51</v>
      </c>
      <c r="F2225" s="13">
        <v>2016.0</v>
      </c>
      <c r="G2225" s="13">
        <v>14862.0</v>
      </c>
      <c r="H2225" s="13">
        <v>1611.48</v>
      </c>
      <c r="I2225" s="13">
        <f>' car_sales_data 1'!$G2225*0.2</f>
        <v>2972.4</v>
      </c>
      <c r="J2225" s="13" t="str">
        <f>TEXT(' car_sales_data 1'!$A2225,"mmmm")</f>
        <v>October</v>
      </c>
      <c r="K2225" s="13" t="str">
        <f>IF(' car_sales_data 1'!$G2225&gt;40000,"Premium",
 IF(' car_sales_data 1'!$G2225&gt;=20000,"Mid Range","Budget"))</f>
        <v>Budget</v>
      </c>
      <c r="L2225" s="13">
        <f>YEAR(TODAY())-' car_sales_data 1'!$F2225</f>
        <v>9</v>
      </c>
    </row>
    <row r="2226" ht="15.75" customHeight="1">
      <c r="A2226" s="16">
        <v>44956.0</v>
      </c>
      <c r="B2226" s="13" t="s">
        <v>4360</v>
      </c>
      <c r="C2226" s="13" t="s">
        <v>4361</v>
      </c>
      <c r="D2226" s="13" t="s">
        <v>6</v>
      </c>
      <c r="E2226" s="13" t="s">
        <v>54</v>
      </c>
      <c r="F2226" s="13">
        <v>2018.0</v>
      </c>
      <c r="G2226" s="13">
        <v>44542.0</v>
      </c>
      <c r="H2226" s="13">
        <v>5027.42</v>
      </c>
      <c r="I2226" s="13">
        <f>' car_sales_data 1'!$G2226*0.2</f>
        <v>8908.4</v>
      </c>
      <c r="J2226" s="13" t="str">
        <f>TEXT(' car_sales_data 1'!$A2226,"mmmm")</f>
        <v>January</v>
      </c>
      <c r="K2226" s="13" t="str">
        <f>IF(' car_sales_data 1'!$G2226&gt;40000,"Premium",
 IF(' car_sales_data 1'!$G2226&gt;=20000,"Mid Range","Budget"))</f>
        <v>Premium</v>
      </c>
      <c r="L2226" s="13">
        <f>YEAR(TODAY())-' car_sales_data 1'!$F2226</f>
        <v>7</v>
      </c>
    </row>
    <row r="2227" ht="15.75" customHeight="1">
      <c r="A2227" s="16">
        <v>44909.0</v>
      </c>
      <c r="B2227" s="13" t="s">
        <v>4362</v>
      </c>
      <c r="C2227" s="13" t="s">
        <v>4363</v>
      </c>
      <c r="D2227" s="13" t="s">
        <v>8</v>
      </c>
      <c r="E2227" s="13" t="s">
        <v>51</v>
      </c>
      <c r="F2227" s="13">
        <v>2012.0</v>
      </c>
      <c r="G2227" s="13">
        <v>21112.0</v>
      </c>
      <c r="H2227" s="13">
        <v>2801.23</v>
      </c>
      <c r="I2227" s="13">
        <f>' car_sales_data 1'!$G2227*0.2</f>
        <v>4222.4</v>
      </c>
      <c r="J2227" s="13" t="str">
        <f>TEXT(' car_sales_data 1'!$A2227,"mmmm")</f>
        <v>December</v>
      </c>
      <c r="K2227" s="13" t="str">
        <f>IF(' car_sales_data 1'!$G2227&gt;40000,"Premium",
 IF(' car_sales_data 1'!$G2227&gt;=20000,"Mid Range","Budget"))</f>
        <v>Mid Range</v>
      </c>
      <c r="L2227" s="13">
        <f>YEAR(TODAY())-' car_sales_data 1'!$F2227</f>
        <v>13</v>
      </c>
    </row>
    <row r="2228" ht="15.75" customHeight="1">
      <c r="A2228" s="16">
        <v>44698.0</v>
      </c>
      <c r="B2228" s="13" t="s">
        <v>4364</v>
      </c>
      <c r="C2228" s="13" t="s">
        <v>4365</v>
      </c>
      <c r="D2228" s="13" t="s">
        <v>12</v>
      </c>
      <c r="E2228" s="13" t="s">
        <v>51</v>
      </c>
      <c r="F2228" s="13">
        <v>2018.0</v>
      </c>
      <c r="G2228" s="13">
        <v>32121.0</v>
      </c>
      <c r="H2228" s="13">
        <v>3910.22</v>
      </c>
      <c r="I2228" s="13">
        <f>' car_sales_data 1'!$G2228*0.2</f>
        <v>6424.2</v>
      </c>
      <c r="J2228" s="13" t="str">
        <f>TEXT(' car_sales_data 1'!$A2228,"mmmm")</f>
        <v>May</v>
      </c>
      <c r="K2228" s="13" t="str">
        <f>IF(' car_sales_data 1'!$G2228&gt;40000,"Premium",
 IF(' car_sales_data 1'!$G2228&gt;=20000,"Mid Range","Budget"))</f>
        <v>Mid Range</v>
      </c>
      <c r="L2228" s="13">
        <f>YEAR(TODAY())-' car_sales_data 1'!$F2228</f>
        <v>7</v>
      </c>
    </row>
    <row r="2229" ht="15.75" customHeight="1">
      <c r="A2229" s="16">
        <v>44845.0</v>
      </c>
      <c r="B2229" s="13" t="s">
        <v>4366</v>
      </c>
      <c r="C2229" s="13" t="s">
        <v>4367</v>
      </c>
      <c r="D2229" s="13" t="s">
        <v>8</v>
      </c>
      <c r="E2229" s="13" t="s">
        <v>70</v>
      </c>
      <c r="F2229" s="13">
        <v>2021.0</v>
      </c>
      <c r="G2229" s="13">
        <v>21882.0</v>
      </c>
      <c r="H2229" s="13">
        <v>1234.49</v>
      </c>
      <c r="I2229" s="13">
        <f>' car_sales_data 1'!$G2229*0.2</f>
        <v>4376.4</v>
      </c>
      <c r="J2229" s="13" t="str">
        <f>TEXT(' car_sales_data 1'!$A2229,"mmmm")</f>
        <v>October</v>
      </c>
      <c r="K2229" s="13" t="str">
        <f>IF(' car_sales_data 1'!$G2229&gt;40000,"Premium",
 IF(' car_sales_data 1'!$G2229&gt;=20000,"Mid Range","Budget"))</f>
        <v>Mid Range</v>
      </c>
      <c r="L2229" s="13">
        <f>YEAR(TODAY())-' car_sales_data 1'!$F2229</f>
        <v>4</v>
      </c>
    </row>
    <row r="2230" ht="15.75" customHeight="1">
      <c r="A2230" s="16">
        <v>44810.0</v>
      </c>
      <c r="B2230" s="13" t="s">
        <v>4368</v>
      </c>
      <c r="C2230" s="13" t="s">
        <v>4369</v>
      </c>
      <c r="D2230" s="13" t="s">
        <v>14</v>
      </c>
      <c r="E2230" s="13" t="s">
        <v>57</v>
      </c>
      <c r="F2230" s="13">
        <v>2019.0</v>
      </c>
      <c r="G2230" s="13">
        <v>13311.0</v>
      </c>
      <c r="H2230" s="13">
        <v>676.04</v>
      </c>
      <c r="I2230" s="13">
        <f>' car_sales_data 1'!$G2230*0.2</f>
        <v>2662.2</v>
      </c>
      <c r="J2230" s="13" t="str">
        <f>TEXT(' car_sales_data 1'!$A2230,"mmmm")</f>
        <v>September</v>
      </c>
      <c r="K2230" s="13" t="str">
        <f>IF(' car_sales_data 1'!$G2230&gt;40000,"Premium",
 IF(' car_sales_data 1'!$G2230&gt;=20000,"Mid Range","Budget"))</f>
        <v>Budget</v>
      </c>
      <c r="L2230" s="13">
        <f>YEAR(TODAY())-' car_sales_data 1'!$F2230</f>
        <v>6</v>
      </c>
    </row>
    <row r="2231" ht="15.75" customHeight="1">
      <c r="A2231" s="16">
        <v>44857.0</v>
      </c>
      <c r="B2231" s="13" t="s">
        <v>4370</v>
      </c>
      <c r="C2231" s="13" t="s">
        <v>4371</v>
      </c>
      <c r="D2231" s="13" t="s">
        <v>6</v>
      </c>
      <c r="E2231" s="13" t="s">
        <v>62</v>
      </c>
      <c r="F2231" s="13">
        <v>2010.0</v>
      </c>
      <c r="G2231" s="13">
        <v>40190.0</v>
      </c>
      <c r="H2231" s="13">
        <v>2093.41</v>
      </c>
      <c r="I2231" s="13">
        <f>' car_sales_data 1'!$G2231*0.2</f>
        <v>8038</v>
      </c>
      <c r="J2231" s="13" t="str">
        <f>TEXT(' car_sales_data 1'!$A2231,"mmmm")</f>
        <v>October</v>
      </c>
      <c r="K2231" s="13" t="str">
        <f>IF(' car_sales_data 1'!$G2231&gt;40000,"Premium",
 IF(' car_sales_data 1'!$G2231&gt;=20000,"Mid Range","Budget"))</f>
        <v>Premium</v>
      </c>
      <c r="L2231" s="13">
        <f>YEAR(TODAY())-' car_sales_data 1'!$F2231</f>
        <v>15</v>
      </c>
    </row>
    <row r="2232" ht="15.75" customHeight="1">
      <c r="A2232" s="16">
        <v>44855.0</v>
      </c>
      <c r="B2232" s="13" t="s">
        <v>4372</v>
      </c>
      <c r="C2232" s="13" t="s">
        <v>4373</v>
      </c>
      <c r="D2232" s="13" t="s">
        <v>6</v>
      </c>
      <c r="E2232" s="13" t="s">
        <v>62</v>
      </c>
      <c r="F2232" s="13">
        <v>2014.0</v>
      </c>
      <c r="G2232" s="13">
        <v>12979.0</v>
      </c>
      <c r="H2232" s="13">
        <v>1154.03</v>
      </c>
      <c r="I2232" s="13">
        <f>' car_sales_data 1'!$G2232*0.2</f>
        <v>2595.8</v>
      </c>
      <c r="J2232" s="13" t="str">
        <f>TEXT(' car_sales_data 1'!$A2232,"mmmm")</f>
        <v>October</v>
      </c>
      <c r="K2232" s="13" t="str">
        <f>IF(' car_sales_data 1'!$G2232&gt;40000,"Premium",
 IF(' car_sales_data 1'!$G2232&gt;=20000,"Mid Range","Budget"))</f>
        <v>Budget</v>
      </c>
      <c r="L2232" s="13">
        <f>YEAR(TODAY())-' car_sales_data 1'!$F2232</f>
        <v>11</v>
      </c>
    </row>
    <row r="2233" ht="15.75" customHeight="1">
      <c r="A2233" s="16">
        <v>44795.0</v>
      </c>
      <c r="B2233" s="13" t="s">
        <v>4374</v>
      </c>
      <c r="C2233" s="13" t="s">
        <v>4375</v>
      </c>
      <c r="D2233" s="13" t="s">
        <v>6</v>
      </c>
      <c r="E2233" s="13" t="s">
        <v>57</v>
      </c>
      <c r="F2233" s="13">
        <v>2018.0</v>
      </c>
      <c r="G2233" s="13">
        <v>13195.0</v>
      </c>
      <c r="H2233" s="13">
        <v>1442.98</v>
      </c>
      <c r="I2233" s="13">
        <f>' car_sales_data 1'!$G2233*0.2</f>
        <v>2639</v>
      </c>
      <c r="J2233" s="13" t="str">
        <f>TEXT(' car_sales_data 1'!$A2233,"mmmm")</f>
        <v>August</v>
      </c>
      <c r="K2233" s="13" t="str">
        <f>IF(' car_sales_data 1'!$G2233&gt;40000,"Premium",
 IF(' car_sales_data 1'!$G2233&gt;=20000,"Mid Range","Budget"))</f>
        <v>Budget</v>
      </c>
      <c r="L2233" s="13">
        <f>YEAR(TODAY())-' car_sales_data 1'!$F2233</f>
        <v>7</v>
      </c>
    </row>
    <row r="2234" ht="15.75" customHeight="1">
      <c r="A2234" s="16">
        <v>44943.0</v>
      </c>
      <c r="B2234" s="13" t="s">
        <v>4376</v>
      </c>
      <c r="C2234" s="13" t="s">
        <v>4377</v>
      </c>
      <c r="D2234" s="13" t="s">
        <v>12</v>
      </c>
      <c r="E2234" s="13" t="s">
        <v>62</v>
      </c>
      <c r="F2234" s="13">
        <v>2012.0</v>
      </c>
      <c r="G2234" s="13">
        <v>25646.0</v>
      </c>
      <c r="H2234" s="13">
        <v>2002.99</v>
      </c>
      <c r="I2234" s="13">
        <f>' car_sales_data 1'!$G2234*0.2</f>
        <v>5129.2</v>
      </c>
      <c r="J2234" s="13" t="str">
        <f>TEXT(' car_sales_data 1'!$A2234,"mmmm")</f>
        <v>January</v>
      </c>
      <c r="K2234" s="13" t="str">
        <f>IF(' car_sales_data 1'!$G2234&gt;40000,"Premium",
 IF(' car_sales_data 1'!$G2234&gt;=20000,"Mid Range","Budget"))</f>
        <v>Mid Range</v>
      </c>
      <c r="L2234" s="13">
        <f>YEAR(TODAY())-' car_sales_data 1'!$F2234</f>
        <v>13</v>
      </c>
    </row>
    <row r="2235" ht="15.75" customHeight="1">
      <c r="A2235" s="16">
        <v>44871.0</v>
      </c>
      <c r="B2235" s="13" t="s">
        <v>4378</v>
      </c>
      <c r="C2235" s="13" t="s">
        <v>4379</v>
      </c>
      <c r="D2235" s="13" t="s">
        <v>14</v>
      </c>
      <c r="E2235" s="13" t="s">
        <v>57</v>
      </c>
      <c r="F2235" s="13">
        <v>2014.0</v>
      </c>
      <c r="G2235" s="13">
        <v>10940.0</v>
      </c>
      <c r="H2235" s="13">
        <v>821.0</v>
      </c>
      <c r="I2235" s="13">
        <f>' car_sales_data 1'!$G2235*0.2</f>
        <v>2188</v>
      </c>
      <c r="J2235" s="13" t="str">
        <f>TEXT(' car_sales_data 1'!$A2235,"mmmm")</f>
        <v>November</v>
      </c>
      <c r="K2235" s="13" t="str">
        <f>IF(' car_sales_data 1'!$G2235&gt;40000,"Premium",
 IF(' car_sales_data 1'!$G2235&gt;=20000,"Mid Range","Budget"))</f>
        <v>Budget</v>
      </c>
      <c r="L2235" s="13">
        <f>YEAR(TODAY())-' car_sales_data 1'!$F2235</f>
        <v>11</v>
      </c>
    </row>
    <row r="2236" ht="15.75" customHeight="1">
      <c r="A2236" s="16">
        <v>44923.0</v>
      </c>
      <c r="B2236" s="13" t="s">
        <v>4380</v>
      </c>
      <c r="C2236" s="13" t="s">
        <v>4381</v>
      </c>
      <c r="D2236" s="13" t="s">
        <v>6</v>
      </c>
      <c r="E2236" s="13" t="s">
        <v>54</v>
      </c>
      <c r="F2236" s="13">
        <v>2021.0</v>
      </c>
      <c r="G2236" s="13">
        <v>11796.0</v>
      </c>
      <c r="H2236" s="13">
        <v>645.05</v>
      </c>
      <c r="I2236" s="13">
        <f>' car_sales_data 1'!$G2236*0.2</f>
        <v>2359.2</v>
      </c>
      <c r="J2236" s="13" t="str">
        <f>TEXT(' car_sales_data 1'!$A2236,"mmmm")</f>
        <v>December</v>
      </c>
      <c r="K2236" s="13" t="str">
        <f>IF(' car_sales_data 1'!$G2236&gt;40000,"Premium",
 IF(' car_sales_data 1'!$G2236&gt;=20000,"Mid Range","Budget"))</f>
        <v>Budget</v>
      </c>
      <c r="L2236" s="13">
        <f>YEAR(TODAY())-' car_sales_data 1'!$F2236</f>
        <v>4</v>
      </c>
    </row>
    <row r="2237" ht="15.75" customHeight="1">
      <c r="A2237" s="16">
        <v>44753.0</v>
      </c>
      <c r="B2237" s="13" t="s">
        <v>4382</v>
      </c>
      <c r="C2237" s="13" t="s">
        <v>4383</v>
      </c>
      <c r="D2237" s="13" t="s">
        <v>14</v>
      </c>
      <c r="E2237" s="13" t="s">
        <v>54</v>
      </c>
      <c r="F2237" s="13">
        <v>2014.0</v>
      </c>
      <c r="G2237" s="13">
        <v>12041.0</v>
      </c>
      <c r="H2237" s="13">
        <v>1070.72</v>
      </c>
      <c r="I2237" s="13">
        <f>' car_sales_data 1'!$G2237*0.2</f>
        <v>2408.2</v>
      </c>
      <c r="J2237" s="13" t="str">
        <f>TEXT(' car_sales_data 1'!$A2237,"mmmm")</f>
        <v>July</v>
      </c>
      <c r="K2237" s="13" t="str">
        <f>IF(' car_sales_data 1'!$G2237&gt;40000,"Premium",
 IF(' car_sales_data 1'!$G2237&gt;=20000,"Mid Range","Budget"))</f>
        <v>Budget</v>
      </c>
      <c r="L2237" s="13">
        <f>YEAR(TODAY())-' car_sales_data 1'!$F2237</f>
        <v>11</v>
      </c>
    </row>
    <row r="2238" ht="15.75" customHeight="1">
      <c r="A2238" s="16">
        <v>44858.0</v>
      </c>
      <c r="B2238" s="13" t="s">
        <v>4384</v>
      </c>
      <c r="C2238" s="13" t="s">
        <v>4385</v>
      </c>
      <c r="D2238" s="13" t="s">
        <v>10</v>
      </c>
      <c r="E2238" s="13" t="s">
        <v>54</v>
      </c>
      <c r="F2238" s="13">
        <v>2016.0</v>
      </c>
      <c r="G2238" s="13">
        <v>10392.0</v>
      </c>
      <c r="H2238" s="13">
        <v>926.22</v>
      </c>
      <c r="I2238" s="13">
        <f>' car_sales_data 1'!$G2238*0.2</f>
        <v>2078.4</v>
      </c>
      <c r="J2238" s="13" t="str">
        <f>TEXT(' car_sales_data 1'!$A2238,"mmmm")</f>
        <v>October</v>
      </c>
      <c r="K2238" s="13" t="str">
        <f>IF(' car_sales_data 1'!$G2238&gt;40000,"Premium",
 IF(' car_sales_data 1'!$G2238&gt;=20000,"Mid Range","Budget"))</f>
        <v>Budget</v>
      </c>
      <c r="L2238" s="13">
        <f>YEAR(TODAY())-' car_sales_data 1'!$F2238</f>
        <v>9</v>
      </c>
    </row>
    <row r="2239" ht="15.75" customHeight="1">
      <c r="A2239" s="16">
        <v>44801.0</v>
      </c>
      <c r="B2239" s="13" t="s">
        <v>4386</v>
      </c>
      <c r="C2239" s="13" t="s">
        <v>4387</v>
      </c>
      <c r="D2239" s="13" t="s">
        <v>14</v>
      </c>
      <c r="E2239" s="13" t="s">
        <v>51</v>
      </c>
      <c r="F2239" s="13">
        <v>2014.0</v>
      </c>
      <c r="G2239" s="13">
        <v>18990.0</v>
      </c>
      <c r="H2239" s="13">
        <v>1273.12</v>
      </c>
      <c r="I2239" s="13">
        <f>' car_sales_data 1'!$G2239*0.2</f>
        <v>3798</v>
      </c>
      <c r="J2239" s="13" t="str">
        <f>TEXT(' car_sales_data 1'!$A2239,"mmmm")</f>
        <v>August</v>
      </c>
      <c r="K2239" s="13" t="str">
        <f>IF(' car_sales_data 1'!$G2239&gt;40000,"Premium",
 IF(' car_sales_data 1'!$G2239&gt;=20000,"Mid Range","Budget"))</f>
        <v>Budget</v>
      </c>
      <c r="L2239" s="13">
        <f>YEAR(TODAY())-' car_sales_data 1'!$F2239</f>
        <v>11</v>
      </c>
    </row>
    <row r="2240" ht="15.75" customHeight="1">
      <c r="A2240" s="16">
        <v>44685.0</v>
      </c>
      <c r="B2240" s="13" t="s">
        <v>4388</v>
      </c>
      <c r="C2240" s="13" t="s">
        <v>4389</v>
      </c>
      <c r="D2240" s="13" t="s">
        <v>6</v>
      </c>
      <c r="E2240" s="13" t="s">
        <v>70</v>
      </c>
      <c r="F2240" s="13">
        <v>2016.0</v>
      </c>
      <c r="G2240" s="13">
        <v>37021.0</v>
      </c>
      <c r="H2240" s="13">
        <v>3661.31</v>
      </c>
      <c r="I2240" s="13">
        <f>' car_sales_data 1'!$G2240*0.2</f>
        <v>7404.2</v>
      </c>
      <c r="J2240" s="13" t="str">
        <f>TEXT(' car_sales_data 1'!$A2240,"mmmm")</f>
        <v>May</v>
      </c>
      <c r="K2240" s="13" t="str">
        <f>IF(' car_sales_data 1'!$G2240&gt;40000,"Premium",
 IF(' car_sales_data 1'!$G2240&gt;=20000,"Mid Range","Budget"))</f>
        <v>Mid Range</v>
      </c>
      <c r="L2240" s="13">
        <f>YEAR(TODAY())-' car_sales_data 1'!$F2240</f>
        <v>9</v>
      </c>
    </row>
    <row r="2241" ht="15.75" customHeight="1">
      <c r="A2241" s="16">
        <v>44725.0</v>
      </c>
      <c r="B2241" s="13" t="s">
        <v>4390</v>
      </c>
      <c r="C2241" s="13" t="s">
        <v>4391</v>
      </c>
      <c r="D2241" s="13" t="s">
        <v>12</v>
      </c>
      <c r="E2241" s="13" t="s">
        <v>70</v>
      </c>
      <c r="F2241" s="13">
        <v>2017.0</v>
      </c>
      <c r="G2241" s="13">
        <v>45441.0</v>
      </c>
      <c r="H2241" s="13">
        <v>3229.16</v>
      </c>
      <c r="I2241" s="13">
        <f>' car_sales_data 1'!$G2241*0.2</f>
        <v>9088.2</v>
      </c>
      <c r="J2241" s="13" t="str">
        <f>TEXT(' car_sales_data 1'!$A2241,"mmmm")</f>
        <v>June</v>
      </c>
      <c r="K2241" s="13" t="str">
        <f>IF(' car_sales_data 1'!$G2241&gt;40000,"Premium",
 IF(' car_sales_data 1'!$G2241&gt;=20000,"Mid Range","Budget"))</f>
        <v>Premium</v>
      </c>
      <c r="L2241" s="13">
        <f>YEAR(TODAY())-' car_sales_data 1'!$F2241</f>
        <v>8</v>
      </c>
    </row>
    <row r="2242" ht="15.75" customHeight="1">
      <c r="A2242" s="16">
        <v>44949.0</v>
      </c>
      <c r="B2242" s="13" t="s">
        <v>15</v>
      </c>
      <c r="C2242" s="13" t="s">
        <v>4392</v>
      </c>
      <c r="D2242" s="13" t="s">
        <v>8</v>
      </c>
      <c r="E2242" s="13" t="s">
        <v>54</v>
      </c>
      <c r="F2242" s="13">
        <v>2015.0</v>
      </c>
      <c r="G2242" s="13">
        <v>42359.0</v>
      </c>
      <c r="H2242" s="13">
        <v>5067.44</v>
      </c>
      <c r="I2242" s="13">
        <f>' car_sales_data 1'!$G2242*0.2</f>
        <v>8471.8</v>
      </c>
      <c r="J2242" s="13" t="str">
        <f>TEXT(' car_sales_data 1'!$A2242,"mmmm")</f>
        <v>January</v>
      </c>
      <c r="K2242" s="13" t="str">
        <f>IF(' car_sales_data 1'!$G2242&gt;40000,"Premium",
 IF(' car_sales_data 1'!$G2242&gt;=20000,"Mid Range","Budget"))</f>
        <v>Premium</v>
      </c>
      <c r="L2242" s="13">
        <f>YEAR(TODAY())-' car_sales_data 1'!$F2242</f>
        <v>10</v>
      </c>
    </row>
    <row r="2243" ht="15.75" customHeight="1">
      <c r="A2243" s="16">
        <v>44806.0</v>
      </c>
      <c r="B2243" s="13" t="s">
        <v>4393</v>
      </c>
      <c r="C2243" s="13" t="s">
        <v>4394</v>
      </c>
      <c r="D2243" s="13" t="s">
        <v>14</v>
      </c>
      <c r="E2243" s="13" t="s">
        <v>57</v>
      </c>
      <c r="F2243" s="13">
        <v>2017.0</v>
      </c>
      <c r="G2243" s="13">
        <v>26461.0</v>
      </c>
      <c r="H2243" s="13">
        <v>1875.96</v>
      </c>
      <c r="I2243" s="13">
        <f>' car_sales_data 1'!$G2243*0.2</f>
        <v>5292.2</v>
      </c>
      <c r="J2243" s="13" t="str">
        <f>TEXT(' car_sales_data 1'!$A2243,"mmmm")</f>
        <v>September</v>
      </c>
      <c r="K2243" s="13" t="str">
        <f>IF(' car_sales_data 1'!$G2243&gt;40000,"Premium",
 IF(' car_sales_data 1'!$G2243&gt;=20000,"Mid Range","Budget"))</f>
        <v>Mid Range</v>
      </c>
      <c r="L2243" s="13">
        <f>YEAR(TODAY())-' car_sales_data 1'!$F2243</f>
        <v>8</v>
      </c>
    </row>
    <row r="2244" ht="15.75" customHeight="1">
      <c r="A2244" s="16">
        <v>44708.0</v>
      </c>
      <c r="B2244" s="13" t="s">
        <v>4395</v>
      </c>
      <c r="C2244" s="13" t="s">
        <v>4396</v>
      </c>
      <c r="D2244" s="13" t="s">
        <v>14</v>
      </c>
      <c r="E2244" s="13" t="s">
        <v>57</v>
      </c>
      <c r="F2244" s="13">
        <v>2017.0</v>
      </c>
      <c r="G2244" s="13">
        <v>38201.0</v>
      </c>
      <c r="H2244" s="13">
        <v>2374.85</v>
      </c>
      <c r="I2244" s="13">
        <f>' car_sales_data 1'!$G2244*0.2</f>
        <v>7640.2</v>
      </c>
      <c r="J2244" s="13" t="str">
        <f>TEXT(' car_sales_data 1'!$A2244,"mmmm")</f>
        <v>May</v>
      </c>
      <c r="K2244" s="13" t="str">
        <f>IF(' car_sales_data 1'!$G2244&gt;40000,"Premium",
 IF(' car_sales_data 1'!$G2244&gt;=20000,"Mid Range","Budget"))</f>
        <v>Mid Range</v>
      </c>
      <c r="L2244" s="13">
        <f>YEAR(TODAY())-' car_sales_data 1'!$F2244</f>
        <v>8</v>
      </c>
    </row>
    <row r="2245" ht="15.75" customHeight="1">
      <c r="A2245" s="16">
        <v>44852.0</v>
      </c>
      <c r="B2245" s="13" t="s">
        <v>4397</v>
      </c>
      <c r="C2245" s="13" t="s">
        <v>4398</v>
      </c>
      <c r="D2245" s="13" t="s">
        <v>12</v>
      </c>
      <c r="E2245" s="13" t="s">
        <v>70</v>
      </c>
      <c r="F2245" s="13">
        <v>2021.0</v>
      </c>
      <c r="G2245" s="13">
        <v>12845.0</v>
      </c>
      <c r="H2245" s="13">
        <v>1103.65</v>
      </c>
      <c r="I2245" s="13">
        <f>' car_sales_data 1'!$G2245*0.2</f>
        <v>2569</v>
      </c>
      <c r="J2245" s="13" t="str">
        <f>TEXT(' car_sales_data 1'!$A2245,"mmmm")</f>
        <v>October</v>
      </c>
      <c r="K2245" s="13" t="str">
        <f>IF(' car_sales_data 1'!$G2245&gt;40000,"Premium",
 IF(' car_sales_data 1'!$G2245&gt;=20000,"Mid Range","Budget"))</f>
        <v>Budget</v>
      </c>
      <c r="L2245" s="13">
        <f>YEAR(TODAY())-' car_sales_data 1'!$F2245</f>
        <v>4</v>
      </c>
    </row>
    <row r="2246" ht="15.75" customHeight="1">
      <c r="A2246" s="16">
        <v>44918.0</v>
      </c>
      <c r="B2246" s="13" t="s">
        <v>4399</v>
      </c>
      <c r="C2246" s="13" t="s">
        <v>4400</v>
      </c>
      <c r="D2246" s="13" t="s">
        <v>6</v>
      </c>
      <c r="E2246" s="13" t="s">
        <v>51</v>
      </c>
      <c r="F2246" s="13">
        <v>2019.0</v>
      </c>
      <c r="G2246" s="13">
        <v>21701.0</v>
      </c>
      <c r="H2246" s="13">
        <v>2014.4</v>
      </c>
      <c r="I2246" s="13">
        <f>' car_sales_data 1'!$G2246*0.2</f>
        <v>4340.2</v>
      </c>
      <c r="J2246" s="13" t="str">
        <f>TEXT(' car_sales_data 1'!$A2246,"mmmm")</f>
        <v>December</v>
      </c>
      <c r="K2246" s="13" t="str">
        <f>IF(' car_sales_data 1'!$G2246&gt;40000,"Premium",
 IF(' car_sales_data 1'!$G2246&gt;=20000,"Mid Range","Budget"))</f>
        <v>Mid Range</v>
      </c>
      <c r="L2246" s="13">
        <f>YEAR(TODAY())-' car_sales_data 1'!$F2246</f>
        <v>6</v>
      </c>
    </row>
    <row r="2247" ht="15.75" customHeight="1">
      <c r="A2247" s="16">
        <v>45021.0</v>
      </c>
      <c r="B2247" s="13" t="s">
        <v>4401</v>
      </c>
      <c r="C2247" s="13" t="s">
        <v>4402</v>
      </c>
      <c r="D2247" s="13" t="s">
        <v>12</v>
      </c>
      <c r="E2247" s="13" t="s">
        <v>62</v>
      </c>
      <c r="F2247" s="13">
        <v>2013.0</v>
      </c>
      <c r="G2247" s="13">
        <v>40452.0</v>
      </c>
      <c r="H2247" s="13">
        <v>3882.9</v>
      </c>
      <c r="I2247" s="13">
        <f>' car_sales_data 1'!$G2247*0.2</f>
        <v>8090.4</v>
      </c>
      <c r="J2247" s="13" t="str">
        <f>TEXT(' car_sales_data 1'!$A2247,"mmmm")</f>
        <v>April</v>
      </c>
      <c r="K2247" s="13" t="str">
        <f>IF(' car_sales_data 1'!$G2247&gt;40000,"Premium",
 IF(' car_sales_data 1'!$G2247&gt;=20000,"Mid Range","Budget"))</f>
        <v>Premium</v>
      </c>
      <c r="L2247" s="13">
        <f>YEAR(TODAY())-' car_sales_data 1'!$F2247</f>
        <v>12</v>
      </c>
    </row>
    <row r="2248" ht="15.75" customHeight="1">
      <c r="A2248" s="16">
        <v>44698.0</v>
      </c>
      <c r="B2248" s="13" t="s">
        <v>4403</v>
      </c>
      <c r="C2248" s="13" t="s">
        <v>4404</v>
      </c>
      <c r="D2248" s="13" t="s">
        <v>8</v>
      </c>
      <c r="E2248" s="13" t="s">
        <v>54</v>
      </c>
      <c r="F2248" s="13">
        <v>2014.0</v>
      </c>
      <c r="G2248" s="13">
        <v>31745.0</v>
      </c>
      <c r="H2248" s="13">
        <v>3122.04</v>
      </c>
      <c r="I2248" s="13">
        <f>' car_sales_data 1'!$G2248*0.2</f>
        <v>6349</v>
      </c>
      <c r="J2248" s="13" t="str">
        <f>TEXT(' car_sales_data 1'!$A2248,"mmmm")</f>
        <v>May</v>
      </c>
      <c r="K2248" s="13" t="str">
        <f>IF(' car_sales_data 1'!$G2248&gt;40000,"Premium",
 IF(' car_sales_data 1'!$G2248&gt;=20000,"Mid Range","Budget"))</f>
        <v>Mid Range</v>
      </c>
      <c r="L2248" s="13">
        <f>YEAR(TODAY())-' car_sales_data 1'!$F2248</f>
        <v>11</v>
      </c>
    </row>
    <row r="2249" ht="15.75" customHeight="1">
      <c r="A2249" s="16">
        <v>44948.0</v>
      </c>
      <c r="B2249" s="13" t="s">
        <v>4405</v>
      </c>
      <c r="C2249" s="13" t="s">
        <v>4406</v>
      </c>
      <c r="D2249" s="13" t="s">
        <v>14</v>
      </c>
      <c r="E2249" s="13" t="s">
        <v>70</v>
      </c>
      <c r="F2249" s="13">
        <v>2012.0</v>
      </c>
      <c r="G2249" s="13">
        <v>44007.0</v>
      </c>
      <c r="H2249" s="13">
        <v>3841.01</v>
      </c>
      <c r="I2249" s="13">
        <f>' car_sales_data 1'!$G2249*0.2</f>
        <v>8801.4</v>
      </c>
      <c r="J2249" s="13" t="str">
        <f>TEXT(' car_sales_data 1'!$A2249,"mmmm")</f>
        <v>January</v>
      </c>
      <c r="K2249" s="13" t="str">
        <f>IF(' car_sales_data 1'!$G2249&gt;40000,"Premium",
 IF(' car_sales_data 1'!$G2249&gt;=20000,"Mid Range","Budget"))</f>
        <v>Premium</v>
      </c>
      <c r="L2249" s="13">
        <f>YEAR(TODAY())-' car_sales_data 1'!$F2249</f>
        <v>13</v>
      </c>
    </row>
    <row r="2250" ht="15.75" customHeight="1">
      <c r="A2250" s="16">
        <v>45013.0</v>
      </c>
      <c r="B2250" s="13" t="s">
        <v>4407</v>
      </c>
      <c r="C2250" s="13" t="s">
        <v>4408</v>
      </c>
      <c r="D2250" s="13" t="s">
        <v>12</v>
      </c>
      <c r="E2250" s="13" t="s">
        <v>51</v>
      </c>
      <c r="F2250" s="13">
        <v>2014.0</v>
      </c>
      <c r="G2250" s="13">
        <v>13307.0</v>
      </c>
      <c r="H2250" s="13">
        <v>1514.34</v>
      </c>
      <c r="I2250" s="13">
        <f>' car_sales_data 1'!$G2250*0.2</f>
        <v>2661.4</v>
      </c>
      <c r="J2250" s="13" t="str">
        <f>TEXT(' car_sales_data 1'!$A2250,"mmmm")</f>
        <v>March</v>
      </c>
      <c r="K2250" s="13" t="str">
        <f>IF(' car_sales_data 1'!$G2250&gt;40000,"Premium",
 IF(' car_sales_data 1'!$G2250&gt;=20000,"Mid Range","Budget"))</f>
        <v>Budget</v>
      </c>
      <c r="L2250" s="13">
        <f>YEAR(TODAY())-' car_sales_data 1'!$F2250</f>
        <v>11</v>
      </c>
    </row>
    <row r="2251" ht="15.75" customHeight="1">
      <c r="A2251" s="16">
        <v>44936.0</v>
      </c>
      <c r="B2251" s="13" t="s">
        <v>4409</v>
      </c>
      <c r="C2251" s="13" t="s">
        <v>4410</v>
      </c>
      <c r="D2251" s="13" t="s">
        <v>6</v>
      </c>
      <c r="E2251" s="13" t="s">
        <v>70</v>
      </c>
      <c r="F2251" s="13">
        <v>2016.0</v>
      </c>
      <c r="G2251" s="13">
        <v>34218.0</v>
      </c>
      <c r="H2251" s="13">
        <v>2692.79</v>
      </c>
      <c r="I2251" s="13">
        <f>' car_sales_data 1'!$G2251*0.2</f>
        <v>6843.6</v>
      </c>
      <c r="J2251" s="13" t="str">
        <f>TEXT(' car_sales_data 1'!$A2251,"mmmm")</f>
        <v>January</v>
      </c>
      <c r="K2251" s="13" t="str">
        <f>IF(' car_sales_data 1'!$G2251&gt;40000,"Premium",
 IF(' car_sales_data 1'!$G2251&gt;=20000,"Mid Range","Budget"))</f>
        <v>Mid Range</v>
      </c>
      <c r="L2251" s="13">
        <f>YEAR(TODAY())-' car_sales_data 1'!$F2251</f>
        <v>9</v>
      </c>
    </row>
    <row r="2252" ht="15.75" customHeight="1">
      <c r="A2252" s="16">
        <v>44777.0</v>
      </c>
      <c r="B2252" s="13" t="s">
        <v>4411</v>
      </c>
      <c r="C2252" s="13" t="s">
        <v>4412</v>
      </c>
      <c r="D2252" s="13" t="s">
        <v>12</v>
      </c>
      <c r="E2252" s="13" t="s">
        <v>62</v>
      </c>
      <c r="F2252" s="13">
        <v>2012.0</v>
      </c>
      <c r="G2252" s="13">
        <v>22916.0</v>
      </c>
      <c r="H2252" s="13">
        <v>3305.67</v>
      </c>
      <c r="I2252" s="13">
        <f>' car_sales_data 1'!$G2252*0.2</f>
        <v>4583.2</v>
      </c>
      <c r="J2252" s="13" t="str">
        <f>TEXT(' car_sales_data 1'!$A2252,"mmmm")</f>
        <v>August</v>
      </c>
      <c r="K2252" s="13" t="str">
        <f>IF(' car_sales_data 1'!$G2252&gt;40000,"Premium",
 IF(' car_sales_data 1'!$G2252&gt;=20000,"Mid Range","Budget"))</f>
        <v>Mid Range</v>
      </c>
      <c r="L2252" s="13">
        <f>YEAR(TODAY())-' car_sales_data 1'!$F2252</f>
        <v>13</v>
      </c>
    </row>
    <row r="2253" ht="15.75" customHeight="1">
      <c r="A2253" s="16">
        <v>44825.0</v>
      </c>
      <c r="B2253" s="13" t="s">
        <v>4413</v>
      </c>
      <c r="C2253" s="13" t="s">
        <v>4414</v>
      </c>
      <c r="D2253" s="13" t="s">
        <v>14</v>
      </c>
      <c r="E2253" s="13" t="s">
        <v>62</v>
      </c>
      <c r="F2253" s="13">
        <v>2019.0</v>
      </c>
      <c r="G2253" s="13">
        <v>18940.0</v>
      </c>
      <c r="H2253" s="13">
        <v>1232.38</v>
      </c>
      <c r="I2253" s="13">
        <f>' car_sales_data 1'!$G2253*0.2</f>
        <v>3788</v>
      </c>
      <c r="J2253" s="13" t="str">
        <f>TEXT(' car_sales_data 1'!$A2253,"mmmm")</f>
        <v>September</v>
      </c>
      <c r="K2253" s="13" t="str">
        <f>IF(' car_sales_data 1'!$G2253&gt;40000,"Premium",
 IF(' car_sales_data 1'!$G2253&gt;=20000,"Mid Range","Budget"))</f>
        <v>Budget</v>
      </c>
      <c r="L2253" s="13">
        <f>YEAR(TODAY())-' car_sales_data 1'!$F2253</f>
        <v>6</v>
      </c>
    </row>
    <row r="2254" ht="15.75" customHeight="1">
      <c r="A2254" s="16">
        <v>44813.0</v>
      </c>
      <c r="B2254" s="13" t="s">
        <v>4415</v>
      </c>
      <c r="C2254" s="13" t="s">
        <v>4416</v>
      </c>
      <c r="D2254" s="13" t="s">
        <v>6</v>
      </c>
      <c r="E2254" s="13" t="s">
        <v>54</v>
      </c>
      <c r="F2254" s="13">
        <v>2016.0</v>
      </c>
      <c r="G2254" s="13">
        <v>29558.0</v>
      </c>
      <c r="H2254" s="13">
        <v>2867.14</v>
      </c>
      <c r="I2254" s="13">
        <f>' car_sales_data 1'!$G2254*0.2</f>
        <v>5911.6</v>
      </c>
      <c r="J2254" s="13" t="str">
        <f>TEXT(' car_sales_data 1'!$A2254,"mmmm")</f>
        <v>September</v>
      </c>
      <c r="K2254" s="13" t="str">
        <f>IF(' car_sales_data 1'!$G2254&gt;40000,"Premium",
 IF(' car_sales_data 1'!$G2254&gt;=20000,"Mid Range","Budget"))</f>
        <v>Mid Range</v>
      </c>
      <c r="L2254" s="13">
        <f>YEAR(TODAY())-' car_sales_data 1'!$F2254</f>
        <v>9</v>
      </c>
    </row>
    <row r="2255" ht="15.75" customHeight="1">
      <c r="A2255" s="16">
        <v>44942.0</v>
      </c>
      <c r="B2255" s="13" t="s">
        <v>4417</v>
      </c>
      <c r="C2255" s="13" t="s">
        <v>4418</v>
      </c>
      <c r="D2255" s="13" t="s">
        <v>6</v>
      </c>
      <c r="E2255" s="13" t="s">
        <v>57</v>
      </c>
      <c r="F2255" s="13">
        <v>2011.0</v>
      </c>
      <c r="G2255" s="13">
        <v>20721.0</v>
      </c>
      <c r="H2255" s="13">
        <v>1895.29</v>
      </c>
      <c r="I2255" s="13">
        <f>' car_sales_data 1'!$G2255*0.2</f>
        <v>4144.2</v>
      </c>
      <c r="J2255" s="13" t="str">
        <f>TEXT(' car_sales_data 1'!$A2255,"mmmm")</f>
        <v>January</v>
      </c>
      <c r="K2255" s="13" t="str">
        <f>IF(' car_sales_data 1'!$G2255&gt;40000,"Premium",
 IF(' car_sales_data 1'!$G2255&gt;=20000,"Mid Range","Budget"))</f>
        <v>Mid Range</v>
      </c>
      <c r="L2255" s="13">
        <f>YEAR(TODAY())-' car_sales_data 1'!$F2255</f>
        <v>14</v>
      </c>
    </row>
    <row r="2256" ht="15.75" customHeight="1">
      <c r="A2256" s="16">
        <v>44847.0</v>
      </c>
      <c r="B2256" s="13" t="s">
        <v>4419</v>
      </c>
      <c r="C2256" s="13" t="s">
        <v>4420</v>
      </c>
      <c r="D2256" s="13" t="s">
        <v>6</v>
      </c>
      <c r="E2256" s="13" t="s">
        <v>54</v>
      </c>
      <c r="F2256" s="13">
        <v>2012.0</v>
      </c>
      <c r="G2256" s="13">
        <v>13524.0</v>
      </c>
      <c r="H2256" s="13">
        <v>1647.01</v>
      </c>
      <c r="I2256" s="13">
        <f>' car_sales_data 1'!$G2256*0.2</f>
        <v>2704.8</v>
      </c>
      <c r="J2256" s="13" t="str">
        <f>TEXT(' car_sales_data 1'!$A2256,"mmmm")</f>
        <v>October</v>
      </c>
      <c r="K2256" s="13" t="str">
        <f>IF(' car_sales_data 1'!$G2256&gt;40000,"Premium",
 IF(' car_sales_data 1'!$G2256&gt;=20000,"Mid Range","Budget"))</f>
        <v>Budget</v>
      </c>
      <c r="L2256" s="13">
        <f>YEAR(TODAY())-' car_sales_data 1'!$F2256</f>
        <v>13</v>
      </c>
    </row>
    <row r="2257" ht="15.75" customHeight="1">
      <c r="A2257" s="16">
        <v>44814.0</v>
      </c>
      <c r="B2257" s="13" t="s">
        <v>4421</v>
      </c>
      <c r="C2257" s="13" t="s">
        <v>4422</v>
      </c>
      <c r="D2257" s="13" t="s">
        <v>14</v>
      </c>
      <c r="E2257" s="13" t="s">
        <v>62</v>
      </c>
      <c r="F2257" s="13">
        <v>2013.0</v>
      </c>
      <c r="G2257" s="13">
        <v>36207.0</v>
      </c>
      <c r="H2257" s="13">
        <v>2632.96</v>
      </c>
      <c r="I2257" s="13">
        <f>' car_sales_data 1'!$G2257*0.2</f>
        <v>7241.4</v>
      </c>
      <c r="J2257" s="13" t="str">
        <f>TEXT(' car_sales_data 1'!$A2257,"mmmm")</f>
        <v>September</v>
      </c>
      <c r="K2257" s="13" t="str">
        <f>IF(' car_sales_data 1'!$G2257&gt;40000,"Premium",
 IF(' car_sales_data 1'!$G2257&gt;=20000,"Mid Range","Budget"))</f>
        <v>Mid Range</v>
      </c>
      <c r="L2257" s="13">
        <f>YEAR(TODAY())-' car_sales_data 1'!$F2257</f>
        <v>12</v>
      </c>
    </row>
    <row r="2258" ht="15.75" customHeight="1">
      <c r="A2258" s="16">
        <v>44862.0</v>
      </c>
      <c r="B2258" s="13" t="s">
        <v>4423</v>
      </c>
      <c r="C2258" s="13" t="s">
        <v>4424</v>
      </c>
      <c r="D2258" s="13" t="s">
        <v>10</v>
      </c>
      <c r="E2258" s="13" t="s">
        <v>57</v>
      </c>
      <c r="F2258" s="13">
        <v>2016.0</v>
      </c>
      <c r="G2258" s="13">
        <v>45249.0</v>
      </c>
      <c r="H2258" s="13">
        <v>4128.46</v>
      </c>
      <c r="I2258" s="13">
        <f>' car_sales_data 1'!$G2258*0.2</f>
        <v>9049.8</v>
      </c>
      <c r="J2258" s="13" t="str">
        <f>TEXT(' car_sales_data 1'!$A2258,"mmmm")</f>
        <v>October</v>
      </c>
      <c r="K2258" s="13" t="str">
        <f>IF(' car_sales_data 1'!$G2258&gt;40000,"Premium",
 IF(' car_sales_data 1'!$G2258&gt;=20000,"Mid Range","Budget"))</f>
        <v>Premium</v>
      </c>
      <c r="L2258" s="13">
        <f>YEAR(TODAY())-' car_sales_data 1'!$F2258</f>
        <v>9</v>
      </c>
    </row>
    <row r="2259" ht="15.75" customHeight="1">
      <c r="A2259" s="16">
        <v>44802.0</v>
      </c>
      <c r="B2259" s="13" t="s">
        <v>4425</v>
      </c>
      <c r="C2259" s="13" t="s">
        <v>4426</v>
      </c>
      <c r="D2259" s="13" t="s">
        <v>10</v>
      </c>
      <c r="E2259" s="13" t="s">
        <v>70</v>
      </c>
      <c r="F2259" s="13">
        <v>2013.0</v>
      </c>
      <c r="G2259" s="13">
        <v>32513.0</v>
      </c>
      <c r="H2259" s="13">
        <v>4408.24</v>
      </c>
      <c r="I2259" s="13">
        <f>' car_sales_data 1'!$G2259*0.2</f>
        <v>6502.6</v>
      </c>
      <c r="J2259" s="13" t="str">
        <f>TEXT(' car_sales_data 1'!$A2259,"mmmm")</f>
        <v>August</v>
      </c>
      <c r="K2259" s="13" t="str">
        <f>IF(' car_sales_data 1'!$G2259&gt;40000,"Premium",
 IF(' car_sales_data 1'!$G2259&gt;=20000,"Mid Range","Budget"))</f>
        <v>Mid Range</v>
      </c>
      <c r="L2259" s="13">
        <f>YEAR(TODAY())-' car_sales_data 1'!$F2259</f>
        <v>12</v>
      </c>
    </row>
    <row r="2260" ht="15.75" customHeight="1">
      <c r="A2260" s="16">
        <v>44870.0</v>
      </c>
      <c r="B2260" s="13" t="s">
        <v>4427</v>
      </c>
      <c r="C2260" s="13" t="s">
        <v>4428</v>
      </c>
      <c r="D2260" s="13" t="s">
        <v>6</v>
      </c>
      <c r="E2260" s="13" t="s">
        <v>70</v>
      </c>
      <c r="F2260" s="13">
        <v>2012.0</v>
      </c>
      <c r="G2260" s="13">
        <v>11437.0</v>
      </c>
      <c r="H2260" s="13">
        <v>1145.38</v>
      </c>
      <c r="I2260" s="13">
        <f>' car_sales_data 1'!$G2260*0.2</f>
        <v>2287.4</v>
      </c>
      <c r="J2260" s="13" t="str">
        <f>TEXT(' car_sales_data 1'!$A2260,"mmmm")</f>
        <v>November</v>
      </c>
      <c r="K2260" s="13" t="str">
        <f>IF(' car_sales_data 1'!$G2260&gt;40000,"Premium",
 IF(' car_sales_data 1'!$G2260&gt;=20000,"Mid Range","Budget"))</f>
        <v>Budget</v>
      </c>
      <c r="L2260" s="13">
        <f>YEAR(TODAY())-' car_sales_data 1'!$F2260</f>
        <v>13</v>
      </c>
    </row>
    <row r="2261" ht="15.75" customHeight="1">
      <c r="A2261" s="16">
        <v>44872.0</v>
      </c>
      <c r="B2261" s="13" t="s">
        <v>4429</v>
      </c>
      <c r="C2261" s="13" t="s">
        <v>4430</v>
      </c>
      <c r="D2261" s="13" t="s">
        <v>12</v>
      </c>
      <c r="E2261" s="13" t="s">
        <v>54</v>
      </c>
      <c r="F2261" s="13">
        <v>2019.0</v>
      </c>
      <c r="G2261" s="13">
        <v>38088.0</v>
      </c>
      <c r="H2261" s="13">
        <v>3291.51</v>
      </c>
      <c r="I2261" s="13">
        <f>' car_sales_data 1'!$G2261*0.2</f>
        <v>7617.6</v>
      </c>
      <c r="J2261" s="13" t="str">
        <f>TEXT(' car_sales_data 1'!$A2261,"mmmm")</f>
        <v>November</v>
      </c>
      <c r="K2261" s="13" t="str">
        <f>IF(' car_sales_data 1'!$G2261&gt;40000,"Premium",
 IF(' car_sales_data 1'!$G2261&gt;=20000,"Mid Range","Budget"))</f>
        <v>Mid Range</v>
      </c>
      <c r="L2261" s="13">
        <f>YEAR(TODAY())-' car_sales_data 1'!$F2261</f>
        <v>6</v>
      </c>
    </row>
    <row r="2262" ht="15.75" customHeight="1">
      <c r="A2262" s="16">
        <v>44937.0</v>
      </c>
      <c r="B2262" s="13" t="s">
        <v>4431</v>
      </c>
      <c r="C2262" s="13" t="s">
        <v>4432</v>
      </c>
      <c r="D2262" s="13" t="s">
        <v>12</v>
      </c>
      <c r="E2262" s="13" t="s">
        <v>70</v>
      </c>
      <c r="F2262" s="13">
        <v>2010.0</v>
      </c>
      <c r="G2262" s="13">
        <v>43418.0</v>
      </c>
      <c r="H2262" s="13">
        <v>6462.79</v>
      </c>
      <c r="I2262" s="13">
        <f>' car_sales_data 1'!$G2262*0.2</f>
        <v>8683.6</v>
      </c>
      <c r="J2262" s="13" t="str">
        <f>TEXT(' car_sales_data 1'!$A2262,"mmmm")</f>
        <v>January</v>
      </c>
      <c r="K2262" s="13" t="str">
        <f>IF(' car_sales_data 1'!$G2262&gt;40000,"Premium",
 IF(' car_sales_data 1'!$G2262&gt;=20000,"Mid Range","Budget"))</f>
        <v>Premium</v>
      </c>
      <c r="L2262" s="13">
        <f>YEAR(TODAY())-' car_sales_data 1'!$F2262</f>
        <v>15</v>
      </c>
    </row>
    <row r="2263" ht="15.75" customHeight="1">
      <c r="A2263" s="16">
        <v>45032.0</v>
      </c>
      <c r="B2263" s="13" t="s">
        <v>4433</v>
      </c>
      <c r="C2263" s="13" t="s">
        <v>4434</v>
      </c>
      <c r="D2263" s="13" t="s">
        <v>14</v>
      </c>
      <c r="E2263" s="13" t="s">
        <v>51</v>
      </c>
      <c r="F2263" s="13">
        <v>2017.0</v>
      </c>
      <c r="G2263" s="13">
        <v>17367.0</v>
      </c>
      <c r="H2263" s="13">
        <v>2408.96</v>
      </c>
      <c r="I2263" s="13">
        <f>' car_sales_data 1'!$G2263*0.2</f>
        <v>3473.4</v>
      </c>
      <c r="J2263" s="13" t="str">
        <f>TEXT(' car_sales_data 1'!$A2263,"mmmm")</f>
        <v>April</v>
      </c>
      <c r="K2263" s="13" t="str">
        <f>IF(' car_sales_data 1'!$G2263&gt;40000,"Premium",
 IF(' car_sales_data 1'!$G2263&gt;=20000,"Mid Range","Budget"))</f>
        <v>Budget</v>
      </c>
      <c r="L2263" s="13">
        <f>YEAR(TODAY())-' car_sales_data 1'!$F2263</f>
        <v>8</v>
      </c>
    </row>
    <row r="2264" ht="15.75" customHeight="1">
      <c r="A2264" s="16">
        <v>45005.0</v>
      </c>
      <c r="B2264" s="13" t="s">
        <v>4435</v>
      </c>
      <c r="C2264" s="13" t="s">
        <v>4436</v>
      </c>
      <c r="D2264" s="13" t="s">
        <v>14</v>
      </c>
      <c r="E2264" s="13" t="s">
        <v>51</v>
      </c>
      <c r="F2264" s="13">
        <v>2017.0</v>
      </c>
      <c r="G2264" s="13">
        <v>24313.0</v>
      </c>
      <c r="H2264" s="13">
        <v>2773.09</v>
      </c>
      <c r="I2264" s="13">
        <f>' car_sales_data 1'!$G2264*0.2</f>
        <v>4862.6</v>
      </c>
      <c r="J2264" s="13" t="str">
        <f>TEXT(' car_sales_data 1'!$A2264,"mmmm")</f>
        <v>March</v>
      </c>
      <c r="K2264" s="13" t="str">
        <f>IF(' car_sales_data 1'!$G2264&gt;40000,"Premium",
 IF(' car_sales_data 1'!$G2264&gt;=20000,"Mid Range","Budget"))</f>
        <v>Mid Range</v>
      </c>
      <c r="L2264" s="13">
        <f>YEAR(TODAY())-' car_sales_data 1'!$F2264</f>
        <v>8</v>
      </c>
    </row>
    <row r="2265" ht="15.75" customHeight="1">
      <c r="A2265" s="16">
        <v>44845.0</v>
      </c>
      <c r="B2265" s="13" t="s">
        <v>4437</v>
      </c>
      <c r="C2265" s="13" t="s">
        <v>4438</v>
      </c>
      <c r="D2265" s="13" t="s">
        <v>8</v>
      </c>
      <c r="E2265" s="13" t="s">
        <v>62</v>
      </c>
      <c r="F2265" s="13">
        <v>2013.0</v>
      </c>
      <c r="G2265" s="13">
        <v>17969.0</v>
      </c>
      <c r="H2265" s="13">
        <v>2640.78</v>
      </c>
      <c r="I2265" s="13">
        <f>' car_sales_data 1'!$G2265*0.2</f>
        <v>3593.8</v>
      </c>
      <c r="J2265" s="13" t="str">
        <f>TEXT(' car_sales_data 1'!$A2265,"mmmm")</f>
        <v>October</v>
      </c>
      <c r="K2265" s="13" t="str">
        <f>IF(' car_sales_data 1'!$G2265&gt;40000,"Premium",
 IF(' car_sales_data 1'!$G2265&gt;=20000,"Mid Range","Budget"))</f>
        <v>Budget</v>
      </c>
      <c r="L2265" s="13">
        <f>YEAR(TODAY())-' car_sales_data 1'!$F2265</f>
        <v>12</v>
      </c>
    </row>
    <row r="2266" ht="15.75" customHeight="1">
      <c r="A2266" s="16">
        <v>44892.0</v>
      </c>
      <c r="B2266" s="13" t="s">
        <v>4439</v>
      </c>
      <c r="C2266" s="13" t="s">
        <v>4440</v>
      </c>
      <c r="D2266" s="13" t="s">
        <v>14</v>
      </c>
      <c r="E2266" s="13" t="s">
        <v>57</v>
      </c>
      <c r="F2266" s="13">
        <v>2021.0</v>
      </c>
      <c r="G2266" s="13">
        <v>17135.0</v>
      </c>
      <c r="H2266" s="13">
        <v>1654.73</v>
      </c>
      <c r="I2266" s="13">
        <f>' car_sales_data 1'!$G2266*0.2</f>
        <v>3427</v>
      </c>
      <c r="J2266" s="13" t="str">
        <f>TEXT(' car_sales_data 1'!$A2266,"mmmm")</f>
        <v>November</v>
      </c>
      <c r="K2266" s="13" t="str">
        <f>IF(' car_sales_data 1'!$G2266&gt;40000,"Premium",
 IF(' car_sales_data 1'!$G2266&gt;=20000,"Mid Range","Budget"))</f>
        <v>Budget</v>
      </c>
      <c r="L2266" s="13">
        <f>YEAR(TODAY())-' car_sales_data 1'!$F2266</f>
        <v>4</v>
      </c>
    </row>
    <row r="2267" ht="15.75" customHeight="1">
      <c r="A2267" s="16">
        <v>44683.0</v>
      </c>
      <c r="B2267" s="13" t="s">
        <v>4441</v>
      </c>
      <c r="C2267" s="13" t="s">
        <v>4442</v>
      </c>
      <c r="D2267" s="13" t="s">
        <v>12</v>
      </c>
      <c r="E2267" s="13" t="s">
        <v>57</v>
      </c>
      <c r="F2267" s="13">
        <v>2021.0</v>
      </c>
      <c r="G2267" s="13">
        <v>39410.0</v>
      </c>
      <c r="H2267" s="13">
        <v>2582.19</v>
      </c>
      <c r="I2267" s="13">
        <f>' car_sales_data 1'!$G2267*0.2</f>
        <v>7882</v>
      </c>
      <c r="J2267" s="13" t="str">
        <f>TEXT(' car_sales_data 1'!$A2267,"mmmm")</f>
        <v>May</v>
      </c>
      <c r="K2267" s="13" t="str">
        <f>IF(' car_sales_data 1'!$G2267&gt;40000,"Premium",
 IF(' car_sales_data 1'!$G2267&gt;=20000,"Mid Range","Budget"))</f>
        <v>Mid Range</v>
      </c>
      <c r="L2267" s="13">
        <f>YEAR(TODAY())-' car_sales_data 1'!$F2267</f>
        <v>4</v>
      </c>
    </row>
    <row r="2268" ht="15.75" customHeight="1">
      <c r="A2268" s="16">
        <v>44919.0</v>
      </c>
      <c r="B2268" s="13" t="s">
        <v>4443</v>
      </c>
      <c r="C2268" s="13" t="s">
        <v>4444</v>
      </c>
      <c r="D2268" s="13" t="s">
        <v>12</v>
      </c>
      <c r="E2268" s="13" t="s">
        <v>70</v>
      </c>
      <c r="F2268" s="13">
        <v>2018.0</v>
      </c>
      <c r="G2268" s="13">
        <v>25362.0</v>
      </c>
      <c r="H2268" s="13">
        <v>3284.4</v>
      </c>
      <c r="I2268" s="13">
        <f>' car_sales_data 1'!$G2268*0.2</f>
        <v>5072.4</v>
      </c>
      <c r="J2268" s="13" t="str">
        <f>TEXT(' car_sales_data 1'!$A2268,"mmmm")</f>
        <v>December</v>
      </c>
      <c r="K2268" s="13" t="str">
        <f>IF(' car_sales_data 1'!$G2268&gt;40000,"Premium",
 IF(' car_sales_data 1'!$G2268&gt;=20000,"Mid Range","Budget"))</f>
        <v>Mid Range</v>
      </c>
      <c r="L2268" s="13">
        <f>YEAR(TODAY())-' car_sales_data 1'!$F2268</f>
        <v>7</v>
      </c>
    </row>
    <row r="2269" ht="15.75" customHeight="1">
      <c r="A2269" s="16">
        <v>44978.0</v>
      </c>
      <c r="B2269" s="13" t="s">
        <v>4445</v>
      </c>
      <c r="C2269" s="13" t="s">
        <v>4446</v>
      </c>
      <c r="D2269" s="13" t="s">
        <v>14</v>
      </c>
      <c r="E2269" s="13" t="s">
        <v>70</v>
      </c>
      <c r="F2269" s="13">
        <v>2014.0</v>
      </c>
      <c r="G2269" s="13">
        <v>13485.0</v>
      </c>
      <c r="H2269" s="13">
        <v>1345.75</v>
      </c>
      <c r="I2269" s="13">
        <f>' car_sales_data 1'!$G2269*0.2</f>
        <v>2697</v>
      </c>
      <c r="J2269" s="13" t="str">
        <f>TEXT(' car_sales_data 1'!$A2269,"mmmm")</f>
        <v>February</v>
      </c>
      <c r="K2269" s="13" t="str">
        <f>IF(' car_sales_data 1'!$G2269&gt;40000,"Premium",
 IF(' car_sales_data 1'!$G2269&gt;=20000,"Mid Range","Budget"))</f>
        <v>Budget</v>
      </c>
      <c r="L2269" s="13">
        <f>YEAR(TODAY())-' car_sales_data 1'!$F2269</f>
        <v>11</v>
      </c>
    </row>
    <row r="2270" ht="15.75" customHeight="1">
      <c r="A2270" s="16">
        <v>44717.0</v>
      </c>
      <c r="B2270" s="13" t="s">
        <v>4447</v>
      </c>
      <c r="C2270" s="13" t="s">
        <v>4448</v>
      </c>
      <c r="D2270" s="13" t="s">
        <v>10</v>
      </c>
      <c r="E2270" s="13" t="s">
        <v>51</v>
      </c>
      <c r="F2270" s="13">
        <v>2014.0</v>
      </c>
      <c r="G2270" s="13">
        <v>49739.0</v>
      </c>
      <c r="H2270" s="13">
        <v>3617.89</v>
      </c>
      <c r="I2270" s="13">
        <f>' car_sales_data 1'!$G2270*0.2</f>
        <v>9947.8</v>
      </c>
      <c r="J2270" s="13" t="str">
        <f>TEXT(' car_sales_data 1'!$A2270,"mmmm")</f>
        <v>June</v>
      </c>
      <c r="K2270" s="13" t="str">
        <f>IF(' car_sales_data 1'!$G2270&gt;40000,"Premium",
 IF(' car_sales_data 1'!$G2270&gt;=20000,"Mid Range","Budget"))</f>
        <v>Premium</v>
      </c>
      <c r="L2270" s="13">
        <f>YEAR(TODAY())-' car_sales_data 1'!$F2270</f>
        <v>11</v>
      </c>
    </row>
    <row r="2271" ht="15.75" customHeight="1">
      <c r="A2271" s="16">
        <v>44982.0</v>
      </c>
      <c r="B2271" s="13" t="s">
        <v>4449</v>
      </c>
      <c r="C2271" s="13" t="s">
        <v>4450</v>
      </c>
      <c r="D2271" s="13" t="s">
        <v>8</v>
      </c>
      <c r="E2271" s="13" t="s">
        <v>70</v>
      </c>
      <c r="F2271" s="13">
        <v>2021.0</v>
      </c>
      <c r="G2271" s="13">
        <v>45879.0</v>
      </c>
      <c r="H2271" s="13">
        <v>4085.3</v>
      </c>
      <c r="I2271" s="13">
        <f>' car_sales_data 1'!$G2271*0.2</f>
        <v>9175.8</v>
      </c>
      <c r="J2271" s="13" t="str">
        <f>TEXT(' car_sales_data 1'!$A2271,"mmmm")</f>
        <v>February</v>
      </c>
      <c r="K2271" s="13" t="str">
        <f>IF(' car_sales_data 1'!$G2271&gt;40000,"Premium",
 IF(' car_sales_data 1'!$G2271&gt;=20000,"Mid Range","Budget"))</f>
        <v>Premium</v>
      </c>
      <c r="L2271" s="13">
        <f>YEAR(TODAY())-' car_sales_data 1'!$F2271</f>
        <v>4</v>
      </c>
    </row>
    <row r="2272" ht="15.75" customHeight="1">
      <c r="A2272" s="16">
        <v>44728.0</v>
      </c>
      <c r="B2272" s="13" t="s">
        <v>4451</v>
      </c>
      <c r="C2272" s="13" t="s">
        <v>4452</v>
      </c>
      <c r="D2272" s="13" t="s">
        <v>10</v>
      </c>
      <c r="E2272" s="13" t="s">
        <v>62</v>
      </c>
      <c r="F2272" s="13">
        <v>2012.0</v>
      </c>
      <c r="G2272" s="13">
        <v>35838.0</v>
      </c>
      <c r="H2272" s="13">
        <v>2744.5</v>
      </c>
      <c r="I2272" s="13">
        <f>' car_sales_data 1'!$G2272*0.2</f>
        <v>7167.6</v>
      </c>
      <c r="J2272" s="13" t="str">
        <f>TEXT(' car_sales_data 1'!$A2272,"mmmm")</f>
        <v>June</v>
      </c>
      <c r="K2272" s="13" t="str">
        <f>IF(' car_sales_data 1'!$G2272&gt;40000,"Premium",
 IF(' car_sales_data 1'!$G2272&gt;=20000,"Mid Range","Budget"))</f>
        <v>Mid Range</v>
      </c>
      <c r="L2272" s="13">
        <f>YEAR(TODAY())-' car_sales_data 1'!$F2272</f>
        <v>13</v>
      </c>
    </row>
    <row r="2273" ht="15.75" customHeight="1">
      <c r="A2273" s="16">
        <v>44837.0</v>
      </c>
      <c r="B2273" s="13" t="s">
        <v>4453</v>
      </c>
      <c r="C2273" s="13" t="s">
        <v>4454</v>
      </c>
      <c r="D2273" s="13" t="s">
        <v>8</v>
      </c>
      <c r="E2273" s="13" t="s">
        <v>54</v>
      </c>
      <c r="F2273" s="13">
        <v>2019.0</v>
      </c>
      <c r="G2273" s="13">
        <v>10657.0</v>
      </c>
      <c r="H2273" s="13">
        <v>1037.25</v>
      </c>
      <c r="I2273" s="13">
        <f>' car_sales_data 1'!$G2273*0.2</f>
        <v>2131.4</v>
      </c>
      <c r="J2273" s="13" t="str">
        <f>TEXT(' car_sales_data 1'!$A2273,"mmmm")</f>
        <v>October</v>
      </c>
      <c r="K2273" s="13" t="str">
        <f>IF(' car_sales_data 1'!$G2273&gt;40000,"Premium",
 IF(' car_sales_data 1'!$G2273&gt;=20000,"Mid Range","Budget"))</f>
        <v>Budget</v>
      </c>
      <c r="L2273" s="13">
        <f>YEAR(TODAY())-' car_sales_data 1'!$F2273</f>
        <v>6</v>
      </c>
    </row>
    <row r="2274" ht="15.75" customHeight="1">
      <c r="A2274" s="16">
        <v>45041.0</v>
      </c>
      <c r="B2274" s="13" t="s">
        <v>4455</v>
      </c>
      <c r="C2274" s="13" t="s">
        <v>4456</v>
      </c>
      <c r="D2274" s="13" t="s">
        <v>6</v>
      </c>
      <c r="E2274" s="13" t="s">
        <v>70</v>
      </c>
      <c r="F2274" s="13">
        <v>2012.0</v>
      </c>
      <c r="G2274" s="13">
        <v>39237.0</v>
      </c>
      <c r="H2274" s="13">
        <v>5346.87</v>
      </c>
      <c r="I2274" s="13">
        <f>' car_sales_data 1'!$G2274*0.2</f>
        <v>7847.4</v>
      </c>
      <c r="J2274" s="13" t="str">
        <f>TEXT(' car_sales_data 1'!$A2274,"mmmm")</f>
        <v>April</v>
      </c>
      <c r="K2274" s="13" t="str">
        <f>IF(' car_sales_data 1'!$G2274&gt;40000,"Premium",
 IF(' car_sales_data 1'!$G2274&gt;=20000,"Mid Range","Budget"))</f>
        <v>Mid Range</v>
      </c>
      <c r="L2274" s="13">
        <f>YEAR(TODAY())-' car_sales_data 1'!$F2274</f>
        <v>13</v>
      </c>
    </row>
    <row r="2275" ht="15.75" customHeight="1">
      <c r="A2275" s="16">
        <v>44815.0</v>
      </c>
      <c r="B2275" s="13" t="s">
        <v>4457</v>
      </c>
      <c r="C2275" s="13" t="s">
        <v>4458</v>
      </c>
      <c r="D2275" s="13" t="s">
        <v>12</v>
      </c>
      <c r="E2275" s="13" t="s">
        <v>70</v>
      </c>
      <c r="F2275" s="13">
        <v>2011.0</v>
      </c>
      <c r="G2275" s="13">
        <v>31678.0</v>
      </c>
      <c r="H2275" s="13">
        <v>4683.77</v>
      </c>
      <c r="I2275" s="13">
        <f>' car_sales_data 1'!$G2275*0.2</f>
        <v>6335.6</v>
      </c>
      <c r="J2275" s="13" t="str">
        <f>TEXT(' car_sales_data 1'!$A2275,"mmmm")</f>
        <v>September</v>
      </c>
      <c r="K2275" s="13" t="str">
        <f>IF(' car_sales_data 1'!$G2275&gt;40000,"Premium",
 IF(' car_sales_data 1'!$G2275&gt;=20000,"Mid Range","Budget"))</f>
        <v>Mid Range</v>
      </c>
      <c r="L2275" s="13">
        <f>YEAR(TODAY())-' car_sales_data 1'!$F2275</f>
        <v>14</v>
      </c>
    </row>
    <row r="2276" ht="15.75" customHeight="1">
      <c r="A2276" s="16">
        <v>44784.0</v>
      </c>
      <c r="B2276" s="13" t="s">
        <v>4459</v>
      </c>
      <c r="C2276" s="13" t="s">
        <v>4460</v>
      </c>
      <c r="D2276" s="13" t="s">
        <v>10</v>
      </c>
      <c r="E2276" s="13" t="s">
        <v>57</v>
      </c>
      <c r="F2276" s="13">
        <v>2020.0</v>
      </c>
      <c r="G2276" s="13">
        <v>37861.0</v>
      </c>
      <c r="H2276" s="13">
        <v>2871.01</v>
      </c>
      <c r="I2276" s="13">
        <f>' car_sales_data 1'!$G2276*0.2</f>
        <v>7572.2</v>
      </c>
      <c r="J2276" s="13" t="str">
        <f>TEXT(' car_sales_data 1'!$A2276,"mmmm")</f>
        <v>August</v>
      </c>
      <c r="K2276" s="13" t="str">
        <f>IF(' car_sales_data 1'!$G2276&gt;40000,"Premium",
 IF(' car_sales_data 1'!$G2276&gt;=20000,"Mid Range","Budget"))</f>
        <v>Mid Range</v>
      </c>
      <c r="L2276" s="13">
        <f>YEAR(TODAY())-' car_sales_data 1'!$F2276</f>
        <v>5</v>
      </c>
    </row>
    <row r="2277" ht="15.75" customHeight="1">
      <c r="A2277" s="16">
        <v>44773.0</v>
      </c>
      <c r="B2277" s="13" t="s">
        <v>4461</v>
      </c>
      <c r="C2277" s="13" t="s">
        <v>4462</v>
      </c>
      <c r="D2277" s="13" t="s">
        <v>6</v>
      </c>
      <c r="E2277" s="13" t="s">
        <v>51</v>
      </c>
      <c r="F2277" s="13">
        <v>2022.0</v>
      </c>
      <c r="G2277" s="13">
        <v>12254.0</v>
      </c>
      <c r="H2277" s="13">
        <v>966.49</v>
      </c>
      <c r="I2277" s="13">
        <f>' car_sales_data 1'!$G2277*0.2</f>
        <v>2450.8</v>
      </c>
      <c r="J2277" s="13" t="str">
        <f>TEXT(' car_sales_data 1'!$A2277,"mmmm")</f>
        <v>July</v>
      </c>
      <c r="K2277" s="13" t="str">
        <f>IF(' car_sales_data 1'!$G2277&gt;40000,"Premium",
 IF(' car_sales_data 1'!$G2277&gt;=20000,"Mid Range","Budget"))</f>
        <v>Budget</v>
      </c>
      <c r="L2277" s="13">
        <f>YEAR(TODAY())-' car_sales_data 1'!$F2277</f>
        <v>3</v>
      </c>
    </row>
    <row r="2278" ht="15.75" customHeight="1">
      <c r="A2278" s="16">
        <v>44937.0</v>
      </c>
      <c r="B2278" s="13" t="s">
        <v>4463</v>
      </c>
      <c r="C2278" s="13" t="s">
        <v>4464</v>
      </c>
      <c r="D2278" s="13" t="s">
        <v>6</v>
      </c>
      <c r="E2278" s="13" t="s">
        <v>51</v>
      </c>
      <c r="F2278" s="13">
        <v>2012.0</v>
      </c>
      <c r="G2278" s="13">
        <v>32121.0</v>
      </c>
      <c r="H2278" s="13">
        <v>3741.44</v>
      </c>
      <c r="I2278" s="13">
        <f>' car_sales_data 1'!$G2278*0.2</f>
        <v>6424.2</v>
      </c>
      <c r="J2278" s="13" t="str">
        <f>TEXT(' car_sales_data 1'!$A2278,"mmmm")</f>
        <v>January</v>
      </c>
      <c r="K2278" s="13" t="str">
        <f>IF(' car_sales_data 1'!$G2278&gt;40000,"Premium",
 IF(' car_sales_data 1'!$G2278&gt;=20000,"Mid Range","Budget"))</f>
        <v>Mid Range</v>
      </c>
      <c r="L2278" s="13">
        <f>YEAR(TODAY())-' car_sales_data 1'!$F2278</f>
        <v>13</v>
      </c>
    </row>
    <row r="2279" ht="15.75" customHeight="1">
      <c r="A2279" s="16">
        <v>44864.0</v>
      </c>
      <c r="B2279" s="13" t="s">
        <v>4465</v>
      </c>
      <c r="C2279" s="13" t="s">
        <v>4466</v>
      </c>
      <c r="D2279" s="13" t="s">
        <v>8</v>
      </c>
      <c r="E2279" s="13" t="s">
        <v>57</v>
      </c>
      <c r="F2279" s="13">
        <v>2011.0</v>
      </c>
      <c r="G2279" s="13">
        <v>11102.0</v>
      </c>
      <c r="H2279" s="13">
        <v>836.02</v>
      </c>
      <c r="I2279" s="13">
        <f>' car_sales_data 1'!$G2279*0.2</f>
        <v>2220.4</v>
      </c>
      <c r="J2279" s="13" t="str">
        <f>TEXT(' car_sales_data 1'!$A2279,"mmmm")</f>
        <v>October</v>
      </c>
      <c r="K2279" s="13" t="str">
        <f>IF(' car_sales_data 1'!$G2279&gt;40000,"Premium",
 IF(' car_sales_data 1'!$G2279&gt;=20000,"Mid Range","Budget"))</f>
        <v>Budget</v>
      </c>
      <c r="L2279" s="13">
        <f>YEAR(TODAY())-' car_sales_data 1'!$F2279</f>
        <v>14</v>
      </c>
    </row>
    <row r="2280" ht="15.75" customHeight="1">
      <c r="A2280" s="16">
        <v>44699.0</v>
      </c>
      <c r="B2280" s="13" t="s">
        <v>4467</v>
      </c>
      <c r="C2280" s="13" t="s">
        <v>4468</v>
      </c>
      <c r="D2280" s="13" t="s">
        <v>14</v>
      </c>
      <c r="E2280" s="13" t="s">
        <v>62</v>
      </c>
      <c r="F2280" s="13">
        <v>2022.0</v>
      </c>
      <c r="G2280" s="13">
        <v>38604.0</v>
      </c>
      <c r="H2280" s="13">
        <v>3974.86</v>
      </c>
      <c r="I2280" s="13">
        <f>' car_sales_data 1'!$G2280*0.2</f>
        <v>7720.8</v>
      </c>
      <c r="J2280" s="13" t="str">
        <f>TEXT(' car_sales_data 1'!$A2280,"mmmm")</f>
        <v>May</v>
      </c>
      <c r="K2280" s="13" t="str">
        <f>IF(' car_sales_data 1'!$G2280&gt;40000,"Premium",
 IF(' car_sales_data 1'!$G2280&gt;=20000,"Mid Range","Budget"))</f>
        <v>Mid Range</v>
      </c>
      <c r="L2280" s="13">
        <f>YEAR(TODAY())-' car_sales_data 1'!$F2280</f>
        <v>3</v>
      </c>
    </row>
    <row r="2281" ht="15.75" customHeight="1">
      <c r="A2281" s="16">
        <v>45028.0</v>
      </c>
      <c r="B2281" s="13" t="s">
        <v>4469</v>
      </c>
      <c r="C2281" s="13" t="s">
        <v>4470</v>
      </c>
      <c r="D2281" s="13" t="s">
        <v>8</v>
      </c>
      <c r="E2281" s="13" t="s">
        <v>54</v>
      </c>
      <c r="F2281" s="13">
        <v>2013.0</v>
      </c>
      <c r="G2281" s="13">
        <v>36277.0</v>
      </c>
      <c r="H2281" s="13">
        <v>5361.72</v>
      </c>
      <c r="I2281" s="13">
        <f>' car_sales_data 1'!$G2281*0.2</f>
        <v>7255.4</v>
      </c>
      <c r="J2281" s="13" t="str">
        <f>TEXT(' car_sales_data 1'!$A2281,"mmmm")</f>
        <v>April</v>
      </c>
      <c r="K2281" s="13" t="str">
        <f>IF(' car_sales_data 1'!$G2281&gt;40000,"Premium",
 IF(' car_sales_data 1'!$G2281&gt;=20000,"Mid Range","Budget"))</f>
        <v>Mid Range</v>
      </c>
      <c r="L2281" s="13">
        <f>YEAR(TODAY())-' car_sales_data 1'!$F2281</f>
        <v>12</v>
      </c>
    </row>
    <row r="2282" ht="15.75" customHeight="1">
      <c r="A2282" s="16">
        <v>44788.0</v>
      </c>
      <c r="B2282" s="13" t="s">
        <v>4471</v>
      </c>
      <c r="C2282" s="13" t="s">
        <v>4472</v>
      </c>
      <c r="D2282" s="13" t="s">
        <v>10</v>
      </c>
      <c r="E2282" s="13" t="s">
        <v>70</v>
      </c>
      <c r="F2282" s="13">
        <v>2011.0</v>
      </c>
      <c r="G2282" s="13">
        <v>23609.0</v>
      </c>
      <c r="H2282" s="13">
        <v>1946.58</v>
      </c>
      <c r="I2282" s="13">
        <f>' car_sales_data 1'!$G2282*0.2</f>
        <v>4721.8</v>
      </c>
      <c r="J2282" s="13" t="str">
        <f>TEXT(' car_sales_data 1'!$A2282,"mmmm")</f>
        <v>August</v>
      </c>
      <c r="K2282" s="13" t="str">
        <f>IF(' car_sales_data 1'!$G2282&gt;40000,"Premium",
 IF(' car_sales_data 1'!$G2282&gt;=20000,"Mid Range","Budget"))</f>
        <v>Mid Range</v>
      </c>
      <c r="L2282" s="13">
        <f>YEAR(TODAY())-' car_sales_data 1'!$F2282</f>
        <v>14</v>
      </c>
    </row>
    <row r="2283" ht="15.75" customHeight="1">
      <c r="A2283" s="16">
        <v>44710.0</v>
      </c>
      <c r="B2283" s="13" t="s">
        <v>4473</v>
      </c>
      <c r="C2283" s="13" t="s">
        <v>4474</v>
      </c>
      <c r="D2283" s="13" t="s">
        <v>10</v>
      </c>
      <c r="E2283" s="13" t="s">
        <v>54</v>
      </c>
      <c r="F2283" s="13">
        <v>2020.0</v>
      </c>
      <c r="G2283" s="13">
        <v>42709.0</v>
      </c>
      <c r="H2283" s="13">
        <v>4891.13</v>
      </c>
      <c r="I2283" s="13">
        <f>' car_sales_data 1'!$G2283*0.2</f>
        <v>8541.8</v>
      </c>
      <c r="J2283" s="13" t="str">
        <f>TEXT(' car_sales_data 1'!$A2283,"mmmm")</f>
        <v>May</v>
      </c>
      <c r="K2283" s="13" t="str">
        <f>IF(' car_sales_data 1'!$G2283&gt;40000,"Premium",
 IF(' car_sales_data 1'!$G2283&gt;=20000,"Mid Range","Budget"))</f>
        <v>Premium</v>
      </c>
      <c r="L2283" s="13">
        <f>YEAR(TODAY())-' car_sales_data 1'!$F2283</f>
        <v>5</v>
      </c>
    </row>
    <row r="2284" ht="15.75" customHeight="1">
      <c r="A2284" s="16">
        <v>44834.0</v>
      </c>
      <c r="B2284" s="13" t="s">
        <v>4475</v>
      </c>
      <c r="C2284" s="13" t="s">
        <v>4476</v>
      </c>
      <c r="D2284" s="13" t="s">
        <v>8</v>
      </c>
      <c r="E2284" s="13" t="s">
        <v>70</v>
      </c>
      <c r="F2284" s="13">
        <v>2015.0</v>
      </c>
      <c r="G2284" s="13">
        <v>12137.0</v>
      </c>
      <c r="H2284" s="13">
        <v>1778.59</v>
      </c>
      <c r="I2284" s="13">
        <f>' car_sales_data 1'!$G2284*0.2</f>
        <v>2427.4</v>
      </c>
      <c r="J2284" s="13" t="str">
        <f>TEXT(' car_sales_data 1'!$A2284,"mmmm")</f>
        <v>September</v>
      </c>
      <c r="K2284" s="13" t="str">
        <f>IF(' car_sales_data 1'!$G2284&gt;40000,"Premium",
 IF(' car_sales_data 1'!$G2284&gt;=20000,"Mid Range","Budget"))</f>
        <v>Budget</v>
      </c>
      <c r="L2284" s="13">
        <f>YEAR(TODAY())-' car_sales_data 1'!$F2284</f>
        <v>10</v>
      </c>
    </row>
    <row r="2285" ht="15.75" customHeight="1">
      <c r="A2285" s="16">
        <v>44683.0</v>
      </c>
      <c r="B2285" s="13" t="s">
        <v>4477</v>
      </c>
      <c r="C2285" s="13" t="s">
        <v>4478</v>
      </c>
      <c r="D2285" s="13" t="s">
        <v>8</v>
      </c>
      <c r="E2285" s="13" t="s">
        <v>54</v>
      </c>
      <c r="F2285" s="13">
        <v>2022.0</v>
      </c>
      <c r="G2285" s="13">
        <v>49266.0</v>
      </c>
      <c r="H2285" s="13">
        <v>2647.68</v>
      </c>
      <c r="I2285" s="13">
        <f>' car_sales_data 1'!$G2285*0.2</f>
        <v>9853.2</v>
      </c>
      <c r="J2285" s="13" t="str">
        <f>TEXT(' car_sales_data 1'!$A2285,"mmmm")</f>
        <v>May</v>
      </c>
      <c r="K2285" s="13" t="str">
        <f>IF(' car_sales_data 1'!$G2285&gt;40000,"Premium",
 IF(' car_sales_data 1'!$G2285&gt;=20000,"Mid Range","Budget"))</f>
        <v>Premium</v>
      </c>
      <c r="L2285" s="13">
        <f>YEAR(TODAY())-' car_sales_data 1'!$F2285</f>
        <v>3</v>
      </c>
    </row>
    <row r="2286" ht="15.75" customHeight="1">
      <c r="A2286" s="16">
        <v>44953.0</v>
      </c>
      <c r="B2286" s="13" t="s">
        <v>4479</v>
      </c>
      <c r="C2286" s="13" t="s">
        <v>4480</v>
      </c>
      <c r="D2286" s="13" t="s">
        <v>10</v>
      </c>
      <c r="E2286" s="13" t="s">
        <v>70</v>
      </c>
      <c r="F2286" s="13">
        <v>2014.0</v>
      </c>
      <c r="G2286" s="13">
        <v>19379.0</v>
      </c>
      <c r="H2286" s="13">
        <v>1071.0</v>
      </c>
      <c r="I2286" s="13">
        <f>' car_sales_data 1'!$G2286*0.2</f>
        <v>3875.8</v>
      </c>
      <c r="J2286" s="13" t="str">
        <f>TEXT(' car_sales_data 1'!$A2286,"mmmm")</f>
        <v>January</v>
      </c>
      <c r="K2286" s="13" t="str">
        <f>IF(' car_sales_data 1'!$G2286&gt;40000,"Premium",
 IF(' car_sales_data 1'!$G2286&gt;=20000,"Mid Range","Budget"))</f>
        <v>Budget</v>
      </c>
      <c r="L2286" s="13">
        <f>YEAR(TODAY())-' car_sales_data 1'!$F2286</f>
        <v>11</v>
      </c>
    </row>
    <row r="2287" ht="15.75" customHeight="1">
      <c r="A2287" s="16">
        <v>45028.0</v>
      </c>
      <c r="B2287" s="13" t="s">
        <v>4481</v>
      </c>
      <c r="C2287" s="13" t="s">
        <v>4482</v>
      </c>
      <c r="D2287" s="13" t="s">
        <v>14</v>
      </c>
      <c r="E2287" s="13" t="s">
        <v>57</v>
      </c>
      <c r="F2287" s="13">
        <v>2018.0</v>
      </c>
      <c r="G2287" s="13">
        <v>26240.0</v>
      </c>
      <c r="H2287" s="13">
        <v>2919.58</v>
      </c>
      <c r="I2287" s="13">
        <f>' car_sales_data 1'!$G2287*0.2</f>
        <v>5248</v>
      </c>
      <c r="J2287" s="13" t="str">
        <f>TEXT(' car_sales_data 1'!$A2287,"mmmm")</f>
        <v>April</v>
      </c>
      <c r="K2287" s="13" t="str">
        <f>IF(' car_sales_data 1'!$G2287&gt;40000,"Premium",
 IF(' car_sales_data 1'!$G2287&gt;=20000,"Mid Range","Budget"))</f>
        <v>Mid Range</v>
      </c>
      <c r="L2287" s="13">
        <f>YEAR(TODAY())-' car_sales_data 1'!$F2287</f>
        <v>7</v>
      </c>
    </row>
    <row r="2288" ht="15.75" customHeight="1">
      <c r="A2288" s="16">
        <v>44734.0</v>
      </c>
      <c r="B2288" s="13" t="s">
        <v>4483</v>
      </c>
      <c r="C2288" s="13" t="s">
        <v>4484</v>
      </c>
      <c r="D2288" s="13" t="s">
        <v>12</v>
      </c>
      <c r="E2288" s="13" t="s">
        <v>51</v>
      </c>
      <c r="F2288" s="13">
        <v>2022.0</v>
      </c>
      <c r="G2288" s="13">
        <v>43694.0</v>
      </c>
      <c r="H2288" s="13">
        <v>4172.33</v>
      </c>
      <c r="I2288" s="13">
        <f>' car_sales_data 1'!$G2288*0.2</f>
        <v>8738.8</v>
      </c>
      <c r="J2288" s="13" t="str">
        <f>TEXT(' car_sales_data 1'!$A2288,"mmmm")</f>
        <v>June</v>
      </c>
      <c r="K2288" s="13" t="str">
        <f>IF(' car_sales_data 1'!$G2288&gt;40000,"Premium",
 IF(' car_sales_data 1'!$G2288&gt;=20000,"Mid Range","Budget"))</f>
        <v>Premium</v>
      </c>
      <c r="L2288" s="13">
        <f>YEAR(TODAY())-' car_sales_data 1'!$F2288</f>
        <v>3</v>
      </c>
    </row>
    <row r="2289" ht="15.75" customHeight="1">
      <c r="A2289" s="16">
        <v>45039.0</v>
      </c>
      <c r="B2289" s="13" t="s">
        <v>4485</v>
      </c>
      <c r="C2289" s="13" t="s">
        <v>4486</v>
      </c>
      <c r="D2289" s="13" t="s">
        <v>14</v>
      </c>
      <c r="E2289" s="13" t="s">
        <v>62</v>
      </c>
      <c r="F2289" s="13">
        <v>2022.0</v>
      </c>
      <c r="G2289" s="13">
        <v>17384.0</v>
      </c>
      <c r="H2289" s="13">
        <v>2217.82</v>
      </c>
      <c r="I2289" s="13">
        <f>' car_sales_data 1'!$G2289*0.2</f>
        <v>3476.8</v>
      </c>
      <c r="J2289" s="13" t="str">
        <f>TEXT(' car_sales_data 1'!$A2289,"mmmm")</f>
        <v>April</v>
      </c>
      <c r="K2289" s="13" t="str">
        <f>IF(' car_sales_data 1'!$G2289&gt;40000,"Premium",
 IF(' car_sales_data 1'!$G2289&gt;=20000,"Mid Range","Budget"))</f>
        <v>Budget</v>
      </c>
      <c r="L2289" s="13">
        <f>YEAR(TODAY())-' car_sales_data 1'!$F2289</f>
        <v>3</v>
      </c>
    </row>
    <row r="2290" ht="15.75" customHeight="1">
      <c r="A2290" s="16">
        <v>44834.0</v>
      </c>
      <c r="B2290" s="13" t="s">
        <v>4487</v>
      </c>
      <c r="C2290" s="13" t="s">
        <v>4488</v>
      </c>
      <c r="D2290" s="13" t="s">
        <v>14</v>
      </c>
      <c r="E2290" s="13" t="s">
        <v>51</v>
      </c>
      <c r="F2290" s="13">
        <v>2013.0</v>
      </c>
      <c r="G2290" s="13">
        <v>18779.0</v>
      </c>
      <c r="H2290" s="13">
        <v>2577.55</v>
      </c>
      <c r="I2290" s="13">
        <f>' car_sales_data 1'!$G2290*0.2</f>
        <v>3755.8</v>
      </c>
      <c r="J2290" s="13" t="str">
        <f>TEXT(' car_sales_data 1'!$A2290,"mmmm")</f>
        <v>September</v>
      </c>
      <c r="K2290" s="13" t="str">
        <f>IF(' car_sales_data 1'!$G2290&gt;40000,"Premium",
 IF(' car_sales_data 1'!$G2290&gt;=20000,"Mid Range","Budget"))</f>
        <v>Budget</v>
      </c>
      <c r="L2290" s="13">
        <f>YEAR(TODAY())-' car_sales_data 1'!$F2290</f>
        <v>12</v>
      </c>
    </row>
    <row r="2291" ht="15.75" customHeight="1">
      <c r="A2291" s="16">
        <v>44824.0</v>
      </c>
      <c r="B2291" s="13" t="s">
        <v>4489</v>
      </c>
      <c r="C2291" s="13" t="s">
        <v>4490</v>
      </c>
      <c r="D2291" s="13" t="s">
        <v>14</v>
      </c>
      <c r="E2291" s="13" t="s">
        <v>57</v>
      </c>
      <c r="F2291" s="13">
        <v>2010.0</v>
      </c>
      <c r="G2291" s="13">
        <v>13542.0</v>
      </c>
      <c r="H2291" s="13">
        <v>934.79</v>
      </c>
      <c r="I2291" s="13">
        <f>' car_sales_data 1'!$G2291*0.2</f>
        <v>2708.4</v>
      </c>
      <c r="J2291" s="13" t="str">
        <f>TEXT(' car_sales_data 1'!$A2291,"mmmm")</f>
        <v>September</v>
      </c>
      <c r="K2291" s="13" t="str">
        <f>IF(' car_sales_data 1'!$G2291&gt;40000,"Premium",
 IF(' car_sales_data 1'!$G2291&gt;=20000,"Mid Range","Budget"))</f>
        <v>Budget</v>
      </c>
      <c r="L2291" s="13">
        <f>YEAR(TODAY())-' car_sales_data 1'!$F2291</f>
        <v>15</v>
      </c>
    </row>
    <row r="2292" ht="15.75" customHeight="1">
      <c r="A2292" s="16">
        <v>44701.0</v>
      </c>
      <c r="B2292" s="13" t="s">
        <v>4491</v>
      </c>
      <c r="C2292" s="13" t="s">
        <v>4492</v>
      </c>
      <c r="D2292" s="13" t="s">
        <v>6</v>
      </c>
      <c r="E2292" s="13" t="s">
        <v>51</v>
      </c>
      <c r="F2292" s="13">
        <v>2011.0</v>
      </c>
      <c r="G2292" s="13">
        <v>43765.0</v>
      </c>
      <c r="H2292" s="13">
        <v>2657.73</v>
      </c>
      <c r="I2292" s="13">
        <f>' car_sales_data 1'!$G2292*0.2</f>
        <v>8753</v>
      </c>
      <c r="J2292" s="13" t="str">
        <f>TEXT(' car_sales_data 1'!$A2292,"mmmm")</f>
        <v>May</v>
      </c>
      <c r="K2292" s="13" t="str">
        <f>IF(' car_sales_data 1'!$G2292&gt;40000,"Premium",
 IF(' car_sales_data 1'!$G2292&gt;=20000,"Mid Range","Budget"))</f>
        <v>Premium</v>
      </c>
      <c r="L2292" s="13">
        <f>YEAR(TODAY())-' car_sales_data 1'!$F2292</f>
        <v>14</v>
      </c>
    </row>
    <row r="2293" ht="15.75" customHeight="1">
      <c r="A2293" s="16">
        <v>44993.0</v>
      </c>
      <c r="B2293" s="13" t="s">
        <v>4493</v>
      </c>
      <c r="C2293" s="13" t="s">
        <v>4494</v>
      </c>
      <c r="D2293" s="13" t="s">
        <v>6</v>
      </c>
      <c r="E2293" s="13" t="s">
        <v>70</v>
      </c>
      <c r="F2293" s="13">
        <v>2020.0</v>
      </c>
      <c r="G2293" s="13">
        <v>26542.0</v>
      </c>
      <c r="H2293" s="13">
        <v>2721.25</v>
      </c>
      <c r="I2293" s="13">
        <f>' car_sales_data 1'!$G2293*0.2</f>
        <v>5308.4</v>
      </c>
      <c r="J2293" s="13" t="str">
        <f>TEXT(' car_sales_data 1'!$A2293,"mmmm")</f>
        <v>March</v>
      </c>
      <c r="K2293" s="13" t="str">
        <f>IF(' car_sales_data 1'!$G2293&gt;40000,"Premium",
 IF(' car_sales_data 1'!$G2293&gt;=20000,"Mid Range","Budget"))</f>
        <v>Mid Range</v>
      </c>
      <c r="L2293" s="13">
        <f>YEAR(TODAY())-' car_sales_data 1'!$F2293</f>
        <v>5</v>
      </c>
    </row>
    <row r="2294" ht="15.75" customHeight="1">
      <c r="A2294" s="16">
        <v>44688.0</v>
      </c>
      <c r="B2294" s="13" t="s">
        <v>4495</v>
      </c>
      <c r="C2294" s="13" t="s">
        <v>4496</v>
      </c>
      <c r="D2294" s="13" t="s">
        <v>6</v>
      </c>
      <c r="E2294" s="13" t="s">
        <v>51</v>
      </c>
      <c r="F2294" s="13">
        <v>2013.0</v>
      </c>
      <c r="G2294" s="13">
        <v>44537.0</v>
      </c>
      <c r="H2294" s="13">
        <v>6403.96</v>
      </c>
      <c r="I2294" s="13">
        <f>' car_sales_data 1'!$G2294*0.2</f>
        <v>8907.4</v>
      </c>
      <c r="J2294" s="13" t="str">
        <f>TEXT(' car_sales_data 1'!$A2294,"mmmm")</f>
        <v>May</v>
      </c>
      <c r="K2294" s="13" t="str">
        <f>IF(' car_sales_data 1'!$G2294&gt;40000,"Premium",
 IF(' car_sales_data 1'!$G2294&gt;=20000,"Mid Range","Budget"))</f>
        <v>Premium</v>
      </c>
      <c r="L2294" s="13">
        <f>YEAR(TODAY())-' car_sales_data 1'!$F2294</f>
        <v>12</v>
      </c>
    </row>
    <row r="2295" ht="15.75" customHeight="1">
      <c r="A2295" s="16">
        <v>44855.0</v>
      </c>
      <c r="B2295" s="13" t="s">
        <v>4497</v>
      </c>
      <c r="C2295" s="13" t="s">
        <v>1568</v>
      </c>
      <c r="D2295" s="13" t="s">
        <v>12</v>
      </c>
      <c r="E2295" s="13" t="s">
        <v>57</v>
      </c>
      <c r="F2295" s="13">
        <v>2013.0</v>
      </c>
      <c r="G2295" s="13">
        <v>43457.0</v>
      </c>
      <c r="H2295" s="13">
        <v>4447.57</v>
      </c>
      <c r="I2295" s="13">
        <f>' car_sales_data 1'!$G2295*0.2</f>
        <v>8691.4</v>
      </c>
      <c r="J2295" s="13" t="str">
        <f>TEXT(' car_sales_data 1'!$A2295,"mmmm")</f>
        <v>October</v>
      </c>
      <c r="K2295" s="13" t="str">
        <f>IF(' car_sales_data 1'!$G2295&gt;40000,"Premium",
 IF(' car_sales_data 1'!$G2295&gt;=20000,"Mid Range","Budget"))</f>
        <v>Premium</v>
      </c>
      <c r="L2295" s="13">
        <f>YEAR(TODAY())-' car_sales_data 1'!$F2295</f>
        <v>12</v>
      </c>
    </row>
    <row r="2296" ht="15.75" customHeight="1">
      <c r="A2296" s="16">
        <v>44952.0</v>
      </c>
      <c r="B2296" s="13" t="s">
        <v>4498</v>
      </c>
      <c r="C2296" s="13" t="s">
        <v>4499</v>
      </c>
      <c r="D2296" s="13" t="s">
        <v>14</v>
      </c>
      <c r="E2296" s="13" t="s">
        <v>54</v>
      </c>
      <c r="F2296" s="13">
        <v>2013.0</v>
      </c>
      <c r="G2296" s="13">
        <v>17030.0</v>
      </c>
      <c r="H2296" s="13">
        <v>1961.95</v>
      </c>
      <c r="I2296" s="13">
        <f>' car_sales_data 1'!$G2296*0.2</f>
        <v>3406</v>
      </c>
      <c r="J2296" s="13" t="str">
        <f>TEXT(' car_sales_data 1'!$A2296,"mmmm")</f>
        <v>January</v>
      </c>
      <c r="K2296" s="13" t="str">
        <f>IF(' car_sales_data 1'!$G2296&gt;40000,"Premium",
 IF(' car_sales_data 1'!$G2296&gt;=20000,"Mid Range","Budget"))</f>
        <v>Budget</v>
      </c>
      <c r="L2296" s="13">
        <f>YEAR(TODAY())-' car_sales_data 1'!$F2296</f>
        <v>12</v>
      </c>
    </row>
    <row r="2297" ht="15.75" customHeight="1">
      <c r="A2297" s="16">
        <v>44702.0</v>
      </c>
      <c r="B2297" s="13" t="s">
        <v>4500</v>
      </c>
      <c r="C2297" s="13" t="s">
        <v>4501</v>
      </c>
      <c r="D2297" s="13" t="s">
        <v>14</v>
      </c>
      <c r="E2297" s="13" t="s">
        <v>54</v>
      </c>
      <c r="F2297" s="13">
        <v>2012.0</v>
      </c>
      <c r="G2297" s="13">
        <v>13473.0</v>
      </c>
      <c r="H2297" s="13">
        <v>1360.26</v>
      </c>
      <c r="I2297" s="13">
        <f>' car_sales_data 1'!$G2297*0.2</f>
        <v>2694.6</v>
      </c>
      <c r="J2297" s="13" t="str">
        <f>TEXT(' car_sales_data 1'!$A2297,"mmmm")</f>
        <v>May</v>
      </c>
      <c r="K2297" s="13" t="str">
        <f>IF(' car_sales_data 1'!$G2297&gt;40000,"Premium",
 IF(' car_sales_data 1'!$G2297&gt;=20000,"Mid Range","Budget"))</f>
        <v>Budget</v>
      </c>
      <c r="L2297" s="13">
        <f>YEAR(TODAY())-' car_sales_data 1'!$F2297</f>
        <v>13</v>
      </c>
    </row>
    <row r="2298" ht="15.75" customHeight="1">
      <c r="A2298" s="16">
        <v>44686.0</v>
      </c>
      <c r="B2298" s="13" t="s">
        <v>4502</v>
      </c>
      <c r="C2298" s="13" t="s">
        <v>4503</v>
      </c>
      <c r="D2298" s="13" t="s">
        <v>10</v>
      </c>
      <c r="E2298" s="13" t="s">
        <v>62</v>
      </c>
      <c r="F2298" s="13">
        <v>2014.0</v>
      </c>
      <c r="G2298" s="13">
        <v>41757.0</v>
      </c>
      <c r="H2298" s="13">
        <v>3431.8</v>
      </c>
      <c r="I2298" s="13">
        <f>' car_sales_data 1'!$G2298*0.2</f>
        <v>8351.4</v>
      </c>
      <c r="J2298" s="13" t="str">
        <f>TEXT(' car_sales_data 1'!$A2298,"mmmm")</f>
        <v>May</v>
      </c>
      <c r="K2298" s="13" t="str">
        <f>IF(' car_sales_data 1'!$G2298&gt;40000,"Premium",
 IF(' car_sales_data 1'!$G2298&gt;=20000,"Mid Range","Budget"))</f>
        <v>Premium</v>
      </c>
      <c r="L2298" s="13">
        <f>YEAR(TODAY())-' car_sales_data 1'!$F2298</f>
        <v>11</v>
      </c>
    </row>
    <row r="2299" ht="15.75" customHeight="1">
      <c r="A2299" s="16">
        <v>44713.0</v>
      </c>
      <c r="B2299" s="13" t="s">
        <v>4017</v>
      </c>
      <c r="C2299" s="13" t="s">
        <v>4504</v>
      </c>
      <c r="D2299" s="13" t="s">
        <v>10</v>
      </c>
      <c r="E2299" s="13" t="s">
        <v>57</v>
      </c>
      <c r="F2299" s="13">
        <v>2021.0</v>
      </c>
      <c r="G2299" s="13">
        <v>21862.0</v>
      </c>
      <c r="H2299" s="13">
        <v>2850.88</v>
      </c>
      <c r="I2299" s="13">
        <f>' car_sales_data 1'!$G2299*0.2</f>
        <v>4372.4</v>
      </c>
      <c r="J2299" s="13" t="str">
        <f>TEXT(' car_sales_data 1'!$A2299,"mmmm")</f>
        <v>June</v>
      </c>
      <c r="K2299" s="13" t="str">
        <f>IF(' car_sales_data 1'!$G2299&gt;40000,"Premium",
 IF(' car_sales_data 1'!$G2299&gt;=20000,"Mid Range","Budget"))</f>
        <v>Mid Range</v>
      </c>
      <c r="L2299" s="13">
        <f>YEAR(TODAY())-' car_sales_data 1'!$F2299</f>
        <v>4</v>
      </c>
    </row>
    <row r="2300" ht="15.75" customHeight="1">
      <c r="A2300" s="16">
        <v>45004.0</v>
      </c>
      <c r="B2300" s="13" t="s">
        <v>4505</v>
      </c>
      <c r="C2300" s="13" t="s">
        <v>4506</v>
      </c>
      <c r="D2300" s="13" t="s">
        <v>14</v>
      </c>
      <c r="E2300" s="13" t="s">
        <v>57</v>
      </c>
      <c r="F2300" s="13">
        <v>2011.0</v>
      </c>
      <c r="G2300" s="13">
        <v>31024.0</v>
      </c>
      <c r="H2300" s="13">
        <v>3260.17</v>
      </c>
      <c r="I2300" s="13">
        <f>' car_sales_data 1'!$G2300*0.2</f>
        <v>6204.8</v>
      </c>
      <c r="J2300" s="13" t="str">
        <f>TEXT(' car_sales_data 1'!$A2300,"mmmm")</f>
        <v>March</v>
      </c>
      <c r="K2300" s="13" t="str">
        <f>IF(' car_sales_data 1'!$G2300&gt;40000,"Premium",
 IF(' car_sales_data 1'!$G2300&gt;=20000,"Mid Range","Budget"))</f>
        <v>Mid Range</v>
      </c>
      <c r="L2300" s="13">
        <f>YEAR(TODAY())-' car_sales_data 1'!$F2300</f>
        <v>14</v>
      </c>
    </row>
    <row r="2301" ht="15.75" customHeight="1">
      <c r="A2301" s="16">
        <v>44775.0</v>
      </c>
      <c r="B2301" s="13" t="s">
        <v>4507</v>
      </c>
      <c r="C2301" s="13" t="s">
        <v>4508</v>
      </c>
      <c r="D2301" s="13" t="s">
        <v>12</v>
      </c>
      <c r="E2301" s="13" t="s">
        <v>70</v>
      </c>
      <c r="F2301" s="13">
        <v>2011.0</v>
      </c>
      <c r="G2301" s="13">
        <v>10374.0</v>
      </c>
      <c r="H2301" s="13">
        <v>1460.34</v>
      </c>
      <c r="I2301" s="13">
        <f>' car_sales_data 1'!$G2301*0.2</f>
        <v>2074.8</v>
      </c>
      <c r="J2301" s="13" t="str">
        <f>TEXT(' car_sales_data 1'!$A2301,"mmmm")</f>
        <v>August</v>
      </c>
      <c r="K2301" s="13" t="str">
        <f>IF(' car_sales_data 1'!$G2301&gt;40000,"Premium",
 IF(' car_sales_data 1'!$G2301&gt;=20000,"Mid Range","Budget"))</f>
        <v>Budget</v>
      </c>
      <c r="L2301" s="13">
        <f>YEAR(TODAY())-' car_sales_data 1'!$F2301</f>
        <v>14</v>
      </c>
    </row>
    <row r="2302" ht="15.75" customHeight="1">
      <c r="A2302" s="16">
        <v>44940.0</v>
      </c>
      <c r="B2302" s="13" t="s">
        <v>4509</v>
      </c>
      <c r="C2302" s="13" t="s">
        <v>4510</v>
      </c>
      <c r="D2302" s="13" t="s">
        <v>14</v>
      </c>
      <c r="E2302" s="13" t="s">
        <v>62</v>
      </c>
      <c r="F2302" s="13">
        <v>2014.0</v>
      </c>
      <c r="G2302" s="13">
        <v>39071.0</v>
      </c>
      <c r="H2302" s="13">
        <v>2908.26</v>
      </c>
      <c r="I2302" s="13">
        <f>' car_sales_data 1'!$G2302*0.2</f>
        <v>7814.2</v>
      </c>
      <c r="J2302" s="13" t="str">
        <f>TEXT(' car_sales_data 1'!$A2302,"mmmm")</f>
        <v>January</v>
      </c>
      <c r="K2302" s="13" t="str">
        <f>IF(' car_sales_data 1'!$G2302&gt;40000,"Premium",
 IF(' car_sales_data 1'!$G2302&gt;=20000,"Mid Range","Budget"))</f>
        <v>Mid Range</v>
      </c>
      <c r="L2302" s="13">
        <f>YEAR(TODAY())-' car_sales_data 1'!$F2302</f>
        <v>11</v>
      </c>
    </row>
    <row r="2303" ht="15.75" customHeight="1">
      <c r="A2303" s="16">
        <v>44939.0</v>
      </c>
      <c r="B2303" s="13" t="s">
        <v>4511</v>
      </c>
      <c r="C2303" s="13" t="s">
        <v>4512</v>
      </c>
      <c r="D2303" s="13" t="s">
        <v>12</v>
      </c>
      <c r="E2303" s="13" t="s">
        <v>70</v>
      </c>
      <c r="F2303" s="13">
        <v>2016.0</v>
      </c>
      <c r="G2303" s="13">
        <v>35351.0</v>
      </c>
      <c r="H2303" s="13">
        <v>2427.23</v>
      </c>
      <c r="I2303" s="13">
        <f>' car_sales_data 1'!$G2303*0.2</f>
        <v>7070.2</v>
      </c>
      <c r="J2303" s="13" t="str">
        <f>TEXT(' car_sales_data 1'!$A2303,"mmmm")</f>
        <v>January</v>
      </c>
      <c r="K2303" s="13" t="str">
        <f>IF(' car_sales_data 1'!$G2303&gt;40000,"Premium",
 IF(' car_sales_data 1'!$G2303&gt;=20000,"Mid Range","Budget"))</f>
        <v>Mid Range</v>
      </c>
      <c r="L2303" s="13">
        <f>YEAR(TODAY())-' car_sales_data 1'!$F2303</f>
        <v>9</v>
      </c>
    </row>
    <row r="2304" ht="15.75" customHeight="1">
      <c r="A2304" s="16">
        <v>44790.0</v>
      </c>
      <c r="B2304" s="13" t="s">
        <v>4513</v>
      </c>
      <c r="C2304" s="13" t="s">
        <v>4514</v>
      </c>
      <c r="D2304" s="13" t="s">
        <v>10</v>
      </c>
      <c r="E2304" s="13" t="s">
        <v>62</v>
      </c>
      <c r="F2304" s="13">
        <v>2013.0</v>
      </c>
      <c r="G2304" s="13">
        <v>30845.0</v>
      </c>
      <c r="H2304" s="13">
        <v>2530.4</v>
      </c>
      <c r="I2304" s="13">
        <f>' car_sales_data 1'!$G2304*0.2</f>
        <v>6169</v>
      </c>
      <c r="J2304" s="13" t="str">
        <f>TEXT(' car_sales_data 1'!$A2304,"mmmm")</f>
        <v>August</v>
      </c>
      <c r="K2304" s="13" t="str">
        <f>IF(' car_sales_data 1'!$G2304&gt;40000,"Premium",
 IF(' car_sales_data 1'!$G2304&gt;=20000,"Mid Range","Budget"))</f>
        <v>Mid Range</v>
      </c>
      <c r="L2304" s="13">
        <f>YEAR(TODAY())-' car_sales_data 1'!$F2304</f>
        <v>12</v>
      </c>
    </row>
    <row r="2305" ht="15.75" customHeight="1">
      <c r="A2305" s="16">
        <v>44938.0</v>
      </c>
      <c r="B2305" s="13" t="s">
        <v>7</v>
      </c>
      <c r="C2305" s="13" t="s">
        <v>4515</v>
      </c>
      <c r="D2305" s="13" t="s">
        <v>8</v>
      </c>
      <c r="E2305" s="13" t="s">
        <v>70</v>
      </c>
      <c r="F2305" s="13">
        <v>2011.0</v>
      </c>
      <c r="G2305" s="13">
        <v>26490.0</v>
      </c>
      <c r="H2305" s="13">
        <v>1878.02</v>
      </c>
      <c r="I2305" s="13">
        <f>' car_sales_data 1'!$G2305*0.2</f>
        <v>5298</v>
      </c>
      <c r="J2305" s="13" t="str">
        <f>TEXT(' car_sales_data 1'!$A2305,"mmmm")</f>
        <v>January</v>
      </c>
      <c r="K2305" s="13" t="str">
        <f>IF(' car_sales_data 1'!$G2305&gt;40000,"Premium",
 IF(' car_sales_data 1'!$G2305&gt;=20000,"Mid Range","Budget"))</f>
        <v>Mid Range</v>
      </c>
      <c r="L2305" s="13">
        <f>YEAR(TODAY())-' car_sales_data 1'!$F2305</f>
        <v>14</v>
      </c>
    </row>
    <row r="2306" ht="15.75" customHeight="1">
      <c r="A2306" s="16">
        <v>44722.0</v>
      </c>
      <c r="B2306" s="13" t="s">
        <v>4516</v>
      </c>
      <c r="C2306" s="13" t="s">
        <v>4517</v>
      </c>
      <c r="D2306" s="13" t="s">
        <v>10</v>
      </c>
      <c r="E2306" s="13" t="s">
        <v>62</v>
      </c>
      <c r="F2306" s="13">
        <v>2020.0</v>
      </c>
      <c r="G2306" s="13">
        <v>47430.0</v>
      </c>
      <c r="H2306" s="13">
        <v>2856.63</v>
      </c>
      <c r="I2306" s="13">
        <f>' car_sales_data 1'!$G2306*0.2</f>
        <v>9486</v>
      </c>
      <c r="J2306" s="13" t="str">
        <f>TEXT(' car_sales_data 1'!$A2306,"mmmm")</f>
        <v>June</v>
      </c>
      <c r="K2306" s="13" t="str">
        <f>IF(' car_sales_data 1'!$G2306&gt;40000,"Premium",
 IF(' car_sales_data 1'!$G2306&gt;=20000,"Mid Range","Budget"))</f>
        <v>Premium</v>
      </c>
      <c r="L2306" s="13">
        <f>YEAR(TODAY())-' car_sales_data 1'!$F2306</f>
        <v>5</v>
      </c>
    </row>
    <row r="2307" ht="15.75" customHeight="1">
      <c r="A2307" s="16">
        <v>44825.0</v>
      </c>
      <c r="B2307" s="13" t="s">
        <v>4518</v>
      </c>
      <c r="C2307" s="13" t="s">
        <v>4519</v>
      </c>
      <c r="D2307" s="13" t="s">
        <v>14</v>
      </c>
      <c r="E2307" s="13" t="s">
        <v>57</v>
      </c>
      <c r="F2307" s="13">
        <v>2019.0</v>
      </c>
      <c r="G2307" s="13">
        <v>13979.0</v>
      </c>
      <c r="H2307" s="13">
        <v>1168.42</v>
      </c>
      <c r="I2307" s="13">
        <f>' car_sales_data 1'!$G2307*0.2</f>
        <v>2795.8</v>
      </c>
      <c r="J2307" s="13" t="str">
        <f>TEXT(' car_sales_data 1'!$A2307,"mmmm")</f>
        <v>September</v>
      </c>
      <c r="K2307" s="13" t="str">
        <f>IF(' car_sales_data 1'!$G2307&gt;40000,"Premium",
 IF(' car_sales_data 1'!$G2307&gt;=20000,"Mid Range","Budget"))</f>
        <v>Budget</v>
      </c>
      <c r="L2307" s="13">
        <f>YEAR(TODAY())-' car_sales_data 1'!$F2307</f>
        <v>6</v>
      </c>
    </row>
    <row r="2308" ht="15.75" customHeight="1">
      <c r="A2308" s="16">
        <v>45008.0</v>
      </c>
      <c r="B2308" s="13" t="s">
        <v>4520</v>
      </c>
      <c r="C2308" s="13" t="s">
        <v>738</v>
      </c>
      <c r="D2308" s="13" t="s">
        <v>14</v>
      </c>
      <c r="E2308" s="13" t="s">
        <v>70</v>
      </c>
      <c r="F2308" s="13">
        <v>2016.0</v>
      </c>
      <c r="G2308" s="13">
        <v>36564.0</v>
      </c>
      <c r="H2308" s="13">
        <v>5004.36</v>
      </c>
      <c r="I2308" s="13">
        <f>' car_sales_data 1'!$G2308*0.2</f>
        <v>7312.8</v>
      </c>
      <c r="J2308" s="13" t="str">
        <f>TEXT(' car_sales_data 1'!$A2308,"mmmm")</f>
        <v>March</v>
      </c>
      <c r="K2308" s="13" t="str">
        <f>IF(' car_sales_data 1'!$G2308&gt;40000,"Premium",
 IF(' car_sales_data 1'!$G2308&gt;=20000,"Mid Range","Budget"))</f>
        <v>Mid Range</v>
      </c>
      <c r="L2308" s="13">
        <f>YEAR(TODAY())-' car_sales_data 1'!$F2308</f>
        <v>9</v>
      </c>
    </row>
    <row r="2309" ht="15.75" customHeight="1">
      <c r="A2309" s="16">
        <v>44721.0</v>
      </c>
      <c r="B2309" s="13" t="s">
        <v>4521</v>
      </c>
      <c r="C2309" s="13" t="s">
        <v>4522</v>
      </c>
      <c r="D2309" s="13" t="s">
        <v>6</v>
      </c>
      <c r="E2309" s="13" t="s">
        <v>57</v>
      </c>
      <c r="F2309" s="13">
        <v>2022.0</v>
      </c>
      <c r="G2309" s="13">
        <v>14373.0</v>
      </c>
      <c r="H2309" s="13">
        <v>2057.48</v>
      </c>
      <c r="I2309" s="13">
        <f>' car_sales_data 1'!$G2309*0.2</f>
        <v>2874.6</v>
      </c>
      <c r="J2309" s="13" t="str">
        <f>TEXT(' car_sales_data 1'!$A2309,"mmmm")</f>
        <v>June</v>
      </c>
      <c r="K2309" s="13" t="str">
        <f>IF(' car_sales_data 1'!$G2309&gt;40000,"Premium",
 IF(' car_sales_data 1'!$G2309&gt;=20000,"Mid Range","Budget"))</f>
        <v>Budget</v>
      </c>
      <c r="L2309" s="13">
        <f>YEAR(TODAY())-' car_sales_data 1'!$F2309</f>
        <v>3</v>
      </c>
    </row>
    <row r="2310" ht="15.75" customHeight="1">
      <c r="A2310" s="16">
        <v>44821.0</v>
      </c>
      <c r="B2310" s="13" t="s">
        <v>4523</v>
      </c>
      <c r="C2310" s="13" t="s">
        <v>4524</v>
      </c>
      <c r="D2310" s="13" t="s">
        <v>14</v>
      </c>
      <c r="E2310" s="13" t="s">
        <v>57</v>
      </c>
      <c r="F2310" s="13">
        <v>2013.0</v>
      </c>
      <c r="G2310" s="13">
        <v>30433.0</v>
      </c>
      <c r="H2310" s="13">
        <v>2526.7</v>
      </c>
      <c r="I2310" s="13">
        <f>' car_sales_data 1'!$G2310*0.2</f>
        <v>6086.6</v>
      </c>
      <c r="J2310" s="13" t="str">
        <f>TEXT(' car_sales_data 1'!$A2310,"mmmm")</f>
        <v>September</v>
      </c>
      <c r="K2310" s="13" t="str">
        <f>IF(' car_sales_data 1'!$G2310&gt;40000,"Premium",
 IF(' car_sales_data 1'!$G2310&gt;=20000,"Mid Range","Budget"))</f>
        <v>Mid Range</v>
      </c>
      <c r="L2310" s="13">
        <f>YEAR(TODAY())-' car_sales_data 1'!$F2310</f>
        <v>12</v>
      </c>
    </row>
    <row r="2311" ht="15.75" customHeight="1">
      <c r="A2311" s="16">
        <v>45006.0</v>
      </c>
      <c r="B2311" s="13" t="s">
        <v>4525</v>
      </c>
      <c r="C2311" s="13" t="s">
        <v>4357</v>
      </c>
      <c r="D2311" s="13" t="s">
        <v>12</v>
      </c>
      <c r="E2311" s="13" t="s">
        <v>54</v>
      </c>
      <c r="F2311" s="13">
        <v>2016.0</v>
      </c>
      <c r="G2311" s="13">
        <v>21659.0</v>
      </c>
      <c r="H2311" s="13">
        <v>1983.82</v>
      </c>
      <c r="I2311" s="13">
        <f>' car_sales_data 1'!$G2311*0.2</f>
        <v>4331.8</v>
      </c>
      <c r="J2311" s="13" t="str">
        <f>TEXT(' car_sales_data 1'!$A2311,"mmmm")</f>
        <v>March</v>
      </c>
      <c r="K2311" s="13" t="str">
        <f>IF(' car_sales_data 1'!$G2311&gt;40000,"Premium",
 IF(' car_sales_data 1'!$G2311&gt;=20000,"Mid Range","Budget"))</f>
        <v>Mid Range</v>
      </c>
      <c r="L2311" s="13">
        <f>YEAR(TODAY())-' car_sales_data 1'!$F2311</f>
        <v>9</v>
      </c>
    </row>
    <row r="2312" ht="15.75" customHeight="1">
      <c r="A2312" s="16">
        <v>44706.0</v>
      </c>
      <c r="B2312" s="13" t="s">
        <v>4526</v>
      </c>
      <c r="C2312" s="13" t="s">
        <v>4527</v>
      </c>
      <c r="D2312" s="13" t="s">
        <v>8</v>
      </c>
      <c r="E2312" s="13" t="s">
        <v>70</v>
      </c>
      <c r="F2312" s="13">
        <v>2022.0</v>
      </c>
      <c r="G2312" s="13">
        <v>25966.0</v>
      </c>
      <c r="H2312" s="13">
        <v>2029.44</v>
      </c>
      <c r="I2312" s="13">
        <f>' car_sales_data 1'!$G2312*0.2</f>
        <v>5193.2</v>
      </c>
      <c r="J2312" s="13" t="str">
        <f>TEXT(' car_sales_data 1'!$A2312,"mmmm")</f>
        <v>May</v>
      </c>
      <c r="K2312" s="13" t="str">
        <f>IF(' car_sales_data 1'!$G2312&gt;40000,"Premium",
 IF(' car_sales_data 1'!$G2312&gt;=20000,"Mid Range","Budget"))</f>
        <v>Mid Range</v>
      </c>
      <c r="L2312" s="13">
        <f>YEAR(TODAY())-' car_sales_data 1'!$F2312</f>
        <v>3</v>
      </c>
    </row>
    <row r="2313" ht="15.75" customHeight="1">
      <c r="A2313" s="16">
        <v>44756.0</v>
      </c>
      <c r="B2313" s="13" t="s">
        <v>4528</v>
      </c>
      <c r="C2313" s="13" t="s">
        <v>4529</v>
      </c>
      <c r="D2313" s="13" t="s">
        <v>14</v>
      </c>
      <c r="E2313" s="13" t="s">
        <v>70</v>
      </c>
      <c r="F2313" s="13">
        <v>2022.0</v>
      </c>
      <c r="G2313" s="13">
        <v>34492.0</v>
      </c>
      <c r="H2313" s="13">
        <v>1786.08</v>
      </c>
      <c r="I2313" s="13">
        <f>' car_sales_data 1'!$G2313*0.2</f>
        <v>6898.4</v>
      </c>
      <c r="J2313" s="13" t="str">
        <f>TEXT(' car_sales_data 1'!$A2313,"mmmm")</f>
        <v>July</v>
      </c>
      <c r="K2313" s="13" t="str">
        <f>IF(' car_sales_data 1'!$G2313&gt;40000,"Premium",
 IF(' car_sales_data 1'!$G2313&gt;=20000,"Mid Range","Budget"))</f>
        <v>Mid Range</v>
      </c>
      <c r="L2313" s="13">
        <f>YEAR(TODAY())-' car_sales_data 1'!$F2313</f>
        <v>3</v>
      </c>
    </row>
    <row r="2314" ht="15.75" customHeight="1">
      <c r="A2314" s="16">
        <v>44755.0</v>
      </c>
      <c r="B2314" s="13" t="s">
        <v>4530</v>
      </c>
      <c r="C2314" s="13" t="s">
        <v>4531</v>
      </c>
      <c r="D2314" s="13" t="s">
        <v>10</v>
      </c>
      <c r="E2314" s="13" t="s">
        <v>51</v>
      </c>
      <c r="F2314" s="13">
        <v>2010.0</v>
      </c>
      <c r="G2314" s="13">
        <v>48226.0</v>
      </c>
      <c r="H2314" s="13">
        <v>2499.12</v>
      </c>
      <c r="I2314" s="13">
        <f>' car_sales_data 1'!$G2314*0.2</f>
        <v>9645.2</v>
      </c>
      <c r="J2314" s="13" t="str">
        <f>TEXT(' car_sales_data 1'!$A2314,"mmmm")</f>
        <v>July</v>
      </c>
      <c r="K2314" s="13" t="str">
        <f>IF(' car_sales_data 1'!$G2314&gt;40000,"Premium",
 IF(' car_sales_data 1'!$G2314&gt;=20000,"Mid Range","Budget"))</f>
        <v>Premium</v>
      </c>
      <c r="L2314" s="13">
        <f>YEAR(TODAY())-' car_sales_data 1'!$F2314</f>
        <v>15</v>
      </c>
    </row>
    <row r="2315" ht="15.75" customHeight="1">
      <c r="A2315" s="16">
        <v>44845.0</v>
      </c>
      <c r="B2315" s="13" t="s">
        <v>4532</v>
      </c>
      <c r="C2315" s="13" t="s">
        <v>3647</v>
      </c>
      <c r="D2315" s="13" t="s">
        <v>6</v>
      </c>
      <c r="E2315" s="13" t="s">
        <v>51</v>
      </c>
      <c r="F2315" s="13">
        <v>2012.0</v>
      </c>
      <c r="G2315" s="13">
        <v>38267.0</v>
      </c>
      <c r="H2315" s="13">
        <v>2148.22</v>
      </c>
      <c r="I2315" s="13">
        <f>' car_sales_data 1'!$G2315*0.2</f>
        <v>7653.4</v>
      </c>
      <c r="J2315" s="13" t="str">
        <f>TEXT(' car_sales_data 1'!$A2315,"mmmm")</f>
        <v>October</v>
      </c>
      <c r="K2315" s="13" t="str">
        <f>IF(' car_sales_data 1'!$G2315&gt;40000,"Premium",
 IF(' car_sales_data 1'!$G2315&gt;=20000,"Mid Range","Budget"))</f>
        <v>Mid Range</v>
      </c>
      <c r="L2315" s="13">
        <f>YEAR(TODAY())-' car_sales_data 1'!$F2315</f>
        <v>13</v>
      </c>
    </row>
    <row r="2316" ht="15.75" customHeight="1">
      <c r="A2316" s="16">
        <v>44884.0</v>
      </c>
      <c r="B2316" s="13" t="s">
        <v>4533</v>
      </c>
      <c r="C2316" s="13" t="s">
        <v>3259</v>
      </c>
      <c r="D2316" s="13" t="s">
        <v>8</v>
      </c>
      <c r="E2316" s="13" t="s">
        <v>51</v>
      </c>
      <c r="F2316" s="13">
        <v>2010.0</v>
      </c>
      <c r="G2316" s="13">
        <v>37334.0</v>
      </c>
      <c r="H2316" s="13">
        <v>3930.25</v>
      </c>
      <c r="I2316" s="13">
        <f>' car_sales_data 1'!$G2316*0.2</f>
        <v>7466.8</v>
      </c>
      <c r="J2316" s="13" t="str">
        <f>TEXT(' car_sales_data 1'!$A2316,"mmmm")</f>
        <v>November</v>
      </c>
      <c r="K2316" s="13" t="str">
        <f>IF(' car_sales_data 1'!$G2316&gt;40000,"Premium",
 IF(' car_sales_data 1'!$G2316&gt;=20000,"Mid Range","Budget"))</f>
        <v>Mid Range</v>
      </c>
      <c r="L2316" s="13">
        <f>YEAR(TODAY())-' car_sales_data 1'!$F2316</f>
        <v>15</v>
      </c>
    </row>
    <row r="2317" ht="15.75" customHeight="1">
      <c r="A2317" s="16">
        <v>44855.0</v>
      </c>
      <c r="B2317" s="13" t="s">
        <v>4534</v>
      </c>
      <c r="C2317" s="13" t="s">
        <v>4535</v>
      </c>
      <c r="D2317" s="13" t="s">
        <v>14</v>
      </c>
      <c r="E2317" s="13" t="s">
        <v>62</v>
      </c>
      <c r="F2317" s="13">
        <v>2018.0</v>
      </c>
      <c r="G2317" s="13">
        <v>48842.0</v>
      </c>
      <c r="H2317" s="13">
        <v>5146.6</v>
      </c>
      <c r="I2317" s="13">
        <f>' car_sales_data 1'!$G2317*0.2</f>
        <v>9768.4</v>
      </c>
      <c r="J2317" s="13" t="str">
        <f>TEXT(' car_sales_data 1'!$A2317,"mmmm")</f>
        <v>October</v>
      </c>
      <c r="K2317" s="13" t="str">
        <f>IF(' car_sales_data 1'!$G2317&gt;40000,"Premium",
 IF(' car_sales_data 1'!$G2317&gt;=20000,"Mid Range","Budget"))</f>
        <v>Premium</v>
      </c>
      <c r="L2317" s="13">
        <f>YEAR(TODAY())-' car_sales_data 1'!$F2317</f>
        <v>7</v>
      </c>
    </row>
    <row r="2318" ht="15.75" customHeight="1">
      <c r="A2318" s="16">
        <v>44917.0</v>
      </c>
      <c r="B2318" s="13" t="s">
        <v>4536</v>
      </c>
      <c r="C2318" s="13" t="s">
        <v>4537</v>
      </c>
      <c r="D2318" s="13" t="s">
        <v>8</v>
      </c>
      <c r="E2318" s="13" t="s">
        <v>57</v>
      </c>
      <c r="F2318" s="13">
        <v>2015.0</v>
      </c>
      <c r="G2318" s="13">
        <v>28555.0</v>
      </c>
      <c r="H2318" s="13">
        <v>3524.55</v>
      </c>
      <c r="I2318" s="13">
        <f>' car_sales_data 1'!$G2318*0.2</f>
        <v>5711</v>
      </c>
      <c r="J2318" s="13" t="str">
        <f>TEXT(' car_sales_data 1'!$A2318,"mmmm")</f>
        <v>December</v>
      </c>
      <c r="K2318" s="13" t="str">
        <f>IF(' car_sales_data 1'!$G2318&gt;40000,"Premium",
 IF(' car_sales_data 1'!$G2318&gt;=20000,"Mid Range","Budget"))</f>
        <v>Mid Range</v>
      </c>
      <c r="L2318" s="13">
        <f>YEAR(TODAY())-' car_sales_data 1'!$F2318</f>
        <v>10</v>
      </c>
    </row>
    <row r="2319" ht="15.75" customHeight="1">
      <c r="A2319" s="16">
        <v>44928.0</v>
      </c>
      <c r="B2319" s="13" t="s">
        <v>4538</v>
      </c>
      <c r="C2319" s="13" t="s">
        <v>4539</v>
      </c>
      <c r="D2319" s="13" t="s">
        <v>12</v>
      </c>
      <c r="E2319" s="13" t="s">
        <v>54</v>
      </c>
      <c r="F2319" s="13">
        <v>2011.0</v>
      </c>
      <c r="G2319" s="13">
        <v>12756.0</v>
      </c>
      <c r="H2319" s="13">
        <v>1801.31</v>
      </c>
      <c r="I2319" s="13">
        <f>' car_sales_data 1'!$G2319*0.2</f>
        <v>2551.2</v>
      </c>
      <c r="J2319" s="13" t="str">
        <f>TEXT(' car_sales_data 1'!$A2319,"mmmm")</f>
        <v>January</v>
      </c>
      <c r="K2319" s="13" t="str">
        <f>IF(' car_sales_data 1'!$G2319&gt;40000,"Premium",
 IF(' car_sales_data 1'!$G2319&gt;=20000,"Mid Range","Budget"))</f>
        <v>Budget</v>
      </c>
      <c r="L2319" s="13">
        <f>YEAR(TODAY())-' car_sales_data 1'!$F2319</f>
        <v>14</v>
      </c>
    </row>
    <row r="2320" ht="15.75" customHeight="1">
      <c r="A2320" s="16">
        <v>45027.0</v>
      </c>
      <c r="B2320" s="13" t="s">
        <v>4540</v>
      </c>
      <c r="C2320" s="13" t="s">
        <v>4541</v>
      </c>
      <c r="D2320" s="13" t="s">
        <v>12</v>
      </c>
      <c r="E2320" s="13" t="s">
        <v>51</v>
      </c>
      <c r="F2320" s="13">
        <v>2016.0</v>
      </c>
      <c r="G2320" s="13">
        <v>13009.0</v>
      </c>
      <c r="H2320" s="13">
        <v>650.58</v>
      </c>
      <c r="I2320" s="13">
        <f>' car_sales_data 1'!$G2320*0.2</f>
        <v>2601.8</v>
      </c>
      <c r="J2320" s="13" t="str">
        <f>TEXT(' car_sales_data 1'!$A2320,"mmmm")</f>
        <v>April</v>
      </c>
      <c r="K2320" s="13" t="str">
        <f>IF(' car_sales_data 1'!$G2320&gt;40000,"Premium",
 IF(' car_sales_data 1'!$G2320&gt;=20000,"Mid Range","Budget"))</f>
        <v>Budget</v>
      </c>
      <c r="L2320" s="13">
        <f>YEAR(TODAY())-' car_sales_data 1'!$F2320</f>
        <v>9</v>
      </c>
    </row>
    <row r="2321" ht="15.75" customHeight="1">
      <c r="A2321" s="16">
        <v>44700.0</v>
      </c>
      <c r="B2321" s="13" t="s">
        <v>4542</v>
      </c>
      <c r="C2321" s="13" t="s">
        <v>4543</v>
      </c>
      <c r="D2321" s="13" t="s">
        <v>10</v>
      </c>
      <c r="E2321" s="13" t="s">
        <v>57</v>
      </c>
      <c r="F2321" s="13">
        <v>2018.0</v>
      </c>
      <c r="G2321" s="13">
        <v>16699.0</v>
      </c>
      <c r="H2321" s="13">
        <v>1265.64</v>
      </c>
      <c r="I2321" s="13">
        <f>' car_sales_data 1'!$G2321*0.2</f>
        <v>3339.8</v>
      </c>
      <c r="J2321" s="13" t="str">
        <f>TEXT(' car_sales_data 1'!$A2321,"mmmm")</f>
        <v>May</v>
      </c>
      <c r="K2321" s="13" t="str">
        <f>IF(' car_sales_data 1'!$G2321&gt;40000,"Premium",
 IF(' car_sales_data 1'!$G2321&gt;=20000,"Mid Range","Budget"))</f>
        <v>Budget</v>
      </c>
      <c r="L2321" s="13">
        <f>YEAR(TODAY())-' car_sales_data 1'!$F2321</f>
        <v>7</v>
      </c>
    </row>
    <row r="2322" ht="15.75" customHeight="1">
      <c r="A2322" s="16">
        <v>44729.0</v>
      </c>
      <c r="B2322" s="13" t="s">
        <v>4544</v>
      </c>
      <c r="C2322" s="13" t="s">
        <v>4545</v>
      </c>
      <c r="D2322" s="13" t="s">
        <v>8</v>
      </c>
      <c r="E2322" s="13" t="s">
        <v>51</v>
      </c>
      <c r="F2322" s="13">
        <v>2018.0</v>
      </c>
      <c r="G2322" s="13">
        <v>21414.0</v>
      </c>
      <c r="H2322" s="13">
        <v>1967.79</v>
      </c>
      <c r="I2322" s="13">
        <f>' car_sales_data 1'!$G2322*0.2</f>
        <v>4282.8</v>
      </c>
      <c r="J2322" s="13" t="str">
        <f>TEXT(' car_sales_data 1'!$A2322,"mmmm")</f>
        <v>June</v>
      </c>
      <c r="K2322" s="13" t="str">
        <f>IF(' car_sales_data 1'!$G2322&gt;40000,"Premium",
 IF(' car_sales_data 1'!$G2322&gt;=20000,"Mid Range","Budget"))</f>
        <v>Mid Range</v>
      </c>
      <c r="L2322" s="13">
        <f>YEAR(TODAY())-' car_sales_data 1'!$F2322</f>
        <v>7</v>
      </c>
    </row>
    <row r="2323" ht="15.75" customHeight="1">
      <c r="A2323" s="16">
        <v>44745.0</v>
      </c>
      <c r="B2323" s="13" t="s">
        <v>4546</v>
      </c>
      <c r="C2323" s="13" t="s">
        <v>4547</v>
      </c>
      <c r="D2323" s="13" t="s">
        <v>10</v>
      </c>
      <c r="E2323" s="13" t="s">
        <v>57</v>
      </c>
      <c r="F2323" s="13">
        <v>2017.0</v>
      </c>
      <c r="G2323" s="13">
        <v>46569.0</v>
      </c>
      <c r="H2323" s="13">
        <v>2832.7</v>
      </c>
      <c r="I2323" s="13">
        <f>' car_sales_data 1'!$G2323*0.2</f>
        <v>9313.8</v>
      </c>
      <c r="J2323" s="13" t="str">
        <f>TEXT(' car_sales_data 1'!$A2323,"mmmm")</f>
        <v>July</v>
      </c>
      <c r="K2323" s="13" t="str">
        <f>IF(' car_sales_data 1'!$G2323&gt;40000,"Premium",
 IF(' car_sales_data 1'!$G2323&gt;=20000,"Mid Range","Budget"))</f>
        <v>Premium</v>
      </c>
      <c r="L2323" s="13">
        <f>YEAR(TODAY())-' car_sales_data 1'!$F2323</f>
        <v>8</v>
      </c>
    </row>
    <row r="2324" ht="15.75" customHeight="1">
      <c r="A2324" s="16">
        <v>45009.0</v>
      </c>
      <c r="B2324" s="13" t="s">
        <v>4548</v>
      </c>
      <c r="C2324" s="13" t="s">
        <v>4549</v>
      </c>
      <c r="D2324" s="13" t="s">
        <v>8</v>
      </c>
      <c r="E2324" s="13" t="s">
        <v>57</v>
      </c>
      <c r="F2324" s="13">
        <v>2016.0</v>
      </c>
      <c r="G2324" s="13">
        <v>39466.0</v>
      </c>
      <c r="H2324" s="13">
        <v>4668.99</v>
      </c>
      <c r="I2324" s="13">
        <f>' car_sales_data 1'!$G2324*0.2</f>
        <v>7893.2</v>
      </c>
      <c r="J2324" s="13" t="str">
        <f>TEXT(' car_sales_data 1'!$A2324,"mmmm")</f>
        <v>March</v>
      </c>
      <c r="K2324" s="13" t="str">
        <f>IF(' car_sales_data 1'!$G2324&gt;40000,"Premium",
 IF(' car_sales_data 1'!$G2324&gt;=20000,"Mid Range","Budget"))</f>
        <v>Mid Range</v>
      </c>
      <c r="L2324" s="13">
        <f>YEAR(TODAY())-' car_sales_data 1'!$F2324</f>
        <v>9</v>
      </c>
    </row>
    <row r="2325" ht="15.75" customHeight="1">
      <c r="A2325" s="16">
        <v>44816.0</v>
      </c>
      <c r="B2325" s="13" t="s">
        <v>4550</v>
      </c>
      <c r="C2325" s="13" t="s">
        <v>65</v>
      </c>
      <c r="D2325" s="13" t="s">
        <v>6</v>
      </c>
      <c r="E2325" s="13" t="s">
        <v>70</v>
      </c>
      <c r="F2325" s="13">
        <v>2017.0</v>
      </c>
      <c r="G2325" s="13">
        <v>39612.0</v>
      </c>
      <c r="H2325" s="13">
        <v>3692.62</v>
      </c>
      <c r="I2325" s="13">
        <f>' car_sales_data 1'!$G2325*0.2</f>
        <v>7922.4</v>
      </c>
      <c r="J2325" s="13" t="str">
        <f>TEXT(' car_sales_data 1'!$A2325,"mmmm")</f>
        <v>September</v>
      </c>
      <c r="K2325" s="13" t="str">
        <f>IF(' car_sales_data 1'!$G2325&gt;40000,"Premium",
 IF(' car_sales_data 1'!$G2325&gt;=20000,"Mid Range","Budget"))</f>
        <v>Mid Range</v>
      </c>
      <c r="L2325" s="13">
        <f>YEAR(TODAY())-' car_sales_data 1'!$F2325</f>
        <v>8</v>
      </c>
    </row>
    <row r="2326" ht="15.75" customHeight="1">
      <c r="A2326" s="16">
        <v>44990.0</v>
      </c>
      <c r="B2326" s="13" t="s">
        <v>4551</v>
      </c>
      <c r="C2326" s="13" t="s">
        <v>4552</v>
      </c>
      <c r="D2326" s="13" t="s">
        <v>8</v>
      </c>
      <c r="E2326" s="13" t="s">
        <v>70</v>
      </c>
      <c r="F2326" s="13">
        <v>2010.0</v>
      </c>
      <c r="G2326" s="13">
        <v>15440.0</v>
      </c>
      <c r="H2326" s="13">
        <v>2148.23</v>
      </c>
      <c r="I2326" s="13">
        <f>' car_sales_data 1'!$G2326*0.2</f>
        <v>3088</v>
      </c>
      <c r="J2326" s="13" t="str">
        <f>TEXT(' car_sales_data 1'!$A2326,"mmmm")</f>
        <v>March</v>
      </c>
      <c r="K2326" s="13" t="str">
        <f>IF(' car_sales_data 1'!$G2326&gt;40000,"Premium",
 IF(' car_sales_data 1'!$G2326&gt;=20000,"Mid Range","Budget"))</f>
        <v>Budget</v>
      </c>
      <c r="L2326" s="13">
        <f>YEAR(TODAY())-' car_sales_data 1'!$F2326</f>
        <v>15</v>
      </c>
    </row>
    <row r="2327" ht="15.75" customHeight="1">
      <c r="A2327" s="16">
        <v>44914.0</v>
      </c>
      <c r="B2327" s="13" t="s">
        <v>2326</v>
      </c>
      <c r="C2327" s="13" t="s">
        <v>4553</v>
      </c>
      <c r="D2327" s="13" t="s">
        <v>6</v>
      </c>
      <c r="E2327" s="13" t="s">
        <v>51</v>
      </c>
      <c r="F2327" s="13">
        <v>2018.0</v>
      </c>
      <c r="G2327" s="13">
        <v>24448.0</v>
      </c>
      <c r="H2327" s="13">
        <v>3096.81</v>
      </c>
      <c r="I2327" s="13">
        <f>' car_sales_data 1'!$G2327*0.2</f>
        <v>4889.6</v>
      </c>
      <c r="J2327" s="13" t="str">
        <f>TEXT(' car_sales_data 1'!$A2327,"mmmm")</f>
        <v>December</v>
      </c>
      <c r="K2327" s="13" t="str">
        <f>IF(' car_sales_data 1'!$G2327&gt;40000,"Premium",
 IF(' car_sales_data 1'!$G2327&gt;=20000,"Mid Range","Budget"))</f>
        <v>Mid Range</v>
      </c>
      <c r="L2327" s="13">
        <f>YEAR(TODAY())-' car_sales_data 1'!$F2327</f>
        <v>7</v>
      </c>
    </row>
    <row r="2328" ht="15.75" customHeight="1">
      <c r="A2328" s="16">
        <v>44858.0</v>
      </c>
      <c r="B2328" s="13" t="s">
        <v>4554</v>
      </c>
      <c r="C2328" s="13" t="s">
        <v>4555</v>
      </c>
      <c r="D2328" s="13" t="s">
        <v>10</v>
      </c>
      <c r="E2328" s="13" t="s">
        <v>54</v>
      </c>
      <c r="F2328" s="13">
        <v>2016.0</v>
      </c>
      <c r="G2328" s="13">
        <v>24779.0</v>
      </c>
      <c r="H2328" s="13">
        <v>3070.06</v>
      </c>
      <c r="I2328" s="13">
        <f>' car_sales_data 1'!$G2328*0.2</f>
        <v>4955.8</v>
      </c>
      <c r="J2328" s="13" t="str">
        <f>TEXT(' car_sales_data 1'!$A2328,"mmmm")</f>
        <v>October</v>
      </c>
      <c r="K2328" s="13" t="str">
        <f>IF(' car_sales_data 1'!$G2328&gt;40000,"Premium",
 IF(' car_sales_data 1'!$G2328&gt;=20000,"Mid Range","Budget"))</f>
        <v>Mid Range</v>
      </c>
      <c r="L2328" s="13">
        <f>YEAR(TODAY())-' car_sales_data 1'!$F2328</f>
        <v>9</v>
      </c>
    </row>
    <row r="2329" ht="15.75" customHeight="1">
      <c r="A2329" s="16">
        <v>44954.0</v>
      </c>
      <c r="B2329" s="13" t="s">
        <v>4556</v>
      </c>
      <c r="C2329" s="13" t="s">
        <v>4557</v>
      </c>
      <c r="D2329" s="13" t="s">
        <v>8</v>
      </c>
      <c r="E2329" s="13" t="s">
        <v>51</v>
      </c>
      <c r="F2329" s="13">
        <v>2017.0</v>
      </c>
      <c r="G2329" s="13">
        <v>10863.0</v>
      </c>
      <c r="H2329" s="13">
        <v>713.69</v>
      </c>
      <c r="I2329" s="13">
        <f>' car_sales_data 1'!$G2329*0.2</f>
        <v>2172.6</v>
      </c>
      <c r="J2329" s="13" t="str">
        <f>TEXT(' car_sales_data 1'!$A2329,"mmmm")</f>
        <v>January</v>
      </c>
      <c r="K2329" s="13" t="str">
        <f>IF(' car_sales_data 1'!$G2329&gt;40000,"Premium",
 IF(' car_sales_data 1'!$G2329&gt;=20000,"Mid Range","Budget"))</f>
        <v>Budget</v>
      </c>
      <c r="L2329" s="13">
        <f>YEAR(TODAY())-' car_sales_data 1'!$F2329</f>
        <v>8</v>
      </c>
    </row>
    <row r="2330" ht="15.75" customHeight="1">
      <c r="A2330" s="16">
        <v>44698.0</v>
      </c>
      <c r="B2330" s="13" t="s">
        <v>4558</v>
      </c>
      <c r="C2330" s="13" t="s">
        <v>4559</v>
      </c>
      <c r="D2330" s="13" t="s">
        <v>12</v>
      </c>
      <c r="E2330" s="13" t="s">
        <v>54</v>
      </c>
      <c r="F2330" s="13">
        <v>2014.0</v>
      </c>
      <c r="G2330" s="13">
        <v>42066.0</v>
      </c>
      <c r="H2330" s="13">
        <v>5543.37</v>
      </c>
      <c r="I2330" s="13">
        <f>' car_sales_data 1'!$G2330*0.2</f>
        <v>8413.2</v>
      </c>
      <c r="J2330" s="13" t="str">
        <f>TEXT(' car_sales_data 1'!$A2330,"mmmm")</f>
        <v>May</v>
      </c>
      <c r="K2330" s="13" t="str">
        <f>IF(' car_sales_data 1'!$G2330&gt;40000,"Premium",
 IF(' car_sales_data 1'!$G2330&gt;=20000,"Mid Range","Budget"))</f>
        <v>Premium</v>
      </c>
      <c r="L2330" s="13">
        <f>YEAR(TODAY())-' car_sales_data 1'!$F2330</f>
        <v>11</v>
      </c>
    </row>
    <row r="2331" ht="15.75" customHeight="1">
      <c r="A2331" s="16">
        <v>44683.0</v>
      </c>
      <c r="B2331" s="13" t="s">
        <v>89</v>
      </c>
      <c r="C2331" s="13" t="s">
        <v>4560</v>
      </c>
      <c r="D2331" s="13" t="s">
        <v>8</v>
      </c>
      <c r="E2331" s="13" t="s">
        <v>70</v>
      </c>
      <c r="F2331" s="13">
        <v>2013.0</v>
      </c>
      <c r="G2331" s="13">
        <v>11481.0</v>
      </c>
      <c r="H2331" s="13">
        <v>1273.19</v>
      </c>
      <c r="I2331" s="13">
        <f>' car_sales_data 1'!$G2331*0.2</f>
        <v>2296.2</v>
      </c>
      <c r="J2331" s="13" t="str">
        <f>TEXT(' car_sales_data 1'!$A2331,"mmmm")</f>
        <v>May</v>
      </c>
      <c r="K2331" s="13" t="str">
        <f>IF(' car_sales_data 1'!$G2331&gt;40000,"Premium",
 IF(' car_sales_data 1'!$G2331&gt;=20000,"Mid Range","Budget"))</f>
        <v>Budget</v>
      </c>
      <c r="L2331" s="13">
        <f>YEAR(TODAY())-' car_sales_data 1'!$F2331</f>
        <v>12</v>
      </c>
    </row>
    <row r="2332" ht="15.75" customHeight="1">
      <c r="A2332" s="16">
        <v>44794.0</v>
      </c>
      <c r="B2332" s="13" t="s">
        <v>4561</v>
      </c>
      <c r="C2332" s="13" t="s">
        <v>4562</v>
      </c>
      <c r="D2332" s="13" t="s">
        <v>14</v>
      </c>
      <c r="E2332" s="13" t="s">
        <v>57</v>
      </c>
      <c r="F2332" s="13">
        <v>2016.0</v>
      </c>
      <c r="G2332" s="13">
        <v>43353.0</v>
      </c>
      <c r="H2332" s="13">
        <v>5121.61</v>
      </c>
      <c r="I2332" s="13">
        <f>' car_sales_data 1'!$G2332*0.2</f>
        <v>8670.6</v>
      </c>
      <c r="J2332" s="13" t="str">
        <f>TEXT(' car_sales_data 1'!$A2332,"mmmm")</f>
        <v>August</v>
      </c>
      <c r="K2332" s="13" t="str">
        <f>IF(' car_sales_data 1'!$G2332&gt;40000,"Premium",
 IF(' car_sales_data 1'!$G2332&gt;=20000,"Mid Range","Budget"))</f>
        <v>Premium</v>
      </c>
      <c r="L2332" s="13">
        <f>YEAR(TODAY())-' car_sales_data 1'!$F2332</f>
        <v>9</v>
      </c>
    </row>
    <row r="2333" ht="15.75" customHeight="1">
      <c r="A2333" s="16">
        <v>44914.0</v>
      </c>
      <c r="B2333" s="13" t="s">
        <v>4563</v>
      </c>
      <c r="C2333" s="13" t="s">
        <v>4564</v>
      </c>
      <c r="D2333" s="13" t="s">
        <v>6</v>
      </c>
      <c r="E2333" s="13" t="s">
        <v>70</v>
      </c>
      <c r="F2333" s="13">
        <v>2015.0</v>
      </c>
      <c r="G2333" s="13">
        <v>32386.0</v>
      </c>
      <c r="H2333" s="13">
        <v>4006.06</v>
      </c>
      <c r="I2333" s="13">
        <f>' car_sales_data 1'!$G2333*0.2</f>
        <v>6477.2</v>
      </c>
      <c r="J2333" s="13" t="str">
        <f>TEXT(' car_sales_data 1'!$A2333,"mmmm")</f>
        <v>December</v>
      </c>
      <c r="K2333" s="13" t="str">
        <f>IF(' car_sales_data 1'!$G2333&gt;40000,"Premium",
 IF(' car_sales_data 1'!$G2333&gt;=20000,"Mid Range","Budget"))</f>
        <v>Mid Range</v>
      </c>
      <c r="L2333" s="13">
        <f>YEAR(TODAY())-' car_sales_data 1'!$F2333</f>
        <v>10</v>
      </c>
    </row>
    <row r="2334" ht="15.75" customHeight="1">
      <c r="A2334" s="16">
        <v>45023.0</v>
      </c>
      <c r="B2334" s="13" t="s">
        <v>4565</v>
      </c>
      <c r="C2334" s="13" t="s">
        <v>4566</v>
      </c>
      <c r="D2334" s="13" t="s">
        <v>12</v>
      </c>
      <c r="E2334" s="13" t="s">
        <v>51</v>
      </c>
      <c r="F2334" s="13">
        <v>2017.0</v>
      </c>
      <c r="G2334" s="13">
        <v>13080.0</v>
      </c>
      <c r="H2334" s="13">
        <v>1294.05</v>
      </c>
      <c r="I2334" s="13">
        <f>' car_sales_data 1'!$G2334*0.2</f>
        <v>2616</v>
      </c>
      <c r="J2334" s="13" t="str">
        <f>TEXT(' car_sales_data 1'!$A2334,"mmmm")</f>
        <v>April</v>
      </c>
      <c r="K2334" s="13" t="str">
        <f>IF(' car_sales_data 1'!$G2334&gt;40000,"Premium",
 IF(' car_sales_data 1'!$G2334&gt;=20000,"Mid Range","Budget"))</f>
        <v>Budget</v>
      </c>
      <c r="L2334" s="13">
        <f>YEAR(TODAY())-' car_sales_data 1'!$F2334</f>
        <v>8</v>
      </c>
    </row>
    <row r="2335" ht="15.75" customHeight="1">
      <c r="A2335" s="16">
        <v>44771.0</v>
      </c>
      <c r="B2335" s="13" t="s">
        <v>4567</v>
      </c>
      <c r="C2335" s="13" t="s">
        <v>4568</v>
      </c>
      <c r="D2335" s="13" t="s">
        <v>8</v>
      </c>
      <c r="E2335" s="13" t="s">
        <v>51</v>
      </c>
      <c r="F2335" s="13">
        <v>2012.0</v>
      </c>
      <c r="G2335" s="13">
        <v>22475.0</v>
      </c>
      <c r="H2335" s="13">
        <v>3088.16</v>
      </c>
      <c r="I2335" s="13">
        <f>' car_sales_data 1'!$G2335*0.2</f>
        <v>4495</v>
      </c>
      <c r="J2335" s="13" t="str">
        <f>TEXT(' car_sales_data 1'!$A2335,"mmmm")</f>
        <v>July</v>
      </c>
      <c r="K2335" s="13" t="str">
        <f>IF(' car_sales_data 1'!$G2335&gt;40000,"Premium",
 IF(' car_sales_data 1'!$G2335&gt;=20000,"Mid Range","Budget"))</f>
        <v>Mid Range</v>
      </c>
      <c r="L2335" s="13">
        <f>YEAR(TODAY())-' car_sales_data 1'!$F2335</f>
        <v>13</v>
      </c>
    </row>
    <row r="2336" ht="15.75" customHeight="1">
      <c r="A2336" s="16">
        <v>44720.0</v>
      </c>
      <c r="B2336" s="13" t="s">
        <v>4569</v>
      </c>
      <c r="C2336" s="13" t="s">
        <v>4570</v>
      </c>
      <c r="D2336" s="13" t="s">
        <v>6</v>
      </c>
      <c r="E2336" s="13" t="s">
        <v>70</v>
      </c>
      <c r="F2336" s="13">
        <v>2016.0</v>
      </c>
      <c r="G2336" s="13">
        <v>14970.0</v>
      </c>
      <c r="H2336" s="13">
        <v>2181.57</v>
      </c>
      <c r="I2336" s="13">
        <f>' car_sales_data 1'!$G2336*0.2</f>
        <v>2994</v>
      </c>
      <c r="J2336" s="13" t="str">
        <f>TEXT(' car_sales_data 1'!$A2336,"mmmm")</f>
        <v>June</v>
      </c>
      <c r="K2336" s="13" t="str">
        <f>IF(' car_sales_data 1'!$G2336&gt;40000,"Premium",
 IF(' car_sales_data 1'!$G2336&gt;=20000,"Mid Range","Budget"))</f>
        <v>Budget</v>
      </c>
      <c r="L2336" s="13">
        <f>YEAR(TODAY())-' car_sales_data 1'!$F2336</f>
        <v>9</v>
      </c>
    </row>
    <row r="2337" ht="15.75" customHeight="1">
      <c r="A2337" s="16">
        <v>44932.0</v>
      </c>
      <c r="B2337" s="13" t="s">
        <v>4571</v>
      </c>
      <c r="C2337" s="13" t="s">
        <v>4572</v>
      </c>
      <c r="D2337" s="13" t="s">
        <v>6</v>
      </c>
      <c r="E2337" s="13" t="s">
        <v>70</v>
      </c>
      <c r="F2337" s="13">
        <v>2022.0</v>
      </c>
      <c r="G2337" s="13">
        <v>30882.0</v>
      </c>
      <c r="H2337" s="13">
        <v>3793.26</v>
      </c>
      <c r="I2337" s="13">
        <f>' car_sales_data 1'!$G2337*0.2</f>
        <v>6176.4</v>
      </c>
      <c r="J2337" s="13" t="str">
        <f>TEXT(' car_sales_data 1'!$A2337,"mmmm")</f>
        <v>January</v>
      </c>
      <c r="K2337" s="13" t="str">
        <f>IF(' car_sales_data 1'!$G2337&gt;40000,"Premium",
 IF(' car_sales_data 1'!$G2337&gt;=20000,"Mid Range","Budget"))</f>
        <v>Mid Range</v>
      </c>
      <c r="L2337" s="13">
        <f>YEAR(TODAY())-' car_sales_data 1'!$F2337</f>
        <v>3</v>
      </c>
    </row>
    <row r="2338" ht="15.75" customHeight="1">
      <c r="A2338" s="16">
        <v>45016.0</v>
      </c>
      <c r="B2338" s="13" t="s">
        <v>4573</v>
      </c>
      <c r="C2338" s="13" t="s">
        <v>4574</v>
      </c>
      <c r="D2338" s="13" t="s">
        <v>12</v>
      </c>
      <c r="E2338" s="13" t="s">
        <v>54</v>
      </c>
      <c r="F2338" s="13">
        <v>2022.0</v>
      </c>
      <c r="G2338" s="13">
        <v>17482.0</v>
      </c>
      <c r="H2338" s="13">
        <v>1903.82</v>
      </c>
      <c r="I2338" s="13">
        <f>' car_sales_data 1'!$G2338*0.2</f>
        <v>3496.4</v>
      </c>
      <c r="J2338" s="13" t="str">
        <f>TEXT(' car_sales_data 1'!$A2338,"mmmm")</f>
        <v>March</v>
      </c>
      <c r="K2338" s="13" t="str">
        <f>IF(' car_sales_data 1'!$G2338&gt;40000,"Premium",
 IF(' car_sales_data 1'!$G2338&gt;=20000,"Mid Range","Budget"))</f>
        <v>Budget</v>
      </c>
      <c r="L2338" s="13">
        <f>YEAR(TODAY())-' car_sales_data 1'!$F2338</f>
        <v>3</v>
      </c>
    </row>
    <row r="2339" ht="15.75" customHeight="1">
      <c r="A2339" s="16">
        <v>44778.0</v>
      </c>
      <c r="B2339" s="13" t="s">
        <v>4575</v>
      </c>
      <c r="C2339" s="13" t="s">
        <v>4576</v>
      </c>
      <c r="D2339" s="13" t="s">
        <v>12</v>
      </c>
      <c r="E2339" s="13" t="s">
        <v>70</v>
      </c>
      <c r="F2339" s="13">
        <v>2011.0</v>
      </c>
      <c r="G2339" s="13">
        <v>47084.0</v>
      </c>
      <c r="H2339" s="13">
        <v>5055.63</v>
      </c>
      <c r="I2339" s="13">
        <f>' car_sales_data 1'!$G2339*0.2</f>
        <v>9416.8</v>
      </c>
      <c r="J2339" s="13" t="str">
        <f>TEXT(' car_sales_data 1'!$A2339,"mmmm")</f>
        <v>August</v>
      </c>
      <c r="K2339" s="13" t="str">
        <f>IF(' car_sales_data 1'!$G2339&gt;40000,"Premium",
 IF(' car_sales_data 1'!$G2339&gt;=20000,"Mid Range","Budget"))</f>
        <v>Premium</v>
      </c>
      <c r="L2339" s="13">
        <f>YEAR(TODAY())-' car_sales_data 1'!$F2339</f>
        <v>14</v>
      </c>
    </row>
    <row r="2340" ht="15.75" customHeight="1">
      <c r="A2340" s="16">
        <v>44785.0</v>
      </c>
      <c r="B2340" s="13" t="s">
        <v>4577</v>
      </c>
      <c r="C2340" s="13" t="s">
        <v>4578</v>
      </c>
      <c r="D2340" s="13" t="s">
        <v>6</v>
      </c>
      <c r="E2340" s="13" t="s">
        <v>54</v>
      </c>
      <c r="F2340" s="13">
        <v>2018.0</v>
      </c>
      <c r="G2340" s="13">
        <v>26864.0</v>
      </c>
      <c r="H2340" s="13">
        <v>2910.63</v>
      </c>
      <c r="I2340" s="13">
        <f>' car_sales_data 1'!$G2340*0.2</f>
        <v>5372.8</v>
      </c>
      <c r="J2340" s="13" t="str">
        <f>TEXT(' car_sales_data 1'!$A2340,"mmmm")</f>
        <v>August</v>
      </c>
      <c r="K2340" s="13" t="str">
        <f>IF(' car_sales_data 1'!$G2340&gt;40000,"Premium",
 IF(' car_sales_data 1'!$G2340&gt;=20000,"Mid Range","Budget"))</f>
        <v>Mid Range</v>
      </c>
      <c r="L2340" s="13">
        <f>YEAR(TODAY())-' car_sales_data 1'!$F2340</f>
        <v>7</v>
      </c>
    </row>
    <row r="2341" ht="15.75" customHeight="1">
      <c r="A2341" s="16">
        <v>44795.0</v>
      </c>
      <c r="B2341" s="13" t="s">
        <v>4579</v>
      </c>
      <c r="C2341" s="13" t="s">
        <v>1393</v>
      </c>
      <c r="D2341" s="13" t="s">
        <v>6</v>
      </c>
      <c r="E2341" s="13" t="s">
        <v>57</v>
      </c>
      <c r="F2341" s="13">
        <v>2012.0</v>
      </c>
      <c r="G2341" s="13">
        <v>12115.0</v>
      </c>
      <c r="H2341" s="13">
        <v>1365.05</v>
      </c>
      <c r="I2341" s="13">
        <f>' car_sales_data 1'!$G2341*0.2</f>
        <v>2423</v>
      </c>
      <c r="J2341" s="13" t="str">
        <f>TEXT(' car_sales_data 1'!$A2341,"mmmm")</f>
        <v>August</v>
      </c>
      <c r="K2341" s="13" t="str">
        <f>IF(' car_sales_data 1'!$G2341&gt;40000,"Premium",
 IF(' car_sales_data 1'!$G2341&gt;=20000,"Mid Range","Budget"))</f>
        <v>Budget</v>
      </c>
      <c r="L2341" s="13">
        <f>YEAR(TODAY())-' car_sales_data 1'!$F2341</f>
        <v>13</v>
      </c>
    </row>
    <row r="2342" ht="15.75" customHeight="1">
      <c r="A2342" s="16">
        <v>44806.0</v>
      </c>
      <c r="B2342" s="13" t="s">
        <v>4580</v>
      </c>
      <c r="C2342" s="13" t="s">
        <v>4581</v>
      </c>
      <c r="D2342" s="13" t="s">
        <v>12</v>
      </c>
      <c r="E2342" s="13" t="s">
        <v>54</v>
      </c>
      <c r="F2342" s="13">
        <v>2010.0</v>
      </c>
      <c r="G2342" s="13">
        <v>42933.0</v>
      </c>
      <c r="H2342" s="13">
        <v>5205.02</v>
      </c>
      <c r="I2342" s="13">
        <f>' car_sales_data 1'!$G2342*0.2</f>
        <v>8586.6</v>
      </c>
      <c r="J2342" s="13" t="str">
        <f>TEXT(' car_sales_data 1'!$A2342,"mmmm")</f>
        <v>September</v>
      </c>
      <c r="K2342" s="13" t="str">
        <f>IF(' car_sales_data 1'!$G2342&gt;40000,"Premium",
 IF(' car_sales_data 1'!$G2342&gt;=20000,"Mid Range","Budget"))</f>
        <v>Premium</v>
      </c>
      <c r="L2342" s="13">
        <f>YEAR(TODAY())-' car_sales_data 1'!$F2342</f>
        <v>15</v>
      </c>
    </row>
    <row r="2343" ht="15.75" customHeight="1">
      <c r="A2343" s="16">
        <v>44837.0</v>
      </c>
      <c r="B2343" s="13" t="s">
        <v>4582</v>
      </c>
      <c r="C2343" s="13" t="s">
        <v>4583</v>
      </c>
      <c r="D2343" s="13" t="s">
        <v>14</v>
      </c>
      <c r="E2343" s="13" t="s">
        <v>54</v>
      </c>
      <c r="F2343" s="13">
        <v>2013.0</v>
      </c>
      <c r="G2343" s="13">
        <v>32971.0</v>
      </c>
      <c r="H2343" s="13">
        <v>2235.84</v>
      </c>
      <c r="I2343" s="13">
        <f>' car_sales_data 1'!$G2343*0.2</f>
        <v>6594.2</v>
      </c>
      <c r="J2343" s="13" t="str">
        <f>TEXT(' car_sales_data 1'!$A2343,"mmmm")</f>
        <v>October</v>
      </c>
      <c r="K2343" s="13" t="str">
        <f>IF(' car_sales_data 1'!$G2343&gt;40000,"Premium",
 IF(' car_sales_data 1'!$G2343&gt;=20000,"Mid Range","Budget"))</f>
        <v>Mid Range</v>
      </c>
      <c r="L2343" s="13">
        <f>YEAR(TODAY())-' car_sales_data 1'!$F2343</f>
        <v>12</v>
      </c>
    </row>
    <row r="2344" ht="15.75" customHeight="1">
      <c r="A2344" s="16">
        <v>44714.0</v>
      </c>
      <c r="B2344" s="13" t="s">
        <v>4584</v>
      </c>
      <c r="C2344" s="13" t="s">
        <v>4585</v>
      </c>
      <c r="D2344" s="13" t="s">
        <v>6</v>
      </c>
      <c r="E2344" s="13" t="s">
        <v>62</v>
      </c>
      <c r="F2344" s="13">
        <v>2013.0</v>
      </c>
      <c r="G2344" s="13">
        <v>21606.0</v>
      </c>
      <c r="H2344" s="13">
        <v>1831.95</v>
      </c>
      <c r="I2344" s="13">
        <f>' car_sales_data 1'!$G2344*0.2</f>
        <v>4321.2</v>
      </c>
      <c r="J2344" s="13" t="str">
        <f>TEXT(' car_sales_data 1'!$A2344,"mmmm")</f>
        <v>June</v>
      </c>
      <c r="K2344" s="13" t="str">
        <f>IF(' car_sales_data 1'!$G2344&gt;40000,"Premium",
 IF(' car_sales_data 1'!$G2344&gt;=20000,"Mid Range","Budget"))</f>
        <v>Mid Range</v>
      </c>
      <c r="L2344" s="13">
        <f>YEAR(TODAY())-' car_sales_data 1'!$F2344</f>
        <v>12</v>
      </c>
    </row>
    <row r="2345" ht="15.75" customHeight="1">
      <c r="A2345" s="16">
        <v>44837.0</v>
      </c>
      <c r="B2345" s="13" t="s">
        <v>4586</v>
      </c>
      <c r="C2345" s="13" t="s">
        <v>4587</v>
      </c>
      <c r="D2345" s="13" t="s">
        <v>10</v>
      </c>
      <c r="E2345" s="13" t="s">
        <v>70</v>
      </c>
      <c r="F2345" s="13">
        <v>2010.0</v>
      </c>
      <c r="G2345" s="13">
        <v>26662.0</v>
      </c>
      <c r="H2345" s="13">
        <v>3902.97</v>
      </c>
      <c r="I2345" s="13">
        <f>' car_sales_data 1'!$G2345*0.2</f>
        <v>5332.4</v>
      </c>
      <c r="J2345" s="13" t="str">
        <f>TEXT(' car_sales_data 1'!$A2345,"mmmm")</f>
        <v>October</v>
      </c>
      <c r="K2345" s="13" t="str">
        <f>IF(' car_sales_data 1'!$G2345&gt;40000,"Premium",
 IF(' car_sales_data 1'!$G2345&gt;=20000,"Mid Range","Budget"))</f>
        <v>Mid Range</v>
      </c>
      <c r="L2345" s="13">
        <f>YEAR(TODAY())-' car_sales_data 1'!$F2345</f>
        <v>15</v>
      </c>
    </row>
    <row r="2346" ht="15.75" customHeight="1">
      <c r="A2346" s="16">
        <v>44853.0</v>
      </c>
      <c r="B2346" s="13" t="s">
        <v>4588</v>
      </c>
      <c r="C2346" s="13" t="s">
        <v>4589</v>
      </c>
      <c r="D2346" s="13" t="s">
        <v>12</v>
      </c>
      <c r="E2346" s="13" t="s">
        <v>51</v>
      </c>
      <c r="F2346" s="13">
        <v>2012.0</v>
      </c>
      <c r="G2346" s="13">
        <v>49543.0</v>
      </c>
      <c r="H2346" s="13">
        <v>3423.21</v>
      </c>
      <c r="I2346" s="13">
        <f>' car_sales_data 1'!$G2346*0.2</f>
        <v>9908.6</v>
      </c>
      <c r="J2346" s="13" t="str">
        <f>TEXT(' car_sales_data 1'!$A2346,"mmmm")</f>
        <v>October</v>
      </c>
      <c r="K2346" s="13" t="str">
        <f>IF(' car_sales_data 1'!$G2346&gt;40000,"Premium",
 IF(' car_sales_data 1'!$G2346&gt;=20000,"Mid Range","Budget"))</f>
        <v>Premium</v>
      </c>
      <c r="L2346" s="13">
        <f>YEAR(TODAY())-' car_sales_data 1'!$F2346</f>
        <v>13</v>
      </c>
    </row>
    <row r="2347" ht="15.75" customHeight="1">
      <c r="A2347" s="16">
        <v>44789.0</v>
      </c>
      <c r="B2347" s="13" t="s">
        <v>4590</v>
      </c>
      <c r="C2347" s="13" t="s">
        <v>4591</v>
      </c>
      <c r="D2347" s="13" t="s">
        <v>14</v>
      </c>
      <c r="E2347" s="13" t="s">
        <v>62</v>
      </c>
      <c r="F2347" s="13">
        <v>2010.0</v>
      </c>
      <c r="G2347" s="13">
        <v>10705.0</v>
      </c>
      <c r="H2347" s="13">
        <v>974.62</v>
      </c>
      <c r="I2347" s="13">
        <f>' car_sales_data 1'!$G2347*0.2</f>
        <v>2141</v>
      </c>
      <c r="J2347" s="13" t="str">
        <f>TEXT(' car_sales_data 1'!$A2347,"mmmm")</f>
        <v>August</v>
      </c>
      <c r="K2347" s="13" t="str">
        <f>IF(' car_sales_data 1'!$G2347&gt;40000,"Premium",
 IF(' car_sales_data 1'!$G2347&gt;=20000,"Mid Range","Budget"))</f>
        <v>Budget</v>
      </c>
      <c r="L2347" s="13">
        <f>YEAR(TODAY())-' car_sales_data 1'!$F2347</f>
        <v>15</v>
      </c>
    </row>
    <row r="2348" ht="15.75" customHeight="1">
      <c r="A2348" s="16">
        <v>44861.0</v>
      </c>
      <c r="B2348" s="13" t="s">
        <v>4592</v>
      </c>
      <c r="C2348" s="13" t="s">
        <v>4593</v>
      </c>
      <c r="D2348" s="13" t="s">
        <v>8</v>
      </c>
      <c r="E2348" s="13" t="s">
        <v>51</v>
      </c>
      <c r="F2348" s="13">
        <v>2013.0</v>
      </c>
      <c r="G2348" s="13">
        <v>18012.0</v>
      </c>
      <c r="H2348" s="13">
        <v>1553.6</v>
      </c>
      <c r="I2348" s="13">
        <f>' car_sales_data 1'!$G2348*0.2</f>
        <v>3602.4</v>
      </c>
      <c r="J2348" s="13" t="str">
        <f>TEXT(' car_sales_data 1'!$A2348,"mmmm")</f>
        <v>October</v>
      </c>
      <c r="K2348" s="13" t="str">
        <f>IF(' car_sales_data 1'!$G2348&gt;40000,"Premium",
 IF(' car_sales_data 1'!$G2348&gt;=20000,"Mid Range","Budget"))</f>
        <v>Budget</v>
      </c>
      <c r="L2348" s="13">
        <f>YEAR(TODAY())-' car_sales_data 1'!$F2348</f>
        <v>12</v>
      </c>
    </row>
    <row r="2349" ht="15.75" customHeight="1">
      <c r="A2349" s="16">
        <v>44836.0</v>
      </c>
      <c r="B2349" s="13" t="s">
        <v>4594</v>
      </c>
      <c r="C2349" s="13" t="s">
        <v>4595</v>
      </c>
      <c r="D2349" s="13" t="s">
        <v>6</v>
      </c>
      <c r="E2349" s="13" t="s">
        <v>51</v>
      </c>
      <c r="F2349" s="13">
        <v>2016.0</v>
      </c>
      <c r="G2349" s="13">
        <v>36377.0</v>
      </c>
      <c r="H2349" s="13">
        <v>2568.85</v>
      </c>
      <c r="I2349" s="13">
        <f>' car_sales_data 1'!$G2349*0.2</f>
        <v>7275.4</v>
      </c>
      <c r="J2349" s="13" t="str">
        <f>TEXT(' car_sales_data 1'!$A2349,"mmmm")</f>
        <v>October</v>
      </c>
      <c r="K2349" s="13" t="str">
        <f>IF(' car_sales_data 1'!$G2349&gt;40000,"Premium",
 IF(' car_sales_data 1'!$G2349&gt;=20000,"Mid Range","Budget"))</f>
        <v>Mid Range</v>
      </c>
      <c r="L2349" s="13">
        <f>YEAR(TODAY())-' car_sales_data 1'!$F2349</f>
        <v>9</v>
      </c>
    </row>
    <row r="2350" ht="15.75" customHeight="1">
      <c r="A2350" s="16">
        <v>44860.0</v>
      </c>
      <c r="B2350" s="13" t="s">
        <v>4596</v>
      </c>
      <c r="C2350" s="13" t="s">
        <v>4597</v>
      </c>
      <c r="D2350" s="13" t="s">
        <v>6</v>
      </c>
      <c r="E2350" s="13" t="s">
        <v>51</v>
      </c>
      <c r="F2350" s="13">
        <v>2021.0</v>
      </c>
      <c r="G2350" s="13">
        <v>43811.0</v>
      </c>
      <c r="H2350" s="13">
        <v>6524.62</v>
      </c>
      <c r="I2350" s="13">
        <f>' car_sales_data 1'!$G2350*0.2</f>
        <v>8762.2</v>
      </c>
      <c r="J2350" s="13" t="str">
        <f>TEXT(' car_sales_data 1'!$A2350,"mmmm")</f>
        <v>October</v>
      </c>
      <c r="K2350" s="13" t="str">
        <f>IF(' car_sales_data 1'!$G2350&gt;40000,"Premium",
 IF(' car_sales_data 1'!$G2350&gt;=20000,"Mid Range","Budget"))</f>
        <v>Premium</v>
      </c>
      <c r="L2350" s="13">
        <f>YEAR(TODAY())-' car_sales_data 1'!$F2350</f>
        <v>4</v>
      </c>
    </row>
    <row r="2351" ht="15.75" customHeight="1">
      <c r="A2351" s="16">
        <v>44883.0</v>
      </c>
      <c r="B2351" s="13" t="s">
        <v>4598</v>
      </c>
      <c r="C2351" s="13" t="s">
        <v>4599</v>
      </c>
      <c r="D2351" s="13" t="s">
        <v>14</v>
      </c>
      <c r="E2351" s="13" t="s">
        <v>51</v>
      </c>
      <c r="F2351" s="13">
        <v>2010.0</v>
      </c>
      <c r="G2351" s="13">
        <v>41028.0</v>
      </c>
      <c r="H2351" s="13">
        <v>3586.76</v>
      </c>
      <c r="I2351" s="13">
        <f>' car_sales_data 1'!$G2351*0.2</f>
        <v>8205.6</v>
      </c>
      <c r="J2351" s="13" t="str">
        <f>TEXT(' car_sales_data 1'!$A2351,"mmmm")</f>
        <v>November</v>
      </c>
      <c r="K2351" s="13" t="str">
        <f>IF(' car_sales_data 1'!$G2351&gt;40000,"Premium",
 IF(' car_sales_data 1'!$G2351&gt;=20000,"Mid Range","Budget"))</f>
        <v>Premium</v>
      </c>
      <c r="L2351" s="13">
        <f>YEAR(TODAY())-' car_sales_data 1'!$F2351</f>
        <v>15</v>
      </c>
    </row>
    <row r="2352" ht="15.75" customHeight="1">
      <c r="A2352" s="16">
        <v>45009.0</v>
      </c>
      <c r="B2352" s="13" t="s">
        <v>4600</v>
      </c>
      <c r="C2352" s="13" t="s">
        <v>4601</v>
      </c>
      <c r="D2352" s="13" t="s">
        <v>6</v>
      </c>
      <c r="E2352" s="13" t="s">
        <v>62</v>
      </c>
      <c r="F2352" s="13">
        <v>2010.0</v>
      </c>
      <c r="G2352" s="13">
        <v>26002.0</v>
      </c>
      <c r="H2352" s="13">
        <v>1983.81</v>
      </c>
      <c r="I2352" s="13">
        <f>' car_sales_data 1'!$G2352*0.2</f>
        <v>5200.4</v>
      </c>
      <c r="J2352" s="13" t="str">
        <f>TEXT(' car_sales_data 1'!$A2352,"mmmm")</f>
        <v>March</v>
      </c>
      <c r="K2352" s="13" t="str">
        <f>IF(' car_sales_data 1'!$G2352&gt;40000,"Premium",
 IF(' car_sales_data 1'!$G2352&gt;=20000,"Mid Range","Budget"))</f>
        <v>Mid Range</v>
      </c>
      <c r="L2352" s="13">
        <f>YEAR(TODAY())-' car_sales_data 1'!$F2352</f>
        <v>15</v>
      </c>
    </row>
    <row r="2353" ht="15.75" customHeight="1">
      <c r="A2353" s="16">
        <v>44944.0</v>
      </c>
      <c r="B2353" s="13" t="s">
        <v>4602</v>
      </c>
      <c r="C2353" s="13" t="s">
        <v>4603</v>
      </c>
      <c r="D2353" s="13" t="s">
        <v>12</v>
      </c>
      <c r="E2353" s="13" t="s">
        <v>57</v>
      </c>
      <c r="F2353" s="13">
        <v>2013.0</v>
      </c>
      <c r="G2353" s="13">
        <v>26449.0</v>
      </c>
      <c r="H2353" s="13">
        <v>3779.62</v>
      </c>
      <c r="I2353" s="13">
        <f>' car_sales_data 1'!$G2353*0.2</f>
        <v>5289.8</v>
      </c>
      <c r="J2353" s="13" t="str">
        <f>TEXT(' car_sales_data 1'!$A2353,"mmmm")</f>
        <v>January</v>
      </c>
      <c r="K2353" s="13" t="str">
        <f>IF(' car_sales_data 1'!$G2353&gt;40000,"Premium",
 IF(' car_sales_data 1'!$G2353&gt;=20000,"Mid Range","Budget"))</f>
        <v>Mid Range</v>
      </c>
      <c r="L2353" s="13">
        <f>YEAR(TODAY())-' car_sales_data 1'!$F2353</f>
        <v>12</v>
      </c>
    </row>
    <row r="2354" ht="15.75" customHeight="1">
      <c r="A2354" s="16">
        <v>44982.0</v>
      </c>
      <c r="B2354" s="13" t="s">
        <v>4604</v>
      </c>
      <c r="C2354" s="13" t="s">
        <v>4605</v>
      </c>
      <c r="D2354" s="13" t="s">
        <v>6</v>
      </c>
      <c r="E2354" s="13" t="s">
        <v>62</v>
      </c>
      <c r="F2354" s="13">
        <v>2016.0</v>
      </c>
      <c r="G2354" s="13">
        <v>15179.0</v>
      </c>
      <c r="H2354" s="13">
        <v>1710.74</v>
      </c>
      <c r="I2354" s="13">
        <f>' car_sales_data 1'!$G2354*0.2</f>
        <v>3035.8</v>
      </c>
      <c r="J2354" s="13" t="str">
        <f>TEXT(' car_sales_data 1'!$A2354,"mmmm")</f>
        <v>February</v>
      </c>
      <c r="K2354" s="13" t="str">
        <f>IF(' car_sales_data 1'!$G2354&gt;40000,"Premium",
 IF(' car_sales_data 1'!$G2354&gt;=20000,"Mid Range","Budget"))</f>
        <v>Budget</v>
      </c>
      <c r="L2354" s="13">
        <f>YEAR(TODAY())-' car_sales_data 1'!$F2354</f>
        <v>9</v>
      </c>
    </row>
    <row r="2355" ht="15.75" customHeight="1">
      <c r="A2355" s="16">
        <v>44988.0</v>
      </c>
      <c r="B2355" s="13" t="s">
        <v>4606</v>
      </c>
      <c r="C2355" s="13" t="s">
        <v>4607</v>
      </c>
      <c r="D2355" s="13" t="s">
        <v>14</v>
      </c>
      <c r="E2355" s="13" t="s">
        <v>51</v>
      </c>
      <c r="F2355" s="13">
        <v>2021.0</v>
      </c>
      <c r="G2355" s="13">
        <v>44425.0</v>
      </c>
      <c r="H2355" s="13">
        <v>2783.64</v>
      </c>
      <c r="I2355" s="13">
        <f>' car_sales_data 1'!$G2355*0.2</f>
        <v>8885</v>
      </c>
      <c r="J2355" s="13" t="str">
        <f>TEXT(' car_sales_data 1'!$A2355,"mmmm")</f>
        <v>March</v>
      </c>
      <c r="K2355" s="13" t="str">
        <f>IF(' car_sales_data 1'!$G2355&gt;40000,"Premium",
 IF(' car_sales_data 1'!$G2355&gt;=20000,"Mid Range","Budget"))</f>
        <v>Premium</v>
      </c>
      <c r="L2355" s="13">
        <f>YEAR(TODAY())-' car_sales_data 1'!$F2355</f>
        <v>4</v>
      </c>
    </row>
    <row r="2356" ht="15.75" customHeight="1">
      <c r="A2356" s="16">
        <v>44933.0</v>
      </c>
      <c r="B2356" s="13" t="s">
        <v>4608</v>
      </c>
      <c r="C2356" s="13" t="s">
        <v>4609</v>
      </c>
      <c r="D2356" s="13" t="s">
        <v>12</v>
      </c>
      <c r="E2356" s="13" t="s">
        <v>70</v>
      </c>
      <c r="F2356" s="13">
        <v>2019.0</v>
      </c>
      <c r="G2356" s="13">
        <v>47545.0</v>
      </c>
      <c r="H2356" s="13">
        <v>2518.1</v>
      </c>
      <c r="I2356" s="13">
        <f>' car_sales_data 1'!$G2356*0.2</f>
        <v>9509</v>
      </c>
      <c r="J2356" s="13" t="str">
        <f>TEXT(' car_sales_data 1'!$A2356,"mmmm")</f>
        <v>January</v>
      </c>
      <c r="K2356" s="13" t="str">
        <f>IF(' car_sales_data 1'!$G2356&gt;40000,"Premium",
 IF(' car_sales_data 1'!$G2356&gt;=20000,"Mid Range","Budget"))</f>
        <v>Premium</v>
      </c>
      <c r="L2356" s="13">
        <f>YEAR(TODAY())-' car_sales_data 1'!$F2356</f>
        <v>6</v>
      </c>
    </row>
    <row r="2357" ht="15.75" customHeight="1">
      <c r="A2357" s="16">
        <v>44684.0</v>
      </c>
      <c r="B2357" s="13" t="s">
        <v>4610</v>
      </c>
      <c r="C2357" s="13" t="s">
        <v>4611</v>
      </c>
      <c r="D2357" s="13" t="s">
        <v>10</v>
      </c>
      <c r="E2357" s="13" t="s">
        <v>62</v>
      </c>
      <c r="F2357" s="13">
        <v>2016.0</v>
      </c>
      <c r="G2357" s="13">
        <v>46367.0</v>
      </c>
      <c r="H2357" s="13">
        <v>6514.06</v>
      </c>
      <c r="I2357" s="13">
        <f>' car_sales_data 1'!$G2357*0.2</f>
        <v>9273.4</v>
      </c>
      <c r="J2357" s="13" t="str">
        <f>TEXT(' car_sales_data 1'!$A2357,"mmmm")</f>
        <v>May</v>
      </c>
      <c r="K2357" s="13" t="str">
        <f>IF(' car_sales_data 1'!$G2357&gt;40000,"Premium",
 IF(' car_sales_data 1'!$G2357&gt;=20000,"Mid Range","Budget"))</f>
        <v>Premium</v>
      </c>
      <c r="L2357" s="13">
        <f>YEAR(TODAY())-' car_sales_data 1'!$F2357</f>
        <v>9</v>
      </c>
    </row>
    <row r="2358" ht="15.75" customHeight="1">
      <c r="A2358" s="16">
        <v>45046.0</v>
      </c>
      <c r="B2358" s="13" t="s">
        <v>4612</v>
      </c>
      <c r="C2358" s="13" t="s">
        <v>4613</v>
      </c>
      <c r="D2358" s="13" t="s">
        <v>12</v>
      </c>
      <c r="E2358" s="13" t="s">
        <v>62</v>
      </c>
      <c r="F2358" s="13">
        <v>2010.0</v>
      </c>
      <c r="G2358" s="13">
        <v>10101.0</v>
      </c>
      <c r="H2358" s="13">
        <v>620.27</v>
      </c>
      <c r="I2358" s="13">
        <f>' car_sales_data 1'!$G2358*0.2</f>
        <v>2020.2</v>
      </c>
      <c r="J2358" s="13" t="str">
        <f>TEXT(' car_sales_data 1'!$A2358,"mmmm")</f>
        <v>April</v>
      </c>
      <c r="K2358" s="13" t="str">
        <f>IF(' car_sales_data 1'!$G2358&gt;40000,"Premium",
 IF(' car_sales_data 1'!$G2358&gt;=20000,"Mid Range","Budget"))</f>
        <v>Budget</v>
      </c>
      <c r="L2358" s="13">
        <f>YEAR(TODAY())-' car_sales_data 1'!$F2358</f>
        <v>15</v>
      </c>
    </row>
    <row r="2359" ht="15.75" customHeight="1">
      <c r="A2359" s="16">
        <v>44685.0</v>
      </c>
      <c r="B2359" s="13" t="s">
        <v>4614</v>
      </c>
      <c r="C2359" s="13" t="s">
        <v>4615</v>
      </c>
      <c r="D2359" s="13" t="s">
        <v>10</v>
      </c>
      <c r="E2359" s="13" t="s">
        <v>54</v>
      </c>
      <c r="F2359" s="13">
        <v>2017.0</v>
      </c>
      <c r="G2359" s="13">
        <v>49767.0</v>
      </c>
      <c r="H2359" s="13">
        <v>5894.66</v>
      </c>
      <c r="I2359" s="13">
        <f>' car_sales_data 1'!$G2359*0.2</f>
        <v>9953.4</v>
      </c>
      <c r="J2359" s="13" t="str">
        <f>TEXT(' car_sales_data 1'!$A2359,"mmmm")</f>
        <v>May</v>
      </c>
      <c r="K2359" s="13" t="str">
        <f>IF(' car_sales_data 1'!$G2359&gt;40000,"Premium",
 IF(' car_sales_data 1'!$G2359&gt;=20000,"Mid Range","Budget"))</f>
        <v>Premium</v>
      </c>
      <c r="L2359" s="13">
        <f>YEAR(TODAY())-' car_sales_data 1'!$F2359</f>
        <v>8</v>
      </c>
    </row>
    <row r="2360" ht="15.75" customHeight="1">
      <c r="A2360" s="16">
        <v>44788.0</v>
      </c>
      <c r="B2360" s="13" t="s">
        <v>4616</v>
      </c>
      <c r="C2360" s="13" t="s">
        <v>4617</v>
      </c>
      <c r="D2360" s="13" t="s">
        <v>8</v>
      </c>
      <c r="E2360" s="13" t="s">
        <v>70</v>
      </c>
      <c r="F2360" s="13">
        <v>2022.0</v>
      </c>
      <c r="G2360" s="13">
        <v>34130.0</v>
      </c>
      <c r="H2360" s="13">
        <v>3327.51</v>
      </c>
      <c r="I2360" s="13">
        <f>' car_sales_data 1'!$G2360*0.2</f>
        <v>6826</v>
      </c>
      <c r="J2360" s="13" t="str">
        <f>TEXT(' car_sales_data 1'!$A2360,"mmmm")</f>
        <v>August</v>
      </c>
      <c r="K2360" s="13" t="str">
        <f>IF(' car_sales_data 1'!$G2360&gt;40000,"Premium",
 IF(' car_sales_data 1'!$G2360&gt;=20000,"Mid Range","Budget"))</f>
        <v>Mid Range</v>
      </c>
      <c r="L2360" s="13">
        <f>YEAR(TODAY())-' car_sales_data 1'!$F2360</f>
        <v>3</v>
      </c>
    </row>
    <row r="2361" ht="15.75" customHeight="1">
      <c r="A2361" s="16">
        <v>44997.0</v>
      </c>
      <c r="B2361" s="13" t="s">
        <v>4618</v>
      </c>
      <c r="C2361" s="13" t="s">
        <v>4619</v>
      </c>
      <c r="D2361" s="13" t="s">
        <v>8</v>
      </c>
      <c r="E2361" s="13" t="s">
        <v>54</v>
      </c>
      <c r="F2361" s="13">
        <v>2015.0</v>
      </c>
      <c r="G2361" s="13">
        <v>34330.0</v>
      </c>
      <c r="H2361" s="13">
        <v>2231.77</v>
      </c>
      <c r="I2361" s="13">
        <f>' car_sales_data 1'!$G2361*0.2</f>
        <v>6866</v>
      </c>
      <c r="J2361" s="13" t="str">
        <f>TEXT(' car_sales_data 1'!$A2361,"mmmm")</f>
        <v>March</v>
      </c>
      <c r="K2361" s="13" t="str">
        <f>IF(' car_sales_data 1'!$G2361&gt;40000,"Premium",
 IF(' car_sales_data 1'!$G2361&gt;=20000,"Mid Range","Budget"))</f>
        <v>Mid Range</v>
      </c>
      <c r="L2361" s="13">
        <f>YEAR(TODAY())-' car_sales_data 1'!$F2361</f>
        <v>10</v>
      </c>
    </row>
    <row r="2362" ht="15.75" customHeight="1">
      <c r="A2362" s="16">
        <v>44733.0</v>
      </c>
      <c r="B2362" s="13" t="s">
        <v>4620</v>
      </c>
      <c r="C2362" s="13" t="s">
        <v>4621</v>
      </c>
      <c r="D2362" s="13" t="s">
        <v>8</v>
      </c>
      <c r="E2362" s="13" t="s">
        <v>51</v>
      </c>
      <c r="F2362" s="13">
        <v>2010.0</v>
      </c>
      <c r="G2362" s="13">
        <v>23936.0</v>
      </c>
      <c r="H2362" s="13">
        <v>1695.03</v>
      </c>
      <c r="I2362" s="13">
        <f>' car_sales_data 1'!$G2362*0.2</f>
        <v>4787.2</v>
      </c>
      <c r="J2362" s="13" t="str">
        <f>TEXT(' car_sales_data 1'!$A2362,"mmmm")</f>
        <v>June</v>
      </c>
      <c r="K2362" s="13" t="str">
        <f>IF(' car_sales_data 1'!$G2362&gt;40000,"Premium",
 IF(' car_sales_data 1'!$G2362&gt;=20000,"Mid Range","Budget"))</f>
        <v>Mid Range</v>
      </c>
      <c r="L2362" s="13">
        <f>YEAR(TODAY())-' car_sales_data 1'!$F2362</f>
        <v>15</v>
      </c>
    </row>
    <row r="2363" ht="15.75" customHeight="1">
      <c r="A2363" s="16">
        <v>44711.0</v>
      </c>
      <c r="B2363" s="13" t="s">
        <v>4622</v>
      </c>
      <c r="C2363" s="13" t="s">
        <v>4623</v>
      </c>
      <c r="D2363" s="13" t="s">
        <v>12</v>
      </c>
      <c r="E2363" s="13" t="s">
        <v>57</v>
      </c>
      <c r="F2363" s="13">
        <v>2021.0</v>
      </c>
      <c r="G2363" s="13">
        <v>30264.0</v>
      </c>
      <c r="H2363" s="13">
        <v>2521.43</v>
      </c>
      <c r="I2363" s="13">
        <f>' car_sales_data 1'!$G2363*0.2</f>
        <v>6052.8</v>
      </c>
      <c r="J2363" s="13" t="str">
        <f>TEXT(' car_sales_data 1'!$A2363,"mmmm")</f>
        <v>May</v>
      </c>
      <c r="K2363" s="13" t="str">
        <f>IF(' car_sales_data 1'!$G2363&gt;40000,"Premium",
 IF(' car_sales_data 1'!$G2363&gt;=20000,"Mid Range","Budget"))</f>
        <v>Mid Range</v>
      </c>
      <c r="L2363" s="13">
        <f>YEAR(TODAY())-' car_sales_data 1'!$F2363</f>
        <v>4</v>
      </c>
    </row>
    <row r="2364" ht="15.75" customHeight="1">
      <c r="A2364" s="16">
        <v>44938.0</v>
      </c>
      <c r="B2364" s="13" t="s">
        <v>4624</v>
      </c>
      <c r="C2364" s="13" t="s">
        <v>4625</v>
      </c>
      <c r="D2364" s="13" t="s">
        <v>8</v>
      </c>
      <c r="E2364" s="13" t="s">
        <v>57</v>
      </c>
      <c r="F2364" s="13">
        <v>2017.0</v>
      </c>
      <c r="G2364" s="13">
        <v>42310.0</v>
      </c>
      <c r="H2364" s="13">
        <v>6027.51</v>
      </c>
      <c r="I2364" s="13">
        <f>' car_sales_data 1'!$G2364*0.2</f>
        <v>8462</v>
      </c>
      <c r="J2364" s="13" t="str">
        <f>TEXT(' car_sales_data 1'!$A2364,"mmmm")</f>
        <v>January</v>
      </c>
      <c r="K2364" s="13" t="str">
        <f>IF(' car_sales_data 1'!$G2364&gt;40000,"Premium",
 IF(' car_sales_data 1'!$G2364&gt;=20000,"Mid Range","Budget"))</f>
        <v>Premium</v>
      </c>
      <c r="L2364" s="13">
        <f>YEAR(TODAY())-' car_sales_data 1'!$F2364</f>
        <v>8</v>
      </c>
    </row>
    <row r="2365" ht="15.75" customHeight="1">
      <c r="A2365" s="16">
        <v>44742.0</v>
      </c>
      <c r="B2365" s="13" t="s">
        <v>4626</v>
      </c>
      <c r="C2365" s="13" t="s">
        <v>4627</v>
      </c>
      <c r="D2365" s="13" t="s">
        <v>10</v>
      </c>
      <c r="E2365" s="13" t="s">
        <v>57</v>
      </c>
      <c r="F2365" s="13">
        <v>2017.0</v>
      </c>
      <c r="G2365" s="13">
        <v>17438.0</v>
      </c>
      <c r="H2365" s="13">
        <v>1587.87</v>
      </c>
      <c r="I2365" s="13">
        <f>' car_sales_data 1'!$G2365*0.2</f>
        <v>3487.6</v>
      </c>
      <c r="J2365" s="13" t="str">
        <f>TEXT(' car_sales_data 1'!$A2365,"mmmm")</f>
        <v>June</v>
      </c>
      <c r="K2365" s="13" t="str">
        <f>IF(' car_sales_data 1'!$G2365&gt;40000,"Premium",
 IF(' car_sales_data 1'!$G2365&gt;=20000,"Mid Range","Budget"))</f>
        <v>Budget</v>
      </c>
      <c r="L2365" s="13">
        <f>YEAR(TODAY())-' car_sales_data 1'!$F2365</f>
        <v>8</v>
      </c>
    </row>
    <row r="2366" ht="15.75" customHeight="1">
      <c r="A2366" s="16">
        <v>45004.0</v>
      </c>
      <c r="B2366" s="13" t="s">
        <v>4628</v>
      </c>
      <c r="C2366" s="13" t="s">
        <v>4629</v>
      </c>
      <c r="D2366" s="13" t="s">
        <v>6</v>
      </c>
      <c r="E2366" s="13" t="s">
        <v>51</v>
      </c>
      <c r="F2366" s="13">
        <v>2010.0</v>
      </c>
      <c r="G2366" s="13">
        <v>13280.0</v>
      </c>
      <c r="H2366" s="13">
        <v>1275.54</v>
      </c>
      <c r="I2366" s="13">
        <f>' car_sales_data 1'!$G2366*0.2</f>
        <v>2656</v>
      </c>
      <c r="J2366" s="13" t="str">
        <f>TEXT(' car_sales_data 1'!$A2366,"mmmm")</f>
        <v>March</v>
      </c>
      <c r="K2366" s="13" t="str">
        <f>IF(' car_sales_data 1'!$G2366&gt;40000,"Premium",
 IF(' car_sales_data 1'!$G2366&gt;=20000,"Mid Range","Budget"))</f>
        <v>Budget</v>
      </c>
      <c r="L2366" s="13">
        <f>YEAR(TODAY())-' car_sales_data 1'!$F2366</f>
        <v>15</v>
      </c>
    </row>
    <row r="2367" ht="15.75" customHeight="1">
      <c r="A2367" s="16">
        <v>45013.0</v>
      </c>
      <c r="B2367" s="13" t="s">
        <v>4630</v>
      </c>
      <c r="C2367" s="13" t="s">
        <v>4631</v>
      </c>
      <c r="D2367" s="13" t="s">
        <v>10</v>
      </c>
      <c r="E2367" s="13" t="s">
        <v>54</v>
      </c>
      <c r="F2367" s="13">
        <v>2012.0</v>
      </c>
      <c r="G2367" s="13">
        <v>28649.0</v>
      </c>
      <c r="H2367" s="13">
        <v>1660.1</v>
      </c>
      <c r="I2367" s="13">
        <f>' car_sales_data 1'!$G2367*0.2</f>
        <v>5729.8</v>
      </c>
      <c r="J2367" s="13" t="str">
        <f>TEXT(' car_sales_data 1'!$A2367,"mmmm")</f>
        <v>March</v>
      </c>
      <c r="K2367" s="13" t="str">
        <f>IF(' car_sales_data 1'!$G2367&gt;40000,"Premium",
 IF(' car_sales_data 1'!$G2367&gt;=20000,"Mid Range","Budget"))</f>
        <v>Mid Range</v>
      </c>
      <c r="L2367" s="13">
        <f>YEAR(TODAY())-' car_sales_data 1'!$F2367</f>
        <v>13</v>
      </c>
    </row>
    <row r="2368" ht="15.75" customHeight="1">
      <c r="A2368" s="16">
        <v>44692.0</v>
      </c>
      <c r="B2368" s="13" t="s">
        <v>1819</v>
      </c>
      <c r="C2368" s="13" t="s">
        <v>4632</v>
      </c>
      <c r="D2368" s="13" t="s">
        <v>14</v>
      </c>
      <c r="E2368" s="13" t="s">
        <v>51</v>
      </c>
      <c r="F2368" s="13">
        <v>2012.0</v>
      </c>
      <c r="G2368" s="13">
        <v>36299.0</v>
      </c>
      <c r="H2368" s="13">
        <v>2247.97</v>
      </c>
      <c r="I2368" s="13">
        <f>' car_sales_data 1'!$G2368*0.2</f>
        <v>7259.8</v>
      </c>
      <c r="J2368" s="13" t="str">
        <f>TEXT(' car_sales_data 1'!$A2368,"mmmm")</f>
        <v>May</v>
      </c>
      <c r="K2368" s="13" t="str">
        <f>IF(' car_sales_data 1'!$G2368&gt;40000,"Premium",
 IF(' car_sales_data 1'!$G2368&gt;=20000,"Mid Range","Budget"))</f>
        <v>Mid Range</v>
      </c>
      <c r="L2368" s="13">
        <f>YEAR(TODAY())-' car_sales_data 1'!$F2368</f>
        <v>13</v>
      </c>
    </row>
    <row r="2369" ht="15.75" customHeight="1">
      <c r="A2369" s="16">
        <v>44868.0</v>
      </c>
      <c r="B2369" s="13" t="s">
        <v>4633</v>
      </c>
      <c r="C2369" s="13" t="s">
        <v>4634</v>
      </c>
      <c r="D2369" s="13" t="s">
        <v>10</v>
      </c>
      <c r="E2369" s="13" t="s">
        <v>62</v>
      </c>
      <c r="F2369" s="13">
        <v>2013.0</v>
      </c>
      <c r="G2369" s="13">
        <v>35002.0</v>
      </c>
      <c r="H2369" s="13">
        <v>3570.02</v>
      </c>
      <c r="I2369" s="13">
        <f>' car_sales_data 1'!$G2369*0.2</f>
        <v>7000.4</v>
      </c>
      <c r="J2369" s="13" t="str">
        <f>TEXT(' car_sales_data 1'!$A2369,"mmmm")</f>
        <v>November</v>
      </c>
      <c r="K2369" s="13" t="str">
        <f>IF(' car_sales_data 1'!$G2369&gt;40000,"Premium",
 IF(' car_sales_data 1'!$G2369&gt;=20000,"Mid Range","Budget"))</f>
        <v>Mid Range</v>
      </c>
      <c r="L2369" s="13">
        <f>YEAR(TODAY())-' car_sales_data 1'!$F2369</f>
        <v>12</v>
      </c>
    </row>
    <row r="2370" ht="15.75" customHeight="1">
      <c r="A2370" s="16">
        <v>44746.0</v>
      </c>
      <c r="B2370" s="13" t="s">
        <v>4635</v>
      </c>
      <c r="C2370" s="13" t="s">
        <v>4636</v>
      </c>
      <c r="D2370" s="13" t="s">
        <v>10</v>
      </c>
      <c r="E2370" s="13" t="s">
        <v>62</v>
      </c>
      <c r="F2370" s="13">
        <v>2021.0</v>
      </c>
      <c r="G2370" s="13">
        <v>19450.0</v>
      </c>
      <c r="H2370" s="13">
        <v>1713.85</v>
      </c>
      <c r="I2370" s="13">
        <f>' car_sales_data 1'!$G2370*0.2</f>
        <v>3890</v>
      </c>
      <c r="J2370" s="13" t="str">
        <f>TEXT(' car_sales_data 1'!$A2370,"mmmm")</f>
        <v>July</v>
      </c>
      <c r="K2370" s="13" t="str">
        <f>IF(' car_sales_data 1'!$G2370&gt;40000,"Premium",
 IF(' car_sales_data 1'!$G2370&gt;=20000,"Mid Range","Budget"))</f>
        <v>Budget</v>
      </c>
      <c r="L2370" s="13">
        <f>YEAR(TODAY())-' car_sales_data 1'!$F2370</f>
        <v>4</v>
      </c>
    </row>
    <row r="2371" ht="15.75" customHeight="1">
      <c r="A2371" s="16">
        <v>44973.0</v>
      </c>
      <c r="B2371" s="13" t="s">
        <v>4637</v>
      </c>
      <c r="C2371" s="13" t="s">
        <v>4638</v>
      </c>
      <c r="D2371" s="13" t="s">
        <v>10</v>
      </c>
      <c r="E2371" s="13" t="s">
        <v>54</v>
      </c>
      <c r="F2371" s="13">
        <v>2015.0</v>
      </c>
      <c r="G2371" s="13">
        <v>44621.0</v>
      </c>
      <c r="H2371" s="13">
        <v>3636.42</v>
      </c>
      <c r="I2371" s="13">
        <f>' car_sales_data 1'!$G2371*0.2</f>
        <v>8924.2</v>
      </c>
      <c r="J2371" s="13" t="str">
        <f>TEXT(' car_sales_data 1'!$A2371,"mmmm")</f>
        <v>February</v>
      </c>
      <c r="K2371" s="13" t="str">
        <f>IF(' car_sales_data 1'!$G2371&gt;40000,"Premium",
 IF(' car_sales_data 1'!$G2371&gt;=20000,"Mid Range","Budget"))</f>
        <v>Premium</v>
      </c>
      <c r="L2371" s="13">
        <f>YEAR(TODAY())-' car_sales_data 1'!$F2371</f>
        <v>10</v>
      </c>
    </row>
    <row r="2372" ht="15.75" customHeight="1">
      <c r="A2372" s="16">
        <v>44846.0</v>
      </c>
      <c r="B2372" s="13" t="s">
        <v>4639</v>
      </c>
      <c r="C2372" s="13" t="s">
        <v>4640</v>
      </c>
      <c r="D2372" s="13" t="s">
        <v>8</v>
      </c>
      <c r="E2372" s="13" t="s">
        <v>54</v>
      </c>
      <c r="F2372" s="13">
        <v>2011.0</v>
      </c>
      <c r="G2372" s="13">
        <v>40348.0</v>
      </c>
      <c r="H2372" s="13">
        <v>3243.43</v>
      </c>
      <c r="I2372" s="13">
        <f>' car_sales_data 1'!$G2372*0.2</f>
        <v>8069.6</v>
      </c>
      <c r="J2372" s="13" t="str">
        <f>TEXT(' car_sales_data 1'!$A2372,"mmmm")</f>
        <v>October</v>
      </c>
      <c r="K2372" s="13" t="str">
        <f>IF(' car_sales_data 1'!$G2372&gt;40000,"Premium",
 IF(' car_sales_data 1'!$G2372&gt;=20000,"Mid Range","Budget"))</f>
        <v>Premium</v>
      </c>
      <c r="L2372" s="13">
        <f>YEAR(TODAY())-' car_sales_data 1'!$F2372</f>
        <v>14</v>
      </c>
    </row>
    <row r="2373" ht="15.75" customHeight="1">
      <c r="A2373" s="16">
        <v>44852.0</v>
      </c>
      <c r="B2373" s="13" t="s">
        <v>4641</v>
      </c>
      <c r="C2373" s="13" t="s">
        <v>4642</v>
      </c>
      <c r="D2373" s="13" t="s">
        <v>8</v>
      </c>
      <c r="E2373" s="13" t="s">
        <v>70</v>
      </c>
      <c r="F2373" s="13">
        <v>2018.0</v>
      </c>
      <c r="G2373" s="13">
        <v>44465.0</v>
      </c>
      <c r="H2373" s="13">
        <v>4923.07</v>
      </c>
      <c r="I2373" s="13">
        <f>' car_sales_data 1'!$G2373*0.2</f>
        <v>8893</v>
      </c>
      <c r="J2373" s="13" t="str">
        <f>TEXT(' car_sales_data 1'!$A2373,"mmmm")</f>
        <v>October</v>
      </c>
      <c r="K2373" s="13" t="str">
        <f>IF(' car_sales_data 1'!$G2373&gt;40000,"Premium",
 IF(' car_sales_data 1'!$G2373&gt;=20000,"Mid Range","Budget"))</f>
        <v>Premium</v>
      </c>
      <c r="L2373" s="13">
        <f>YEAR(TODAY())-' car_sales_data 1'!$F2373</f>
        <v>7</v>
      </c>
    </row>
    <row r="2374" ht="15.75" customHeight="1">
      <c r="A2374" s="16">
        <v>44941.0</v>
      </c>
      <c r="B2374" s="13" t="s">
        <v>4643</v>
      </c>
      <c r="C2374" s="13" t="s">
        <v>4644</v>
      </c>
      <c r="D2374" s="13" t="s">
        <v>10</v>
      </c>
      <c r="E2374" s="13" t="s">
        <v>54</v>
      </c>
      <c r="F2374" s="13">
        <v>2016.0</v>
      </c>
      <c r="G2374" s="13">
        <v>36426.0</v>
      </c>
      <c r="H2374" s="13">
        <v>4034.4</v>
      </c>
      <c r="I2374" s="13">
        <f>' car_sales_data 1'!$G2374*0.2</f>
        <v>7285.2</v>
      </c>
      <c r="J2374" s="13" t="str">
        <f>TEXT(' car_sales_data 1'!$A2374,"mmmm")</f>
        <v>January</v>
      </c>
      <c r="K2374" s="13" t="str">
        <f>IF(' car_sales_data 1'!$G2374&gt;40000,"Premium",
 IF(' car_sales_data 1'!$G2374&gt;=20000,"Mid Range","Budget"))</f>
        <v>Mid Range</v>
      </c>
      <c r="L2374" s="13">
        <f>YEAR(TODAY())-' car_sales_data 1'!$F2374</f>
        <v>9</v>
      </c>
    </row>
    <row r="2375" ht="15.75" customHeight="1">
      <c r="A2375" s="16">
        <v>44692.0</v>
      </c>
      <c r="B2375" s="13" t="s">
        <v>4645</v>
      </c>
      <c r="C2375" s="13" t="s">
        <v>4646</v>
      </c>
      <c r="D2375" s="13" t="s">
        <v>14</v>
      </c>
      <c r="E2375" s="13" t="s">
        <v>62</v>
      </c>
      <c r="F2375" s="13">
        <v>2014.0</v>
      </c>
      <c r="G2375" s="13">
        <v>37761.0</v>
      </c>
      <c r="H2375" s="13">
        <v>3270.76</v>
      </c>
      <c r="I2375" s="13">
        <f>' car_sales_data 1'!$G2375*0.2</f>
        <v>7552.2</v>
      </c>
      <c r="J2375" s="13" t="str">
        <f>TEXT(' car_sales_data 1'!$A2375,"mmmm")</f>
        <v>May</v>
      </c>
      <c r="K2375" s="13" t="str">
        <f>IF(' car_sales_data 1'!$G2375&gt;40000,"Premium",
 IF(' car_sales_data 1'!$G2375&gt;=20000,"Mid Range","Budget"))</f>
        <v>Mid Range</v>
      </c>
      <c r="L2375" s="13">
        <f>YEAR(TODAY())-' car_sales_data 1'!$F2375</f>
        <v>11</v>
      </c>
    </row>
    <row r="2376" ht="15.75" customHeight="1">
      <c r="A2376" s="16">
        <v>44993.0</v>
      </c>
      <c r="B2376" s="13" t="s">
        <v>4647</v>
      </c>
      <c r="C2376" s="13" t="s">
        <v>4648</v>
      </c>
      <c r="D2376" s="13" t="s">
        <v>12</v>
      </c>
      <c r="E2376" s="13" t="s">
        <v>70</v>
      </c>
      <c r="F2376" s="13">
        <v>2013.0</v>
      </c>
      <c r="G2376" s="13">
        <v>31168.0</v>
      </c>
      <c r="H2376" s="13">
        <v>3488.87</v>
      </c>
      <c r="I2376" s="13">
        <f>' car_sales_data 1'!$G2376*0.2</f>
        <v>6233.6</v>
      </c>
      <c r="J2376" s="13" t="str">
        <f>TEXT(' car_sales_data 1'!$A2376,"mmmm")</f>
        <v>March</v>
      </c>
      <c r="K2376" s="13" t="str">
        <f>IF(' car_sales_data 1'!$G2376&gt;40000,"Premium",
 IF(' car_sales_data 1'!$G2376&gt;=20000,"Mid Range","Budget"))</f>
        <v>Mid Range</v>
      </c>
      <c r="L2376" s="13">
        <f>YEAR(TODAY())-' car_sales_data 1'!$F2376</f>
        <v>12</v>
      </c>
    </row>
    <row r="2377" ht="15.75" customHeight="1">
      <c r="A2377" s="16">
        <v>44873.0</v>
      </c>
      <c r="B2377" s="13" t="s">
        <v>4649</v>
      </c>
      <c r="C2377" s="13" t="s">
        <v>4650</v>
      </c>
      <c r="D2377" s="13" t="s">
        <v>8</v>
      </c>
      <c r="E2377" s="13" t="s">
        <v>70</v>
      </c>
      <c r="F2377" s="13">
        <v>2020.0</v>
      </c>
      <c r="G2377" s="13">
        <v>36198.0</v>
      </c>
      <c r="H2377" s="13">
        <v>4229.14</v>
      </c>
      <c r="I2377" s="13">
        <f>' car_sales_data 1'!$G2377*0.2</f>
        <v>7239.6</v>
      </c>
      <c r="J2377" s="13" t="str">
        <f>TEXT(' car_sales_data 1'!$A2377,"mmmm")</f>
        <v>November</v>
      </c>
      <c r="K2377" s="13" t="str">
        <f>IF(' car_sales_data 1'!$G2377&gt;40000,"Premium",
 IF(' car_sales_data 1'!$G2377&gt;=20000,"Mid Range","Budget"))</f>
        <v>Mid Range</v>
      </c>
      <c r="L2377" s="13">
        <f>YEAR(TODAY())-' car_sales_data 1'!$F2377</f>
        <v>5</v>
      </c>
    </row>
    <row r="2378" ht="15.75" customHeight="1">
      <c r="A2378" s="16">
        <v>44919.0</v>
      </c>
      <c r="B2378" s="13" t="s">
        <v>4651</v>
      </c>
      <c r="C2378" s="13" t="s">
        <v>1933</v>
      </c>
      <c r="D2378" s="13" t="s">
        <v>12</v>
      </c>
      <c r="E2378" s="13" t="s">
        <v>54</v>
      </c>
      <c r="F2378" s="13">
        <v>2019.0</v>
      </c>
      <c r="G2378" s="13">
        <v>22497.0</v>
      </c>
      <c r="H2378" s="13">
        <v>1444.31</v>
      </c>
      <c r="I2378" s="13">
        <f>' car_sales_data 1'!$G2378*0.2</f>
        <v>4499.4</v>
      </c>
      <c r="J2378" s="13" t="str">
        <f>TEXT(' car_sales_data 1'!$A2378,"mmmm")</f>
        <v>December</v>
      </c>
      <c r="K2378" s="13" t="str">
        <f>IF(' car_sales_data 1'!$G2378&gt;40000,"Premium",
 IF(' car_sales_data 1'!$G2378&gt;=20000,"Mid Range","Budget"))</f>
        <v>Mid Range</v>
      </c>
      <c r="L2378" s="13">
        <f>YEAR(TODAY())-' car_sales_data 1'!$F2378</f>
        <v>6</v>
      </c>
    </row>
    <row r="2379" ht="15.75" customHeight="1">
      <c r="A2379" s="16">
        <v>44828.0</v>
      </c>
      <c r="B2379" s="13" t="s">
        <v>4652</v>
      </c>
      <c r="C2379" s="13" t="s">
        <v>4653</v>
      </c>
      <c r="D2379" s="13" t="s">
        <v>14</v>
      </c>
      <c r="E2379" s="13" t="s">
        <v>57</v>
      </c>
      <c r="F2379" s="13">
        <v>2021.0</v>
      </c>
      <c r="G2379" s="13">
        <v>43083.0</v>
      </c>
      <c r="H2379" s="13">
        <v>5607.26</v>
      </c>
      <c r="I2379" s="13">
        <f>' car_sales_data 1'!$G2379*0.2</f>
        <v>8616.6</v>
      </c>
      <c r="J2379" s="13" t="str">
        <f>TEXT(' car_sales_data 1'!$A2379,"mmmm")</f>
        <v>September</v>
      </c>
      <c r="K2379" s="13" t="str">
        <f>IF(' car_sales_data 1'!$G2379&gt;40000,"Premium",
 IF(' car_sales_data 1'!$G2379&gt;=20000,"Mid Range","Budget"))</f>
        <v>Premium</v>
      </c>
      <c r="L2379" s="13">
        <f>YEAR(TODAY())-' car_sales_data 1'!$F2379</f>
        <v>4</v>
      </c>
    </row>
    <row r="2380" ht="15.75" customHeight="1">
      <c r="A2380" s="16">
        <v>44844.0</v>
      </c>
      <c r="B2380" s="13" t="s">
        <v>4654</v>
      </c>
      <c r="C2380" s="13" t="s">
        <v>4655</v>
      </c>
      <c r="D2380" s="13" t="s">
        <v>10</v>
      </c>
      <c r="E2380" s="13" t="s">
        <v>70</v>
      </c>
      <c r="F2380" s="13">
        <v>2021.0</v>
      </c>
      <c r="G2380" s="13">
        <v>11893.0</v>
      </c>
      <c r="H2380" s="13">
        <v>1313.85</v>
      </c>
      <c r="I2380" s="13">
        <f>' car_sales_data 1'!$G2380*0.2</f>
        <v>2378.6</v>
      </c>
      <c r="J2380" s="13" t="str">
        <f>TEXT(' car_sales_data 1'!$A2380,"mmmm")</f>
        <v>October</v>
      </c>
      <c r="K2380" s="13" t="str">
        <f>IF(' car_sales_data 1'!$G2380&gt;40000,"Premium",
 IF(' car_sales_data 1'!$G2380&gt;=20000,"Mid Range","Budget"))</f>
        <v>Budget</v>
      </c>
      <c r="L2380" s="13">
        <f>YEAR(TODAY())-' car_sales_data 1'!$F2380</f>
        <v>4</v>
      </c>
    </row>
    <row r="2381" ht="15.75" customHeight="1">
      <c r="A2381" s="16">
        <v>44920.0</v>
      </c>
      <c r="B2381" s="13" t="s">
        <v>4656</v>
      </c>
      <c r="C2381" s="13" t="s">
        <v>4657</v>
      </c>
      <c r="D2381" s="13" t="s">
        <v>12</v>
      </c>
      <c r="E2381" s="13" t="s">
        <v>70</v>
      </c>
      <c r="F2381" s="13">
        <v>2019.0</v>
      </c>
      <c r="G2381" s="13">
        <v>12558.0</v>
      </c>
      <c r="H2381" s="13">
        <v>745.43</v>
      </c>
      <c r="I2381" s="13">
        <f>' car_sales_data 1'!$G2381*0.2</f>
        <v>2511.6</v>
      </c>
      <c r="J2381" s="13" t="str">
        <f>TEXT(' car_sales_data 1'!$A2381,"mmmm")</f>
        <v>December</v>
      </c>
      <c r="K2381" s="13" t="str">
        <f>IF(' car_sales_data 1'!$G2381&gt;40000,"Premium",
 IF(' car_sales_data 1'!$G2381&gt;=20000,"Mid Range","Budget"))</f>
        <v>Budget</v>
      </c>
      <c r="L2381" s="13">
        <f>YEAR(TODAY())-' car_sales_data 1'!$F2381</f>
        <v>6</v>
      </c>
    </row>
    <row r="2382" ht="15.75" customHeight="1">
      <c r="A2382" s="16">
        <v>44713.0</v>
      </c>
      <c r="B2382" s="13" t="s">
        <v>4658</v>
      </c>
      <c r="C2382" s="13" t="s">
        <v>4659</v>
      </c>
      <c r="D2382" s="13" t="s">
        <v>10</v>
      </c>
      <c r="E2382" s="13" t="s">
        <v>54</v>
      </c>
      <c r="F2382" s="13">
        <v>2011.0</v>
      </c>
      <c r="G2382" s="13">
        <v>44744.0</v>
      </c>
      <c r="H2382" s="13">
        <v>6082.75</v>
      </c>
      <c r="I2382" s="13">
        <f>' car_sales_data 1'!$G2382*0.2</f>
        <v>8948.8</v>
      </c>
      <c r="J2382" s="13" t="str">
        <f>TEXT(' car_sales_data 1'!$A2382,"mmmm")</f>
        <v>June</v>
      </c>
      <c r="K2382" s="13" t="str">
        <f>IF(' car_sales_data 1'!$G2382&gt;40000,"Premium",
 IF(' car_sales_data 1'!$G2382&gt;=20000,"Mid Range","Budget"))</f>
        <v>Premium</v>
      </c>
      <c r="L2382" s="13">
        <f>YEAR(TODAY())-' car_sales_data 1'!$F2382</f>
        <v>14</v>
      </c>
    </row>
    <row r="2383" ht="15.75" customHeight="1">
      <c r="A2383" s="16">
        <v>44942.0</v>
      </c>
      <c r="B2383" s="13" t="s">
        <v>4660</v>
      </c>
      <c r="C2383" s="13" t="s">
        <v>4661</v>
      </c>
      <c r="D2383" s="13" t="s">
        <v>10</v>
      </c>
      <c r="E2383" s="13" t="s">
        <v>62</v>
      </c>
      <c r="F2383" s="13">
        <v>2021.0</v>
      </c>
      <c r="G2383" s="13">
        <v>19460.0</v>
      </c>
      <c r="H2383" s="13">
        <v>2208.76</v>
      </c>
      <c r="I2383" s="13">
        <f>' car_sales_data 1'!$G2383*0.2</f>
        <v>3892</v>
      </c>
      <c r="J2383" s="13" t="str">
        <f>TEXT(' car_sales_data 1'!$A2383,"mmmm")</f>
        <v>January</v>
      </c>
      <c r="K2383" s="13" t="str">
        <f>IF(' car_sales_data 1'!$G2383&gt;40000,"Premium",
 IF(' car_sales_data 1'!$G2383&gt;=20000,"Mid Range","Budget"))</f>
        <v>Budget</v>
      </c>
      <c r="L2383" s="13">
        <f>YEAR(TODAY())-' car_sales_data 1'!$F2383</f>
        <v>4</v>
      </c>
    </row>
    <row r="2384" ht="15.75" customHeight="1">
      <c r="A2384" s="16">
        <v>44711.0</v>
      </c>
      <c r="B2384" s="13" t="s">
        <v>4662</v>
      </c>
      <c r="C2384" s="13" t="s">
        <v>4663</v>
      </c>
      <c r="D2384" s="13" t="s">
        <v>6</v>
      </c>
      <c r="E2384" s="13" t="s">
        <v>70</v>
      </c>
      <c r="F2384" s="13">
        <v>2015.0</v>
      </c>
      <c r="G2384" s="13">
        <v>22959.0</v>
      </c>
      <c r="H2384" s="13">
        <v>3039.19</v>
      </c>
      <c r="I2384" s="13">
        <f>' car_sales_data 1'!$G2384*0.2</f>
        <v>4591.8</v>
      </c>
      <c r="J2384" s="13" t="str">
        <f>TEXT(' car_sales_data 1'!$A2384,"mmmm")</f>
        <v>May</v>
      </c>
      <c r="K2384" s="13" t="str">
        <f>IF(' car_sales_data 1'!$G2384&gt;40000,"Premium",
 IF(' car_sales_data 1'!$G2384&gt;=20000,"Mid Range","Budget"))</f>
        <v>Mid Range</v>
      </c>
      <c r="L2384" s="13">
        <f>YEAR(TODAY())-' car_sales_data 1'!$F2384</f>
        <v>10</v>
      </c>
    </row>
    <row r="2385" ht="15.75" customHeight="1">
      <c r="A2385" s="16">
        <v>44841.0</v>
      </c>
      <c r="B2385" s="13" t="s">
        <v>4664</v>
      </c>
      <c r="C2385" s="13" t="s">
        <v>4665</v>
      </c>
      <c r="D2385" s="13" t="s">
        <v>8</v>
      </c>
      <c r="E2385" s="13" t="s">
        <v>62</v>
      </c>
      <c r="F2385" s="13">
        <v>2014.0</v>
      </c>
      <c r="G2385" s="13">
        <v>44244.0</v>
      </c>
      <c r="H2385" s="13">
        <v>3980.95</v>
      </c>
      <c r="I2385" s="13">
        <f>' car_sales_data 1'!$G2385*0.2</f>
        <v>8848.8</v>
      </c>
      <c r="J2385" s="13" t="str">
        <f>TEXT(' car_sales_data 1'!$A2385,"mmmm")</f>
        <v>October</v>
      </c>
      <c r="K2385" s="13" t="str">
        <f>IF(' car_sales_data 1'!$G2385&gt;40000,"Premium",
 IF(' car_sales_data 1'!$G2385&gt;=20000,"Mid Range","Budget"))</f>
        <v>Premium</v>
      </c>
      <c r="L2385" s="13">
        <f>YEAR(TODAY())-' car_sales_data 1'!$F2385</f>
        <v>11</v>
      </c>
    </row>
    <row r="2386" ht="15.75" customHeight="1">
      <c r="A2386" s="16">
        <v>44932.0</v>
      </c>
      <c r="B2386" s="13" t="s">
        <v>4666</v>
      </c>
      <c r="C2386" s="13" t="s">
        <v>131</v>
      </c>
      <c r="D2386" s="13" t="s">
        <v>6</v>
      </c>
      <c r="E2386" s="13" t="s">
        <v>57</v>
      </c>
      <c r="F2386" s="13">
        <v>2022.0</v>
      </c>
      <c r="G2386" s="13">
        <v>48027.0</v>
      </c>
      <c r="H2386" s="13">
        <v>4480.66</v>
      </c>
      <c r="I2386" s="13">
        <f>' car_sales_data 1'!$G2386*0.2</f>
        <v>9605.4</v>
      </c>
      <c r="J2386" s="13" t="str">
        <f>TEXT(' car_sales_data 1'!$A2386,"mmmm")</f>
        <v>January</v>
      </c>
      <c r="K2386" s="13" t="str">
        <f>IF(' car_sales_data 1'!$G2386&gt;40000,"Premium",
 IF(' car_sales_data 1'!$G2386&gt;=20000,"Mid Range","Budget"))</f>
        <v>Premium</v>
      </c>
      <c r="L2386" s="13">
        <f>YEAR(TODAY())-' car_sales_data 1'!$F2386</f>
        <v>3</v>
      </c>
    </row>
    <row r="2387" ht="15.75" customHeight="1">
      <c r="A2387" s="16">
        <v>44862.0</v>
      </c>
      <c r="B2387" s="13" t="s">
        <v>122</v>
      </c>
      <c r="C2387" s="13" t="s">
        <v>4667</v>
      </c>
      <c r="D2387" s="13" t="s">
        <v>10</v>
      </c>
      <c r="E2387" s="13" t="s">
        <v>54</v>
      </c>
      <c r="F2387" s="13">
        <v>2017.0</v>
      </c>
      <c r="G2387" s="13">
        <v>32892.0</v>
      </c>
      <c r="H2387" s="13">
        <v>3422.66</v>
      </c>
      <c r="I2387" s="13">
        <f>' car_sales_data 1'!$G2387*0.2</f>
        <v>6578.4</v>
      </c>
      <c r="J2387" s="13" t="str">
        <f>TEXT(' car_sales_data 1'!$A2387,"mmmm")</f>
        <v>October</v>
      </c>
      <c r="K2387" s="13" t="str">
        <f>IF(' car_sales_data 1'!$G2387&gt;40000,"Premium",
 IF(' car_sales_data 1'!$G2387&gt;=20000,"Mid Range","Budget"))</f>
        <v>Mid Range</v>
      </c>
      <c r="L2387" s="13">
        <f>YEAR(TODAY())-' car_sales_data 1'!$F2387</f>
        <v>8</v>
      </c>
    </row>
    <row r="2388" ht="15.75" customHeight="1">
      <c r="A2388" s="16">
        <v>44811.0</v>
      </c>
      <c r="B2388" s="13" t="s">
        <v>4668</v>
      </c>
      <c r="C2388" s="13" t="s">
        <v>4669</v>
      </c>
      <c r="D2388" s="13" t="s">
        <v>10</v>
      </c>
      <c r="E2388" s="13" t="s">
        <v>54</v>
      </c>
      <c r="F2388" s="13">
        <v>2014.0</v>
      </c>
      <c r="G2388" s="13">
        <v>47452.0</v>
      </c>
      <c r="H2388" s="13">
        <v>7056.74</v>
      </c>
      <c r="I2388" s="13">
        <f>' car_sales_data 1'!$G2388*0.2</f>
        <v>9490.4</v>
      </c>
      <c r="J2388" s="13" t="str">
        <f>TEXT(' car_sales_data 1'!$A2388,"mmmm")</f>
        <v>September</v>
      </c>
      <c r="K2388" s="13" t="str">
        <f>IF(' car_sales_data 1'!$G2388&gt;40000,"Premium",
 IF(' car_sales_data 1'!$G2388&gt;=20000,"Mid Range","Budget"))</f>
        <v>Premium</v>
      </c>
      <c r="L2388" s="13">
        <f>YEAR(TODAY())-' car_sales_data 1'!$F2388</f>
        <v>11</v>
      </c>
    </row>
    <row r="2389" ht="15.75" customHeight="1">
      <c r="A2389" s="16">
        <v>45016.0</v>
      </c>
      <c r="B2389" s="13" t="s">
        <v>4670</v>
      </c>
      <c r="C2389" s="13" t="s">
        <v>4671</v>
      </c>
      <c r="D2389" s="13" t="s">
        <v>14</v>
      </c>
      <c r="E2389" s="13" t="s">
        <v>62</v>
      </c>
      <c r="F2389" s="13">
        <v>2022.0</v>
      </c>
      <c r="G2389" s="13">
        <v>16339.0</v>
      </c>
      <c r="H2389" s="13">
        <v>834.06</v>
      </c>
      <c r="I2389" s="13">
        <f>' car_sales_data 1'!$G2389*0.2</f>
        <v>3267.8</v>
      </c>
      <c r="J2389" s="13" t="str">
        <f>TEXT(' car_sales_data 1'!$A2389,"mmmm")</f>
        <v>March</v>
      </c>
      <c r="K2389" s="13" t="str">
        <f>IF(' car_sales_data 1'!$G2389&gt;40000,"Premium",
 IF(' car_sales_data 1'!$G2389&gt;=20000,"Mid Range","Budget"))</f>
        <v>Budget</v>
      </c>
      <c r="L2389" s="13">
        <f>YEAR(TODAY())-' car_sales_data 1'!$F2389</f>
        <v>3</v>
      </c>
    </row>
    <row r="2390" ht="15.75" customHeight="1">
      <c r="A2390" s="16">
        <v>44860.0</v>
      </c>
      <c r="B2390" s="13" t="s">
        <v>4672</v>
      </c>
      <c r="C2390" s="13" t="s">
        <v>4673</v>
      </c>
      <c r="D2390" s="13" t="s">
        <v>14</v>
      </c>
      <c r="E2390" s="13" t="s">
        <v>62</v>
      </c>
      <c r="F2390" s="13">
        <v>2010.0</v>
      </c>
      <c r="G2390" s="13">
        <v>19084.0</v>
      </c>
      <c r="H2390" s="13">
        <v>2780.2</v>
      </c>
      <c r="I2390" s="13">
        <f>' car_sales_data 1'!$G2390*0.2</f>
        <v>3816.8</v>
      </c>
      <c r="J2390" s="13" t="str">
        <f>TEXT(' car_sales_data 1'!$A2390,"mmmm")</f>
        <v>October</v>
      </c>
      <c r="K2390" s="13" t="str">
        <f>IF(' car_sales_data 1'!$G2390&gt;40000,"Premium",
 IF(' car_sales_data 1'!$G2390&gt;=20000,"Mid Range","Budget"))</f>
        <v>Budget</v>
      </c>
      <c r="L2390" s="13">
        <f>YEAR(TODAY())-' car_sales_data 1'!$F2390</f>
        <v>15</v>
      </c>
    </row>
    <row r="2391" ht="15.75" customHeight="1">
      <c r="A2391" s="16">
        <v>44923.0</v>
      </c>
      <c r="B2391" s="13" t="s">
        <v>4674</v>
      </c>
      <c r="C2391" s="13" t="s">
        <v>4675</v>
      </c>
      <c r="D2391" s="13" t="s">
        <v>14</v>
      </c>
      <c r="E2391" s="13" t="s">
        <v>54</v>
      </c>
      <c r="F2391" s="13">
        <v>2018.0</v>
      </c>
      <c r="G2391" s="13">
        <v>46873.0</v>
      </c>
      <c r="H2391" s="13">
        <v>3173.9</v>
      </c>
      <c r="I2391" s="13">
        <f>' car_sales_data 1'!$G2391*0.2</f>
        <v>9374.6</v>
      </c>
      <c r="J2391" s="13" t="str">
        <f>TEXT(' car_sales_data 1'!$A2391,"mmmm")</f>
        <v>December</v>
      </c>
      <c r="K2391" s="13" t="str">
        <f>IF(' car_sales_data 1'!$G2391&gt;40000,"Premium",
 IF(' car_sales_data 1'!$G2391&gt;=20000,"Mid Range","Budget"))</f>
        <v>Premium</v>
      </c>
      <c r="L2391" s="13">
        <f>YEAR(TODAY())-' car_sales_data 1'!$F2391</f>
        <v>7</v>
      </c>
    </row>
    <row r="2392" ht="15.75" customHeight="1">
      <c r="A2392" s="16">
        <v>44793.0</v>
      </c>
      <c r="B2392" s="13" t="s">
        <v>4676</v>
      </c>
      <c r="C2392" s="13" t="s">
        <v>4677</v>
      </c>
      <c r="D2392" s="13" t="s">
        <v>8</v>
      </c>
      <c r="E2392" s="13" t="s">
        <v>62</v>
      </c>
      <c r="F2392" s="13">
        <v>2010.0</v>
      </c>
      <c r="G2392" s="13">
        <v>46937.0</v>
      </c>
      <c r="H2392" s="13">
        <v>4529.17</v>
      </c>
      <c r="I2392" s="13">
        <f>' car_sales_data 1'!$G2392*0.2</f>
        <v>9387.4</v>
      </c>
      <c r="J2392" s="13" t="str">
        <f>TEXT(' car_sales_data 1'!$A2392,"mmmm")</f>
        <v>August</v>
      </c>
      <c r="K2392" s="13" t="str">
        <f>IF(' car_sales_data 1'!$G2392&gt;40000,"Premium",
 IF(' car_sales_data 1'!$G2392&gt;=20000,"Mid Range","Budget"))</f>
        <v>Premium</v>
      </c>
      <c r="L2392" s="13">
        <f>YEAR(TODAY())-' car_sales_data 1'!$F2392</f>
        <v>15</v>
      </c>
    </row>
    <row r="2393" ht="15.75" customHeight="1">
      <c r="A2393" s="16">
        <v>44974.0</v>
      </c>
      <c r="B2393" s="13" t="s">
        <v>4678</v>
      </c>
      <c r="C2393" s="13" t="s">
        <v>4679</v>
      </c>
      <c r="D2393" s="13" t="s">
        <v>12</v>
      </c>
      <c r="E2393" s="13" t="s">
        <v>62</v>
      </c>
      <c r="F2393" s="13">
        <v>2012.0</v>
      </c>
      <c r="G2393" s="13">
        <v>26907.0</v>
      </c>
      <c r="H2393" s="13">
        <v>2507.86</v>
      </c>
      <c r="I2393" s="13">
        <f>' car_sales_data 1'!$G2393*0.2</f>
        <v>5381.4</v>
      </c>
      <c r="J2393" s="13" t="str">
        <f>TEXT(' car_sales_data 1'!$A2393,"mmmm")</f>
        <v>February</v>
      </c>
      <c r="K2393" s="13" t="str">
        <f>IF(' car_sales_data 1'!$G2393&gt;40000,"Premium",
 IF(' car_sales_data 1'!$G2393&gt;=20000,"Mid Range","Budget"))</f>
        <v>Mid Range</v>
      </c>
      <c r="L2393" s="13">
        <f>YEAR(TODAY())-' car_sales_data 1'!$F2393</f>
        <v>13</v>
      </c>
    </row>
    <row r="2394" ht="15.75" customHeight="1">
      <c r="A2394" s="16">
        <v>44884.0</v>
      </c>
      <c r="B2394" s="13" t="s">
        <v>4680</v>
      </c>
      <c r="C2394" s="13" t="s">
        <v>4681</v>
      </c>
      <c r="D2394" s="13" t="s">
        <v>8</v>
      </c>
      <c r="E2394" s="13" t="s">
        <v>51</v>
      </c>
      <c r="F2394" s="13">
        <v>2017.0</v>
      </c>
      <c r="G2394" s="13">
        <v>13356.0</v>
      </c>
      <c r="H2394" s="13">
        <v>824.05</v>
      </c>
      <c r="I2394" s="13">
        <f>' car_sales_data 1'!$G2394*0.2</f>
        <v>2671.2</v>
      </c>
      <c r="J2394" s="13" t="str">
        <f>TEXT(' car_sales_data 1'!$A2394,"mmmm")</f>
        <v>November</v>
      </c>
      <c r="K2394" s="13" t="str">
        <f>IF(' car_sales_data 1'!$G2394&gt;40000,"Premium",
 IF(' car_sales_data 1'!$G2394&gt;=20000,"Mid Range","Budget"))</f>
        <v>Budget</v>
      </c>
      <c r="L2394" s="13">
        <f>YEAR(TODAY())-' car_sales_data 1'!$F2394</f>
        <v>8</v>
      </c>
    </row>
    <row r="2395" ht="15.75" customHeight="1">
      <c r="A2395" s="16">
        <v>44913.0</v>
      </c>
      <c r="B2395" s="13" t="s">
        <v>2751</v>
      </c>
      <c r="C2395" s="13" t="s">
        <v>4682</v>
      </c>
      <c r="D2395" s="13" t="s">
        <v>14</v>
      </c>
      <c r="E2395" s="13" t="s">
        <v>54</v>
      </c>
      <c r="F2395" s="13">
        <v>2012.0</v>
      </c>
      <c r="G2395" s="13">
        <v>43383.0</v>
      </c>
      <c r="H2395" s="13">
        <v>3997.32</v>
      </c>
      <c r="I2395" s="13">
        <f>' car_sales_data 1'!$G2395*0.2</f>
        <v>8676.6</v>
      </c>
      <c r="J2395" s="13" t="str">
        <f>TEXT(' car_sales_data 1'!$A2395,"mmmm")</f>
        <v>December</v>
      </c>
      <c r="K2395" s="13" t="str">
        <f>IF(' car_sales_data 1'!$G2395&gt;40000,"Premium",
 IF(' car_sales_data 1'!$G2395&gt;=20000,"Mid Range","Budget"))</f>
        <v>Premium</v>
      </c>
      <c r="L2395" s="13">
        <f>YEAR(TODAY())-' car_sales_data 1'!$F2395</f>
        <v>13</v>
      </c>
    </row>
    <row r="2396" ht="15.75" customHeight="1">
      <c r="A2396" s="16">
        <v>44900.0</v>
      </c>
      <c r="B2396" s="13" t="s">
        <v>4683</v>
      </c>
      <c r="C2396" s="13" t="s">
        <v>4684</v>
      </c>
      <c r="D2396" s="13" t="s">
        <v>14</v>
      </c>
      <c r="E2396" s="13" t="s">
        <v>51</v>
      </c>
      <c r="F2396" s="13">
        <v>2011.0</v>
      </c>
      <c r="G2396" s="13">
        <v>32685.0</v>
      </c>
      <c r="H2396" s="13">
        <v>3675.49</v>
      </c>
      <c r="I2396" s="13">
        <f>' car_sales_data 1'!$G2396*0.2</f>
        <v>6537</v>
      </c>
      <c r="J2396" s="13" t="str">
        <f>TEXT(' car_sales_data 1'!$A2396,"mmmm")</f>
        <v>December</v>
      </c>
      <c r="K2396" s="13" t="str">
        <f>IF(' car_sales_data 1'!$G2396&gt;40000,"Premium",
 IF(' car_sales_data 1'!$G2396&gt;=20000,"Mid Range","Budget"))</f>
        <v>Mid Range</v>
      </c>
      <c r="L2396" s="13">
        <f>YEAR(TODAY())-' car_sales_data 1'!$F2396</f>
        <v>14</v>
      </c>
    </row>
    <row r="2397" ht="15.75" customHeight="1">
      <c r="A2397" s="16">
        <v>44867.0</v>
      </c>
      <c r="B2397" s="13" t="s">
        <v>1951</v>
      </c>
      <c r="C2397" s="13" t="s">
        <v>4685</v>
      </c>
      <c r="D2397" s="13" t="s">
        <v>10</v>
      </c>
      <c r="E2397" s="13" t="s">
        <v>57</v>
      </c>
      <c r="F2397" s="13">
        <v>2018.0</v>
      </c>
      <c r="G2397" s="13">
        <v>41835.0</v>
      </c>
      <c r="H2397" s="13">
        <v>6003.62</v>
      </c>
      <c r="I2397" s="13">
        <f>' car_sales_data 1'!$G2397*0.2</f>
        <v>8367</v>
      </c>
      <c r="J2397" s="13" t="str">
        <f>TEXT(' car_sales_data 1'!$A2397,"mmmm")</f>
        <v>November</v>
      </c>
      <c r="K2397" s="13" t="str">
        <f>IF(' car_sales_data 1'!$G2397&gt;40000,"Premium",
 IF(' car_sales_data 1'!$G2397&gt;=20000,"Mid Range","Budget"))</f>
        <v>Premium</v>
      </c>
      <c r="L2397" s="13">
        <f>YEAR(TODAY())-' car_sales_data 1'!$F2397</f>
        <v>7</v>
      </c>
    </row>
    <row r="2398" ht="15.75" customHeight="1">
      <c r="A2398" s="16">
        <v>44953.0</v>
      </c>
      <c r="B2398" s="13" t="s">
        <v>4686</v>
      </c>
      <c r="C2398" s="13" t="s">
        <v>3523</v>
      </c>
      <c r="D2398" s="13" t="s">
        <v>14</v>
      </c>
      <c r="E2398" s="13" t="s">
        <v>70</v>
      </c>
      <c r="F2398" s="13">
        <v>2020.0</v>
      </c>
      <c r="G2398" s="13">
        <v>15716.0</v>
      </c>
      <c r="H2398" s="13">
        <v>2336.23</v>
      </c>
      <c r="I2398" s="13">
        <f>' car_sales_data 1'!$G2398*0.2</f>
        <v>3143.2</v>
      </c>
      <c r="J2398" s="13" t="str">
        <f>TEXT(' car_sales_data 1'!$A2398,"mmmm")</f>
        <v>January</v>
      </c>
      <c r="K2398" s="13" t="str">
        <f>IF(' car_sales_data 1'!$G2398&gt;40000,"Premium",
 IF(' car_sales_data 1'!$G2398&gt;=20000,"Mid Range","Budget"))</f>
        <v>Budget</v>
      </c>
      <c r="L2398" s="13">
        <f>YEAR(TODAY())-' car_sales_data 1'!$F2398</f>
        <v>5</v>
      </c>
    </row>
    <row r="2399" ht="15.75" customHeight="1">
      <c r="A2399" s="16">
        <v>44848.0</v>
      </c>
      <c r="B2399" s="13" t="s">
        <v>4687</v>
      </c>
      <c r="C2399" s="13" t="s">
        <v>4688</v>
      </c>
      <c r="D2399" s="13" t="s">
        <v>12</v>
      </c>
      <c r="E2399" s="13" t="s">
        <v>62</v>
      </c>
      <c r="F2399" s="13">
        <v>2019.0</v>
      </c>
      <c r="G2399" s="13">
        <v>25710.0</v>
      </c>
      <c r="H2399" s="13">
        <v>2465.18</v>
      </c>
      <c r="I2399" s="13">
        <f>' car_sales_data 1'!$G2399*0.2</f>
        <v>5142</v>
      </c>
      <c r="J2399" s="13" t="str">
        <f>TEXT(' car_sales_data 1'!$A2399,"mmmm")</f>
        <v>October</v>
      </c>
      <c r="K2399" s="13" t="str">
        <f>IF(' car_sales_data 1'!$G2399&gt;40000,"Premium",
 IF(' car_sales_data 1'!$G2399&gt;=20000,"Mid Range","Budget"))</f>
        <v>Mid Range</v>
      </c>
      <c r="L2399" s="13">
        <f>YEAR(TODAY())-' car_sales_data 1'!$F2399</f>
        <v>6</v>
      </c>
    </row>
    <row r="2400" ht="15.75" customHeight="1">
      <c r="A2400" s="16">
        <v>44816.0</v>
      </c>
      <c r="B2400" s="13" t="s">
        <v>2905</v>
      </c>
      <c r="C2400" s="13" t="s">
        <v>4689</v>
      </c>
      <c r="D2400" s="13" t="s">
        <v>12</v>
      </c>
      <c r="E2400" s="13" t="s">
        <v>57</v>
      </c>
      <c r="F2400" s="13">
        <v>2022.0</v>
      </c>
      <c r="G2400" s="13">
        <v>15805.0</v>
      </c>
      <c r="H2400" s="13">
        <v>1449.74</v>
      </c>
      <c r="I2400" s="13">
        <f>' car_sales_data 1'!$G2400*0.2</f>
        <v>3161</v>
      </c>
      <c r="J2400" s="13" t="str">
        <f>TEXT(' car_sales_data 1'!$A2400,"mmmm")</f>
        <v>September</v>
      </c>
      <c r="K2400" s="13" t="str">
        <f>IF(' car_sales_data 1'!$G2400&gt;40000,"Premium",
 IF(' car_sales_data 1'!$G2400&gt;=20000,"Mid Range","Budget"))</f>
        <v>Budget</v>
      </c>
      <c r="L2400" s="13">
        <f>YEAR(TODAY())-' car_sales_data 1'!$F2400</f>
        <v>3</v>
      </c>
    </row>
    <row r="2401" ht="15.75" customHeight="1">
      <c r="A2401" s="16">
        <v>44945.0</v>
      </c>
      <c r="B2401" s="13" t="s">
        <v>4690</v>
      </c>
      <c r="C2401" s="13" t="s">
        <v>3081</v>
      </c>
      <c r="D2401" s="13" t="s">
        <v>6</v>
      </c>
      <c r="E2401" s="13" t="s">
        <v>62</v>
      </c>
      <c r="F2401" s="13">
        <v>2016.0</v>
      </c>
      <c r="G2401" s="13">
        <v>30214.0</v>
      </c>
      <c r="H2401" s="13">
        <v>2604.92</v>
      </c>
      <c r="I2401" s="13">
        <f>' car_sales_data 1'!$G2401*0.2</f>
        <v>6042.8</v>
      </c>
      <c r="J2401" s="13" t="str">
        <f>TEXT(' car_sales_data 1'!$A2401,"mmmm")</f>
        <v>January</v>
      </c>
      <c r="K2401" s="13" t="str">
        <f>IF(' car_sales_data 1'!$G2401&gt;40000,"Premium",
 IF(' car_sales_data 1'!$G2401&gt;=20000,"Mid Range","Budget"))</f>
        <v>Mid Range</v>
      </c>
      <c r="L2401" s="13">
        <f>YEAR(TODAY())-' car_sales_data 1'!$F2401</f>
        <v>9</v>
      </c>
    </row>
    <row r="2402" ht="15.75" customHeight="1">
      <c r="A2402" s="16">
        <v>45026.0</v>
      </c>
      <c r="B2402" s="13" t="s">
        <v>4691</v>
      </c>
      <c r="C2402" s="13" t="s">
        <v>4692</v>
      </c>
      <c r="D2402" s="13" t="s">
        <v>14</v>
      </c>
      <c r="E2402" s="13" t="s">
        <v>70</v>
      </c>
      <c r="F2402" s="13">
        <v>2017.0</v>
      </c>
      <c r="G2402" s="13">
        <v>18296.0</v>
      </c>
      <c r="H2402" s="13">
        <v>2220.74</v>
      </c>
      <c r="I2402" s="13">
        <f>' car_sales_data 1'!$G2402*0.2</f>
        <v>3659.2</v>
      </c>
      <c r="J2402" s="13" t="str">
        <f>TEXT(' car_sales_data 1'!$A2402,"mmmm")</f>
        <v>April</v>
      </c>
      <c r="K2402" s="13" t="str">
        <f>IF(' car_sales_data 1'!$G2402&gt;40000,"Premium",
 IF(' car_sales_data 1'!$G2402&gt;=20000,"Mid Range","Budget"))</f>
        <v>Budget</v>
      </c>
      <c r="L2402" s="13">
        <f>YEAR(TODAY())-' car_sales_data 1'!$F2402</f>
        <v>8</v>
      </c>
    </row>
    <row r="2403" ht="15.75" customHeight="1">
      <c r="A2403" s="16">
        <v>45002.0</v>
      </c>
      <c r="B2403" s="13" t="s">
        <v>4693</v>
      </c>
      <c r="C2403" s="13" t="s">
        <v>4694</v>
      </c>
      <c r="D2403" s="13" t="s">
        <v>10</v>
      </c>
      <c r="E2403" s="13" t="s">
        <v>62</v>
      </c>
      <c r="F2403" s="13">
        <v>2022.0</v>
      </c>
      <c r="G2403" s="13">
        <v>10640.0</v>
      </c>
      <c r="H2403" s="13">
        <v>569.64</v>
      </c>
      <c r="I2403" s="13">
        <f>' car_sales_data 1'!$G2403*0.2</f>
        <v>2128</v>
      </c>
      <c r="J2403" s="13" t="str">
        <f>TEXT(' car_sales_data 1'!$A2403,"mmmm")</f>
        <v>March</v>
      </c>
      <c r="K2403" s="13" t="str">
        <f>IF(' car_sales_data 1'!$G2403&gt;40000,"Premium",
 IF(' car_sales_data 1'!$G2403&gt;=20000,"Mid Range","Budget"))</f>
        <v>Budget</v>
      </c>
      <c r="L2403" s="13">
        <f>YEAR(TODAY())-' car_sales_data 1'!$F2403</f>
        <v>3</v>
      </c>
    </row>
    <row r="2404" ht="15.75" customHeight="1">
      <c r="A2404" s="16">
        <v>44850.0</v>
      </c>
      <c r="B2404" s="13" t="s">
        <v>4695</v>
      </c>
      <c r="C2404" s="13" t="s">
        <v>4696</v>
      </c>
      <c r="D2404" s="13" t="s">
        <v>8</v>
      </c>
      <c r="E2404" s="13" t="s">
        <v>70</v>
      </c>
      <c r="F2404" s="13">
        <v>2017.0</v>
      </c>
      <c r="G2404" s="13">
        <v>36817.0</v>
      </c>
      <c r="H2404" s="13">
        <v>5388.68</v>
      </c>
      <c r="I2404" s="13">
        <f>' car_sales_data 1'!$G2404*0.2</f>
        <v>7363.4</v>
      </c>
      <c r="J2404" s="13" t="str">
        <f>TEXT(' car_sales_data 1'!$A2404,"mmmm")</f>
        <v>October</v>
      </c>
      <c r="K2404" s="13" t="str">
        <f>IF(' car_sales_data 1'!$G2404&gt;40000,"Premium",
 IF(' car_sales_data 1'!$G2404&gt;=20000,"Mid Range","Budget"))</f>
        <v>Mid Range</v>
      </c>
      <c r="L2404" s="13">
        <f>YEAR(TODAY())-' car_sales_data 1'!$F2404</f>
        <v>8</v>
      </c>
    </row>
    <row r="2405" ht="15.75" customHeight="1">
      <c r="A2405" s="16">
        <v>44845.0</v>
      </c>
      <c r="B2405" s="13" t="s">
        <v>4697</v>
      </c>
      <c r="C2405" s="13" t="s">
        <v>4698</v>
      </c>
      <c r="D2405" s="13" t="s">
        <v>8</v>
      </c>
      <c r="E2405" s="13" t="s">
        <v>57</v>
      </c>
      <c r="F2405" s="13">
        <v>2011.0</v>
      </c>
      <c r="G2405" s="13">
        <v>35548.0</v>
      </c>
      <c r="H2405" s="13">
        <v>3828.4</v>
      </c>
      <c r="I2405" s="13">
        <f>' car_sales_data 1'!$G2405*0.2</f>
        <v>7109.6</v>
      </c>
      <c r="J2405" s="13" t="str">
        <f>TEXT(' car_sales_data 1'!$A2405,"mmmm")</f>
        <v>October</v>
      </c>
      <c r="K2405" s="13" t="str">
        <f>IF(' car_sales_data 1'!$G2405&gt;40000,"Premium",
 IF(' car_sales_data 1'!$G2405&gt;=20000,"Mid Range","Budget"))</f>
        <v>Mid Range</v>
      </c>
      <c r="L2405" s="13">
        <f>YEAR(TODAY())-' car_sales_data 1'!$F2405</f>
        <v>14</v>
      </c>
    </row>
    <row r="2406" ht="15.75" customHeight="1">
      <c r="A2406" s="16">
        <v>44793.0</v>
      </c>
      <c r="B2406" s="13" t="s">
        <v>3655</v>
      </c>
      <c r="C2406" s="13" t="s">
        <v>4699</v>
      </c>
      <c r="D2406" s="13" t="s">
        <v>12</v>
      </c>
      <c r="E2406" s="13" t="s">
        <v>62</v>
      </c>
      <c r="F2406" s="13">
        <v>2020.0</v>
      </c>
      <c r="G2406" s="13">
        <v>32277.0</v>
      </c>
      <c r="H2406" s="13">
        <v>3676.76</v>
      </c>
      <c r="I2406" s="13">
        <f>' car_sales_data 1'!$G2406*0.2</f>
        <v>6455.4</v>
      </c>
      <c r="J2406" s="13" t="str">
        <f>TEXT(' car_sales_data 1'!$A2406,"mmmm")</f>
        <v>August</v>
      </c>
      <c r="K2406" s="13" t="str">
        <f>IF(' car_sales_data 1'!$G2406&gt;40000,"Premium",
 IF(' car_sales_data 1'!$G2406&gt;=20000,"Mid Range","Budget"))</f>
        <v>Mid Range</v>
      </c>
      <c r="L2406" s="13">
        <f>YEAR(TODAY())-' car_sales_data 1'!$F2406</f>
        <v>5</v>
      </c>
    </row>
    <row r="2407" ht="15.75" customHeight="1">
      <c r="A2407" s="16">
        <v>44773.0</v>
      </c>
      <c r="B2407" s="13" t="s">
        <v>4700</v>
      </c>
      <c r="C2407" s="13" t="s">
        <v>4701</v>
      </c>
      <c r="D2407" s="13" t="s">
        <v>6</v>
      </c>
      <c r="E2407" s="13" t="s">
        <v>57</v>
      </c>
      <c r="F2407" s="13">
        <v>2019.0</v>
      </c>
      <c r="G2407" s="13">
        <v>12498.0</v>
      </c>
      <c r="H2407" s="13">
        <v>863.62</v>
      </c>
      <c r="I2407" s="13">
        <f>' car_sales_data 1'!$G2407*0.2</f>
        <v>2499.6</v>
      </c>
      <c r="J2407" s="13" t="str">
        <f>TEXT(' car_sales_data 1'!$A2407,"mmmm")</f>
        <v>July</v>
      </c>
      <c r="K2407" s="13" t="str">
        <f>IF(' car_sales_data 1'!$G2407&gt;40000,"Premium",
 IF(' car_sales_data 1'!$G2407&gt;=20000,"Mid Range","Budget"))</f>
        <v>Budget</v>
      </c>
      <c r="L2407" s="13">
        <f>YEAR(TODAY())-' car_sales_data 1'!$F2407</f>
        <v>6</v>
      </c>
    </row>
    <row r="2408" ht="15.75" customHeight="1">
      <c r="A2408" s="16">
        <v>44999.0</v>
      </c>
      <c r="B2408" s="13" t="s">
        <v>4702</v>
      </c>
      <c r="C2408" s="13" t="s">
        <v>4703</v>
      </c>
      <c r="D2408" s="13" t="s">
        <v>6</v>
      </c>
      <c r="E2408" s="13" t="s">
        <v>57</v>
      </c>
      <c r="F2408" s="13">
        <v>2017.0</v>
      </c>
      <c r="G2408" s="13">
        <v>31731.0</v>
      </c>
      <c r="H2408" s="13">
        <v>4281.78</v>
      </c>
      <c r="I2408" s="13">
        <f>' car_sales_data 1'!$G2408*0.2</f>
        <v>6346.2</v>
      </c>
      <c r="J2408" s="13" t="str">
        <f>TEXT(' car_sales_data 1'!$A2408,"mmmm")</f>
        <v>March</v>
      </c>
      <c r="K2408" s="13" t="str">
        <f>IF(' car_sales_data 1'!$G2408&gt;40000,"Premium",
 IF(' car_sales_data 1'!$G2408&gt;=20000,"Mid Range","Budget"))</f>
        <v>Mid Range</v>
      </c>
      <c r="L2408" s="13">
        <f>YEAR(TODAY())-' car_sales_data 1'!$F2408</f>
        <v>8</v>
      </c>
    </row>
    <row r="2409" ht="15.75" customHeight="1">
      <c r="A2409" s="16">
        <v>44974.0</v>
      </c>
      <c r="B2409" s="13" t="s">
        <v>4704</v>
      </c>
      <c r="C2409" s="13" t="s">
        <v>4382</v>
      </c>
      <c r="D2409" s="13" t="s">
        <v>6</v>
      </c>
      <c r="E2409" s="13" t="s">
        <v>70</v>
      </c>
      <c r="F2409" s="13">
        <v>2010.0</v>
      </c>
      <c r="G2409" s="13">
        <v>26104.0</v>
      </c>
      <c r="H2409" s="13">
        <v>2268.23</v>
      </c>
      <c r="I2409" s="13">
        <f>' car_sales_data 1'!$G2409*0.2</f>
        <v>5220.8</v>
      </c>
      <c r="J2409" s="13" t="str">
        <f>TEXT(' car_sales_data 1'!$A2409,"mmmm")</f>
        <v>February</v>
      </c>
      <c r="K2409" s="13" t="str">
        <f>IF(' car_sales_data 1'!$G2409&gt;40000,"Premium",
 IF(' car_sales_data 1'!$G2409&gt;=20000,"Mid Range","Budget"))</f>
        <v>Mid Range</v>
      </c>
      <c r="L2409" s="13">
        <f>YEAR(TODAY())-' car_sales_data 1'!$F2409</f>
        <v>15</v>
      </c>
    </row>
    <row r="2410" ht="15.75" customHeight="1">
      <c r="A2410" s="16">
        <v>44998.0</v>
      </c>
      <c r="B2410" s="13" t="s">
        <v>4705</v>
      </c>
      <c r="C2410" s="13" t="s">
        <v>4706</v>
      </c>
      <c r="D2410" s="13" t="s">
        <v>8</v>
      </c>
      <c r="E2410" s="13" t="s">
        <v>62</v>
      </c>
      <c r="F2410" s="13">
        <v>2022.0</v>
      </c>
      <c r="G2410" s="13">
        <v>49525.0</v>
      </c>
      <c r="H2410" s="13">
        <v>5425.27</v>
      </c>
      <c r="I2410" s="13">
        <f>' car_sales_data 1'!$G2410*0.2</f>
        <v>9905</v>
      </c>
      <c r="J2410" s="13" t="str">
        <f>TEXT(' car_sales_data 1'!$A2410,"mmmm")</f>
        <v>March</v>
      </c>
      <c r="K2410" s="13" t="str">
        <f>IF(' car_sales_data 1'!$G2410&gt;40000,"Premium",
 IF(' car_sales_data 1'!$G2410&gt;=20000,"Mid Range","Budget"))</f>
        <v>Premium</v>
      </c>
      <c r="L2410" s="13">
        <f>YEAR(TODAY())-' car_sales_data 1'!$F2410</f>
        <v>3</v>
      </c>
    </row>
    <row r="2411" ht="15.75" customHeight="1">
      <c r="A2411" s="16">
        <v>44874.0</v>
      </c>
      <c r="B2411" s="13" t="s">
        <v>4707</v>
      </c>
      <c r="C2411" s="13" t="s">
        <v>4708</v>
      </c>
      <c r="D2411" s="13" t="s">
        <v>6</v>
      </c>
      <c r="E2411" s="13" t="s">
        <v>51</v>
      </c>
      <c r="F2411" s="13">
        <v>2010.0</v>
      </c>
      <c r="G2411" s="13">
        <v>18017.0</v>
      </c>
      <c r="H2411" s="13">
        <v>1417.76</v>
      </c>
      <c r="I2411" s="13">
        <f>' car_sales_data 1'!$G2411*0.2</f>
        <v>3603.4</v>
      </c>
      <c r="J2411" s="13" t="str">
        <f>TEXT(' car_sales_data 1'!$A2411,"mmmm")</f>
        <v>November</v>
      </c>
      <c r="K2411" s="13" t="str">
        <f>IF(' car_sales_data 1'!$G2411&gt;40000,"Premium",
 IF(' car_sales_data 1'!$G2411&gt;=20000,"Mid Range","Budget"))</f>
        <v>Budget</v>
      </c>
      <c r="L2411" s="13">
        <f>YEAR(TODAY())-' car_sales_data 1'!$F2411</f>
        <v>15</v>
      </c>
    </row>
    <row r="2412" ht="15.75" customHeight="1">
      <c r="A2412" s="16">
        <v>44794.0</v>
      </c>
      <c r="B2412" s="13" t="s">
        <v>4709</v>
      </c>
      <c r="C2412" s="13" t="s">
        <v>4710</v>
      </c>
      <c r="D2412" s="13" t="s">
        <v>14</v>
      </c>
      <c r="E2412" s="13" t="s">
        <v>62</v>
      </c>
      <c r="F2412" s="13">
        <v>2011.0</v>
      </c>
      <c r="G2412" s="13">
        <v>43160.0</v>
      </c>
      <c r="H2412" s="13">
        <v>2549.64</v>
      </c>
      <c r="I2412" s="13">
        <f>' car_sales_data 1'!$G2412*0.2</f>
        <v>8632</v>
      </c>
      <c r="J2412" s="13" t="str">
        <f>TEXT(' car_sales_data 1'!$A2412,"mmmm")</f>
        <v>August</v>
      </c>
      <c r="K2412" s="13" t="str">
        <f>IF(' car_sales_data 1'!$G2412&gt;40000,"Premium",
 IF(' car_sales_data 1'!$G2412&gt;=20000,"Mid Range","Budget"))</f>
        <v>Premium</v>
      </c>
      <c r="L2412" s="13">
        <f>YEAR(TODAY())-' car_sales_data 1'!$F2412</f>
        <v>14</v>
      </c>
    </row>
    <row r="2413" ht="15.75" customHeight="1">
      <c r="A2413" s="16">
        <v>44979.0</v>
      </c>
      <c r="B2413" s="13" t="s">
        <v>4711</v>
      </c>
      <c r="C2413" s="13" t="s">
        <v>4712</v>
      </c>
      <c r="D2413" s="13" t="s">
        <v>6</v>
      </c>
      <c r="E2413" s="13" t="s">
        <v>62</v>
      </c>
      <c r="F2413" s="13">
        <v>2019.0</v>
      </c>
      <c r="G2413" s="13">
        <v>42960.0</v>
      </c>
      <c r="H2413" s="13">
        <v>3934.18</v>
      </c>
      <c r="I2413" s="13">
        <f>' car_sales_data 1'!$G2413*0.2</f>
        <v>8592</v>
      </c>
      <c r="J2413" s="13" t="str">
        <f>TEXT(' car_sales_data 1'!$A2413,"mmmm")</f>
        <v>February</v>
      </c>
      <c r="K2413" s="13" t="str">
        <f>IF(' car_sales_data 1'!$G2413&gt;40000,"Premium",
 IF(' car_sales_data 1'!$G2413&gt;=20000,"Mid Range","Budget"))</f>
        <v>Premium</v>
      </c>
      <c r="L2413" s="13">
        <f>YEAR(TODAY())-' car_sales_data 1'!$F2413</f>
        <v>6</v>
      </c>
    </row>
    <row r="2414" ht="15.75" customHeight="1">
      <c r="A2414" s="16">
        <v>44767.0</v>
      </c>
      <c r="B2414" s="13" t="s">
        <v>4713</v>
      </c>
      <c r="C2414" s="13" t="s">
        <v>4714</v>
      </c>
      <c r="D2414" s="13" t="s">
        <v>12</v>
      </c>
      <c r="E2414" s="13" t="s">
        <v>62</v>
      </c>
      <c r="F2414" s="13">
        <v>2020.0</v>
      </c>
      <c r="G2414" s="13">
        <v>37247.0</v>
      </c>
      <c r="H2414" s="13">
        <v>4171.44</v>
      </c>
      <c r="I2414" s="13">
        <f>' car_sales_data 1'!$G2414*0.2</f>
        <v>7449.4</v>
      </c>
      <c r="J2414" s="13" t="str">
        <f>TEXT(' car_sales_data 1'!$A2414,"mmmm")</f>
        <v>July</v>
      </c>
      <c r="K2414" s="13" t="str">
        <f>IF(' car_sales_data 1'!$G2414&gt;40000,"Premium",
 IF(' car_sales_data 1'!$G2414&gt;=20000,"Mid Range","Budget"))</f>
        <v>Mid Range</v>
      </c>
      <c r="L2414" s="13">
        <f>YEAR(TODAY())-' car_sales_data 1'!$F2414</f>
        <v>5</v>
      </c>
    </row>
    <row r="2415" ht="15.75" customHeight="1">
      <c r="A2415" s="16">
        <v>44777.0</v>
      </c>
      <c r="B2415" s="13" t="s">
        <v>4715</v>
      </c>
      <c r="C2415" s="13" t="s">
        <v>4214</v>
      </c>
      <c r="D2415" s="13" t="s">
        <v>14</v>
      </c>
      <c r="E2415" s="13" t="s">
        <v>57</v>
      </c>
      <c r="F2415" s="13">
        <v>2012.0</v>
      </c>
      <c r="G2415" s="13">
        <v>36508.0</v>
      </c>
      <c r="H2415" s="13">
        <v>4964.39</v>
      </c>
      <c r="I2415" s="13">
        <f>' car_sales_data 1'!$G2415*0.2</f>
        <v>7301.6</v>
      </c>
      <c r="J2415" s="13" t="str">
        <f>TEXT(' car_sales_data 1'!$A2415,"mmmm")</f>
        <v>August</v>
      </c>
      <c r="K2415" s="13" t="str">
        <f>IF(' car_sales_data 1'!$G2415&gt;40000,"Premium",
 IF(' car_sales_data 1'!$G2415&gt;=20000,"Mid Range","Budget"))</f>
        <v>Mid Range</v>
      </c>
      <c r="L2415" s="13">
        <f>YEAR(TODAY())-' car_sales_data 1'!$F2415</f>
        <v>13</v>
      </c>
    </row>
    <row r="2416" ht="15.75" customHeight="1">
      <c r="A2416" s="16">
        <v>44870.0</v>
      </c>
      <c r="B2416" s="13" t="s">
        <v>4716</v>
      </c>
      <c r="C2416" s="13" t="s">
        <v>4717</v>
      </c>
      <c r="D2416" s="13" t="s">
        <v>6</v>
      </c>
      <c r="E2416" s="13" t="s">
        <v>70</v>
      </c>
      <c r="F2416" s="13">
        <v>2021.0</v>
      </c>
      <c r="G2416" s="13">
        <v>44940.0</v>
      </c>
      <c r="H2416" s="13">
        <v>4575.39</v>
      </c>
      <c r="I2416" s="13">
        <f>' car_sales_data 1'!$G2416*0.2</f>
        <v>8988</v>
      </c>
      <c r="J2416" s="13" t="str">
        <f>TEXT(' car_sales_data 1'!$A2416,"mmmm")</f>
        <v>November</v>
      </c>
      <c r="K2416" s="13" t="str">
        <f>IF(' car_sales_data 1'!$G2416&gt;40000,"Premium",
 IF(' car_sales_data 1'!$G2416&gt;=20000,"Mid Range","Budget"))</f>
        <v>Premium</v>
      </c>
      <c r="L2416" s="13">
        <f>YEAR(TODAY())-' car_sales_data 1'!$F2416</f>
        <v>4</v>
      </c>
    </row>
    <row r="2417" ht="15.75" customHeight="1">
      <c r="A2417" s="16">
        <v>44943.0</v>
      </c>
      <c r="B2417" s="13" t="s">
        <v>4718</v>
      </c>
      <c r="C2417" s="13" t="s">
        <v>4719</v>
      </c>
      <c r="D2417" s="13" t="s">
        <v>10</v>
      </c>
      <c r="E2417" s="13" t="s">
        <v>57</v>
      </c>
      <c r="F2417" s="13">
        <v>2015.0</v>
      </c>
      <c r="G2417" s="13">
        <v>35405.0</v>
      </c>
      <c r="H2417" s="13">
        <v>4181.15</v>
      </c>
      <c r="I2417" s="13">
        <f>' car_sales_data 1'!$G2417*0.2</f>
        <v>7081</v>
      </c>
      <c r="J2417" s="13" t="str">
        <f>TEXT(' car_sales_data 1'!$A2417,"mmmm")</f>
        <v>January</v>
      </c>
      <c r="K2417" s="13" t="str">
        <f>IF(' car_sales_data 1'!$G2417&gt;40000,"Premium",
 IF(' car_sales_data 1'!$G2417&gt;=20000,"Mid Range","Budget"))</f>
        <v>Mid Range</v>
      </c>
      <c r="L2417" s="13">
        <f>YEAR(TODAY())-' car_sales_data 1'!$F2417</f>
        <v>10</v>
      </c>
    </row>
    <row r="2418" ht="15.75" customHeight="1">
      <c r="A2418" s="16">
        <v>44882.0</v>
      </c>
      <c r="B2418" s="13" t="s">
        <v>4720</v>
      </c>
      <c r="C2418" s="13" t="s">
        <v>4721</v>
      </c>
      <c r="D2418" s="13" t="s">
        <v>14</v>
      </c>
      <c r="E2418" s="13" t="s">
        <v>57</v>
      </c>
      <c r="F2418" s="13">
        <v>2013.0</v>
      </c>
      <c r="G2418" s="13">
        <v>32978.0</v>
      </c>
      <c r="H2418" s="13">
        <v>3609.41</v>
      </c>
      <c r="I2418" s="13">
        <f>' car_sales_data 1'!$G2418*0.2</f>
        <v>6595.6</v>
      </c>
      <c r="J2418" s="13" t="str">
        <f>TEXT(' car_sales_data 1'!$A2418,"mmmm")</f>
        <v>November</v>
      </c>
      <c r="K2418" s="13" t="str">
        <f>IF(' car_sales_data 1'!$G2418&gt;40000,"Premium",
 IF(' car_sales_data 1'!$G2418&gt;=20000,"Mid Range","Budget"))</f>
        <v>Mid Range</v>
      </c>
      <c r="L2418" s="13">
        <f>YEAR(TODAY())-' car_sales_data 1'!$F2418</f>
        <v>12</v>
      </c>
    </row>
    <row r="2419" ht="15.75" customHeight="1">
      <c r="A2419" s="16">
        <v>44745.0</v>
      </c>
      <c r="B2419" s="13" t="s">
        <v>4722</v>
      </c>
      <c r="C2419" s="13" t="s">
        <v>4723</v>
      </c>
      <c r="D2419" s="13" t="s">
        <v>12</v>
      </c>
      <c r="E2419" s="13" t="s">
        <v>70</v>
      </c>
      <c r="F2419" s="13">
        <v>2016.0</v>
      </c>
      <c r="G2419" s="13">
        <v>39128.0</v>
      </c>
      <c r="H2419" s="13">
        <v>1995.42</v>
      </c>
      <c r="I2419" s="13">
        <f>' car_sales_data 1'!$G2419*0.2</f>
        <v>7825.6</v>
      </c>
      <c r="J2419" s="13" t="str">
        <f>TEXT(' car_sales_data 1'!$A2419,"mmmm")</f>
        <v>July</v>
      </c>
      <c r="K2419" s="13" t="str">
        <f>IF(' car_sales_data 1'!$G2419&gt;40000,"Premium",
 IF(' car_sales_data 1'!$G2419&gt;=20000,"Mid Range","Budget"))</f>
        <v>Mid Range</v>
      </c>
      <c r="L2419" s="13">
        <f>YEAR(TODAY())-' car_sales_data 1'!$F2419</f>
        <v>9</v>
      </c>
    </row>
    <row r="2420" ht="15.75" customHeight="1">
      <c r="A2420" s="16">
        <v>44936.0</v>
      </c>
      <c r="B2420" s="13" t="s">
        <v>4724</v>
      </c>
      <c r="C2420" s="13" t="s">
        <v>4725</v>
      </c>
      <c r="D2420" s="13" t="s">
        <v>12</v>
      </c>
      <c r="E2420" s="13" t="s">
        <v>70</v>
      </c>
      <c r="F2420" s="13">
        <v>2021.0</v>
      </c>
      <c r="G2420" s="13">
        <v>25118.0</v>
      </c>
      <c r="H2420" s="13">
        <v>1307.04</v>
      </c>
      <c r="I2420" s="13">
        <f>' car_sales_data 1'!$G2420*0.2</f>
        <v>5023.6</v>
      </c>
      <c r="J2420" s="13" t="str">
        <f>TEXT(' car_sales_data 1'!$A2420,"mmmm")</f>
        <v>January</v>
      </c>
      <c r="K2420" s="13" t="str">
        <f>IF(' car_sales_data 1'!$G2420&gt;40000,"Premium",
 IF(' car_sales_data 1'!$G2420&gt;=20000,"Mid Range","Budget"))</f>
        <v>Mid Range</v>
      </c>
      <c r="L2420" s="13">
        <f>YEAR(TODAY())-' car_sales_data 1'!$F2420</f>
        <v>4</v>
      </c>
    </row>
    <row r="2421" ht="15.75" customHeight="1">
      <c r="A2421" s="16">
        <v>44768.0</v>
      </c>
      <c r="B2421" s="13" t="s">
        <v>4726</v>
      </c>
      <c r="C2421" s="13" t="s">
        <v>4727</v>
      </c>
      <c r="D2421" s="13" t="s">
        <v>6</v>
      </c>
      <c r="E2421" s="13" t="s">
        <v>62</v>
      </c>
      <c r="F2421" s="13">
        <v>2010.0</v>
      </c>
      <c r="G2421" s="13">
        <v>40983.0</v>
      </c>
      <c r="H2421" s="13">
        <v>3041.8</v>
      </c>
      <c r="I2421" s="13">
        <f>' car_sales_data 1'!$G2421*0.2</f>
        <v>8196.6</v>
      </c>
      <c r="J2421" s="13" t="str">
        <f>TEXT(' car_sales_data 1'!$A2421,"mmmm")</f>
        <v>July</v>
      </c>
      <c r="K2421" s="13" t="str">
        <f>IF(' car_sales_data 1'!$G2421&gt;40000,"Premium",
 IF(' car_sales_data 1'!$G2421&gt;=20000,"Mid Range","Budget"))</f>
        <v>Premium</v>
      </c>
      <c r="L2421" s="13">
        <f>YEAR(TODAY())-' car_sales_data 1'!$F2421</f>
        <v>15</v>
      </c>
    </row>
    <row r="2422" ht="15.75" customHeight="1">
      <c r="A2422" s="16">
        <v>45030.0</v>
      </c>
      <c r="B2422" s="13" t="s">
        <v>4728</v>
      </c>
      <c r="C2422" s="13" t="s">
        <v>4729</v>
      </c>
      <c r="D2422" s="13" t="s">
        <v>14</v>
      </c>
      <c r="E2422" s="13" t="s">
        <v>51</v>
      </c>
      <c r="F2422" s="13">
        <v>2020.0</v>
      </c>
      <c r="G2422" s="13">
        <v>20446.0</v>
      </c>
      <c r="H2422" s="13">
        <v>2949.97</v>
      </c>
      <c r="I2422" s="13">
        <f>' car_sales_data 1'!$G2422*0.2</f>
        <v>4089.2</v>
      </c>
      <c r="J2422" s="13" t="str">
        <f>TEXT(' car_sales_data 1'!$A2422,"mmmm")</f>
        <v>April</v>
      </c>
      <c r="K2422" s="13" t="str">
        <f>IF(' car_sales_data 1'!$G2422&gt;40000,"Premium",
 IF(' car_sales_data 1'!$G2422&gt;=20000,"Mid Range","Budget"))</f>
        <v>Mid Range</v>
      </c>
      <c r="L2422" s="13">
        <f>YEAR(TODAY())-' car_sales_data 1'!$F2422</f>
        <v>5</v>
      </c>
    </row>
    <row r="2423" ht="15.75" customHeight="1">
      <c r="A2423" s="16">
        <v>44868.0</v>
      </c>
      <c r="B2423" s="13" t="s">
        <v>4730</v>
      </c>
      <c r="C2423" s="13" t="s">
        <v>4731</v>
      </c>
      <c r="D2423" s="13" t="s">
        <v>14</v>
      </c>
      <c r="E2423" s="13" t="s">
        <v>51</v>
      </c>
      <c r="F2423" s="13">
        <v>2012.0</v>
      </c>
      <c r="G2423" s="13">
        <v>13481.0</v>
      </c>
      <c r="H2423" s="13">
        <v>811.5</v>
      </c>
      <c r="I2423" s="13">
        <f>' car_sales_data 1'!$G2423*0.2</f>
        <v>2696.2</v>
      </c>
      <c r="J2423" s="13" t="str">
        <f>TEXT(' car_sales_data 1'!$A2423,"mmmm")</f>
        <v>November</v>
      </c>
      <c r="K2423" s="13" t="str">
        <f>IF(' car_sales_data 1'!$G2423&gt;40000,"Premium",
 IF(' car_sales_data 1'!$G2423&gt;=20000,"Mid Range","Budget"))</f>
        <v>Budget</v>
      </c>
      <c r="L2423" s="13">
        <f>YEAR(TODAY())-' car_sales_data 1'!$F2423</f>
        <v>13</v>
      </c>
    </row>
    <row r="2424" ht="15.75" customHeight="1">
      <c r="A2424" s="16">
        <v>45029.0</v>
      </c>
      <c r="B2424" s="13" t="s">
        <v>4732</v>
      </c>
      <c r="C2424" s="13" t="s">
        <v>4733</v>
      </c>
      <c r="D2424" s="13" t="s">
        <v>6</v>
      </c>
      <c r="E2424" s="13" t="s">
        <v>70</v>
      </c>
      <c r="F2424" s="13">
        <v>2010.0</v>
      </c>
      <c r="G2424" s="13">
        <v>38215.0</v>
      </c>
      <c r="H2424" s="13">
        <v>3024.63</v>
      </c>
      <c r="I2424" s="13">
        <f>' car_sales_data 1'!$G2424*0.2</f>
        <v>7643</v>
      </c>
      <c r="J2424" s="13" t="str">
        <f>TEXT(' car_sales_data 1'!$A2424,"mmmm")</f>
        <v>April</v>
      </c>
      <c r="K2424" s="13" t="str">
        <f>IF(' car_sales_data 1'!$G2424&gt;40000,"Premium",
 IF(' car_sales_data 1'!$G2424&gt;=20000,"Mid Range","Budget"))</f>
        <v>Mid Range</v>
      </c>
      <c r="L2424" s="13">
        <f>YEAR(TODAY())-' car_sales_data 1'!$F2424</f>
        <v>15</v>
      </c>
    </row>
    <row r="2425" ht="15.75" customHeight="1">
      <c r="A2425" s="16">
        <v>44904.0</v>
      </c>
      <c r="B2425" s="13" t="s">
        <v>4734</v>
      </c>
      <c r="C2425" s="13" t="s">
        <v>4735</v>
      </c>
      <c r="D2425" s="13" t="s">
        <v>6</v>
      </c>
      <c r="E2425" s="13" t="s">
        <v>70</v>
      </c>
      <c r="F2425" s="13">
        <v>2015.0</v>
      </c>
      <c r="G2425" s="13">
        <v>13852.0</v>
      </c>
      <c r="H2425" s="13">
        <v>1321.22</v>
      </c>
      <c r="I2425" s="13">
        <f>' car_sales_data 1'!$G2425*0.2</f>
        <v>2770.4</v>
      </c>
      <c r="J2425" s="13" t="str">
        <f>TEXT(' car_sales_data 1'!$A2425,"mmmm")</f>
        <v>December</v>
      </c>
      <c r="K2425" s="13" t="str">
        <f>IF(' car_sales_data 1'!$G2425&gt;40000,"Premium",
 IF(' car_sales_data 1'!$G2425&gt;=20000,"Mid Range","Budget"))</f>
        <v>Budget</v>
      </c>
      <c r="L2425" s="13">
        <f>YEAR(TODAY())-' car_sales_data 1'!$F2425</f>
        <v>10</v>
      </c>
    </row>
    <row r="2426" ht="15.75" customHeight="1">
      <c r="A2426" s="16">
        <v>44915.0</v>
      </c>
      <c r="B2426" s="13" t="s">
        <v>4736</v>
      </c>
      <c r="C2426" s="13" t="s">
        <v>4737</v>
      </c>
      <c r="D2426" s="13" t="s">
        <v>10</v>
      </c>
      <c r="E2426" s="13" t="s">
        <v>51</v>
      </c>
      <c r="F2426" s="13">
        <v>2012.0</v>
      </c>
      <c r="G2426" s="13">
        <v>46212.0</v>
      </c>
      <c r="H2426" s="13">
        <v>2555.05</v>
      </c>
      <c r="I2426" s="13">
        <f>' car_sales_data 1'!$G2426*0.2</f>
        <v>9242.4</v>
      </c>
      <c r="J2426" s="13" t="str">
        <f>TEXT(' car_sales_data 1'!$A2426,"mmmm")</f>
        <v>December</v>
      </c>
      <c r="K2426" s="13" t="str">
        <f>IF(' car_sales_data 1'!$G2426&gt;40000,"Premium",
 IF(' car_sales_data 1'!$G2426&gt;=20000,"Mid Range","Budget"))</f>
        <v>Premium</v>
      </c>
      <c r="L2426" s="13">
        <f>YEAR(TODAY())-' car_sales_data 1'!$F2426</f>
        <v>13</v>
      </c>
    </row>
    <row r="2427" ht="15.75" customHeight="1">
      <c r="A2427" s="16">
        <v>44698.0</v>
      </c>
      <c r="B2427" s="13" t="s">
        <v>4738</v>
      </c>
      <c r="C2427" s="13" t="s">
        <v>4739</v>
      </c>
      <c r="D2427" s="13" t="s">
        <v>10</v>
      </c>
      <c r="E2427" s="13" t="s">
        <v>70</v>
      </c>
      <c r="F2427" s="13">
        <v>2013.0</v>
      </c>
      <c r="G2427" s="13">
        <v>37248.0</v>
      </c>
      <c r="H2427" s="13">
        <v>3578.95</v>
      </c>
      <c r="I2427" s="13">
        <f>' car_sales_data 1'!$G2427*0.2</f>
        <v>7449.6</v>
      </c>
      <c r="J2427" s="13" t="str">
        <f>TEXT(' car_sales_data 1'!$A2427,"mmmm")</f>
        <v>May</v>
      </c>
      <c r="K2427" s="13" t="str">
        <f>IF(' car_sales_data 1'!$G2427&gt;40000,"Premium",
 IF(' car_sales_data 1'!$G2427&gt;=20000,"Mid Range","Budget"))</f>
        <v>Mid Range</v>
      </c>
      <c r="L2427" s="13">
        <f>YEAR(TODAY())-' car_sales_data 1'!$F2427</f>
        <v>12</v>
      </c>
    </row>
    <row r="2428" ht="15.75" customHeight="1">
      <c r="A2428" s="16">
        <v>44880.0</v>
      </c>
      <c r="B2428" s="13" t="s">
        <v>4740</v>
      </c>
      <c r="C2428" s="13" t="s">
        <v>4741</v>
      </c>
      <c r="D2428" s="13" t="s">
        <v>8</v>
      </c>
      <c r="E2428" s="13" t="s">
        <v>51</v>
      </c>
      <c r="F2428" s="13">
        <v>2010.0</v>
      </c>
      <c r="G2428" s="13">
        <v>19584.0</v>
      </c>
      <c r="H2428" s="13">
        <v>1657.25</v>
      </c>
      <c r="I2428" s="13">
        <f>' car_sales_data 1'!$G2428*0.2</f>
        <v>3916.8</v>
      </c>
      <c r="J2428" s="13" t="str">
        <f>TEXT(' car_sales_data 1'!$A2428,"mmmm")</f>
        <v>November</v>
      </c>
      <c r="K2428" s="13" t="str">
        <f>IF(' car_sales_data 1'!$G2428&gt;40000,"Premium",
 IF(' car_sales_data 1'!$G2428&gt;=20000,"Mid Range","Budget"))</f>
        <v>Budget</v>
      </c>
      <c r="L2428" s="13">
        <f>YEAR(TODAY())-' car_sales_data 1'!$F2428</f>
        <v>15</v>
      </c>
    </row>
    <row r="2429" ht="15.75" customHeight="1">
      <c r="A2429" s="16">
        <v>44838.0</v>
      </c>
      <c r="B2429" s="13" t="s">
        <v>4742</v>
      </c>
      <c r="C2429" s="13" t="s">
        <v>4743</v>
      </c>
      <c r="D2429" s="13" t="s">
        <v>14</v>
      </c>
      <c r="E2429" s="13" t="s">
        <v>51</v>
      </c>
      <c r="F2429" s="13">
        <v>2019.0</v>
      </c>
      <c r="G2429" s="13">
        <v>39026.0</v>
      </c>
      <c r="H2429" s="13">
        <v>4352.58</v>
      </c>
      <c r="I2429" s="13">
        <f>' car_sales_data 1'!$G2429*0.2</f>
        <v>7805.2</v>
      </c>
      <c r="J2429" s="13" t="str">
        <f>TEXT(' car_sales_data 1'!$A2429,"mmmm")</f>
        <v>October</v>
      </c>
      <c r="K2429" s="13" t="str">
        <f>IF(' car_sales_data 1'!$G2429&gt;40000,"Premium",
 IF(' car_sales_data 1'!$G2429&gt;=20000,"Mid Range","Budget"))</f>
        <v>Mid Range</v>
      </c>
      <c r="L2429" s="13">
        <f>YEAR(TODAY())-' car_sales_data 1'!$F2429</f>
        <v>6</v>
      </c>
    </row>
    <row r="2430" ht="15.75" customHeight="1">
      <c r="A2430" s="16">
        <v>44711.0</v>
      </c>
      <c r="B2430" s="13" t="s">
        <v>4744</v>
      </c>
      <c r="C2430" s="13" t="s">
        <v>4745</v>
      </c>
      <c r="D2430" s="13" t="s">
        <v>14</v>
      </c>
      <c r="E2430" s="13" t="s">
        <v>54</v>
      </c>
      <c r="F2430" s="13">
        <v>2014.0</v>
      </c>
      <c r="G2430" s="13">
        <v>15206.0</v>
      </c>
      <c r="H2430" s="13">
        <v>1303.54</v>
      </c>
      <c r="I2430" s="13">
        <f>' car_sales_data 1'!$G2430*0.2</f>
        <v>3041.2</v>
      </c>
      <c r="J2430" s="13" t="str">
        <f>TEXT(' car_sales_data 1'!$A2430,"mmmm")</f>
        <v>May</v>
      </c>
      <c r="K2430" s="13" t="str">
        <f>IF(' car_sales_data 1'!$G2430&gt;40000,"Premium",
 IF(' car_sales_data 1'!$G2430&gt;=20000,"Mid Range","Budget"))</f>
        <v>Budget</v>
      </c>
      <c r="L2430" s="13">
        <f>YEAR(TODAY())-' car_sales_data 1'!$F2430</f>
        <v>11</v>
      </c>
    </row>
    <row r="2431" ht="15.75" customHeight="1">
      <c r="A2431" s="16">
        <v>44939.0</v>
      </c>
      <c r="B2431" s="13" t="s">
        <v>4746</v>
      </c>
      <c r="C2431" s="13" t="s">
        <v>4747</v>
      </c>
      <c r="D2431" s="13" t="s">
        <v>10</v>
      </c>
      <c r="E2431" s="13" t="s">
        <v>70</v>
      </c>
      <c r="F2431" s="13">
        <v>2014.0</v>
      </c>
      <c r="G2431" s="13">
        <v>28211.0</v>
      </c>
      <c r="H2431" s="13">
        <v>1983.88</v>
      </c>
      <c r="I2431" s="13">
        <f>' car_sales_data 1'!$G2431*0.2</f>
        <v>5642.2</v>
      </c>
      <c r="J2431" s="13" t="str">
        <f>TEXT(' car_sales_data 1'!$A2431,"mmmm")</f>
        <v>January</v>
      </c>
      <c r="K2431" s="13" t="str">
        <f>IF(' car_sales_data 1'!$G2431&gt;40000,"Premium",
 IF(' car_sales_data 1'!$G2431&gt;=20000,"Mid Range","Budget"))</f>
        <v>Mid Range</v>
      </c>
      <c r="L2431" s="13">
        <f>YEAR(TODAY())-' car_sales_data 1'!$F2431</f>
        <v>11</v>
      </c>
    </row>
    <row r="2432" ht="15.75" customHeight="1">
      <c r="A2432" s="16">
        <v>44714.0</v>
      </c>
      <c r="B2432" s="13" t="s">
        <v>4748</v>
      </c>
      <c r="C2432" s="13" t="s">
        <v>4749</v>
      </c>
      <c r="D2432" s="13" t="s">
        <v>8</v>
      </c>
      <c r="E2432" s="13" t="s">
        <v>54</v>
      </c>
      <c r="F2432" s="13">
        <v>2020.0</v>
      </c>
      <c r="G2432" s="13">
        <v>15875.0</v>
      </c>
      <c r="H2432" s="13">
        <v>1149.72</v>
      </c>
      <c r="I2432" s="13">
        <f>' car_sales_data 1'!$G2432*0.2</f>
        <v>3175</v>
      </c>
      <c r="J2432" s="13" t="str">
        <f>TEXT(' car_sales_data 1'!$A2432,"mmmm")</f>
        <v>June</v>
      </c>
      <c r="K2432" s="13" t="str">
        <f>IF(' car_sales_data 1'!$G2432&gt;40000,"Premium",
 IF(' car_sales_data 1'!$G2432&gt;=20000,"Mid Range","Budget"))</f>
        <v>Budget</v>
      </c>
      <c r="L2432" s="13">
        <f>YEAR(TODAY())-' car_sales_data 1'!$F2432</f>
        <v>5</v>
      </c>
    </row>
    <row r="2433" ht="15.75" customHeight="1">
      <c r="A2433" s="16">
        <v>44864.0</v>
      </c>
      <c r="B2433" s="13" t="s">
        <v>4750</v>
      </c>
      <c r="C2433" s="13" t="s">
        <v>4751</v>
      </c>
      <c r="D2433" s="13" t="s">
        <v>8</v>
      </c>
      <c r="E2433" s="13" t="s">
        <v>51</v>
      </c>
      <c r="F2433" s="13">
        <v>2014.0</v>
      </c>
      <c r="G2433" s="13">
        <v>12498.0</v>
      </c>
      <c r="H2433" s="13">
        <v>767.2</v>
      </c>
      <c r="I2433" s="13">
        <f>' car_sales_data 1'!$G2433*0.2</f>
        <v>2499.6</v>
      </c>
      <c r="J2433" s="13" t="str">
        <f>TEXT(' car_sales_data 1'!$A2433,"mmmm")</f>
        <v>October</v>
      </c>
      <c r="K2433" s="13" t="str">
        <f>IF(' car_sales_data 1'!$G2433&gt;40000,"Premium",
 IF(' car_sales_data 1'!$G2433&gt;=20000,"Mid Range","Budget"))</f>
        <v>Budget</v>
      </c>
      <c r="L2433" s="13">
        <f>YEAR(TODAY())-' car_sales_data 1'!$F2433</f>
        <v>11</v>
      </c>
    </row>
    <row r="2434" ht="15.75" customHeight="1">
      <c r="A2434" s="16">
        <v>44996.0</v>
      </c>
      <c r="B2434" s="13" t="s">
        <v>4752</v>
      </c>
      <c r="C2434" s="13" t="s">
        <v>4753</v>
      </c>
      <c r="D2434" s="13" t="s">
        <v>6</v>
      </c>
      <c r="E2434" s="13" t="s">
        <v>62</v>
      </c>
      <c r="F2434" s="13">
        <v>2020.0</v>
      </c>
      <c r="G2434" s="13">
        <v>38223.0</v>
      </c>
      <c r="H2434" s="13">
        <v>4153.61</v>
      </c>
      <c r="I2434" s="13">
        <f>' car_sales_data 1'!$G2434*0.2</f>
        <v>7644.6</v>
      </c>
      <c r="J2434" s="13" t="str">
        <f>TEXT(' car_sales_data 1'!$A2434,"mmmm")</f>
        <v>March</v>
      </c>
      <c r="K2434" s="13" t="str">
        <f>IF(' car_sales_data 1'!$G2434&gt;40000,"Premium",
 IF(' car_sales_data 1'!$G2434&gt;=20000,"Mid Range","Budget"))</f>
        <v>Mid Range</v>
      </c>
      <c r="L2434" s="13">
        <f>YEAR(TODAY())-' car_sales_data 1'!$F2434</f>
        <v>5</v>
      </c>
    </row>
    <row r="2435" ht="15.75" customHeight="1">
      <c r="A2435" s="16">
        <v>44724.0</v>
      </c>
      <c r="B2435" s="13" t="s">
        <v>4754</v>
      </c>
      <c r="C2435" s="13" t="s">
        <v>4755</v>
      </c>
      <c r="D2435" s="13" t="s">
        <v>8</v>
      </c>
      <c r="E2435" s="13" t="s">
        <v>54</v>
      </c>
      <c r="F2435" s="13">
        <v>2013.0</v>
      </c>
      <c r="G2435" s="13">
        <v>47189.0</v>
      </c>
      <c r="H2435" s="13">
        <v>6253.87</v>
      </c>
      <c r="I2435" s="13">
        <f>' car_sales_data 1'!$G2435*0.2</f>
        <v>9437.8</v>
      </c>
      <c r="J2435" s="13" t="str">
        <f>TEXT(' car_sales_data 1'!$A2435,"mmmm")</f>
        <v>June</v>
      </c>
      <c r="K2435" s="13" t="str">
        <f>IF(' car_sales_data 1'!$G2435&gt;40000,"Premium",
 IF(' car_sales_data 1'!$G2435&gt;=20000,"Mid Range","Budget"))</f>
        <v>Premium</v>
      </c>
      <c r="L2435" s="13">
        <f>YEAR(TODAY())-' car_sales_data 1'!$F2435</f>
        <v>12</v>
      </c>
    </row>
    <row r="2436" ht="15.75" customHeight="1">
      <c r="A2436" s="16">
        <v>44708.0</v>
      </c>
      <c r="B2436" s="13" t="s">
        <v>4756</v>
      </c>
      <c r="C2436" s="13" t="s">
        <v>4757</v>
      </c>
      <c r="D2436" s="13" t="s">
        <v>6</v>
      </c>
      <c r="E2436" s="13" t="s">
        <v>70</v>
      </c>
      <c r="F2436" s="13">
        <v>2016.0</v>
      </c>
      <c r="G2436" s="13">
        <v>30951.0</v>
      </c>
      <c r="H2436" s="13">
        <v>2044.08</v>
      </c>
      <c r="I2436" s="13">
        <f>' car_sales_data 1'!$G2436*0.2</f>
        <v>6190.2</v>
      </c>
      <c r="J2436" s="13" t="str">
        <f>TEXT(' car_sales_data 1'!$A2436,"mmmm")</f>
        <v>May</v>
      </c>
      <c r="K2436" s="13" t="str">
        <f>IF(' car_sales_data 1'!$G2436&gt;40000,"Premium",
 IF(' car_sales_data 1'!$G2436&gt;=20000,"Mid Range","Budget"))</f>
        <v>Mid Range</v>
      </c>
      <c r="L2436" s="13">
        <f>YEAR(TODAY())-' car_sales_data 1'!$F2436</f>
        <v>9</v>
      </c>
    </row>
    <row r="2437" ht="15.75" customHeight="1">
      <c r="A2437" s="16">
        <v>45031.0</v>
      </c>
      <c r="B2437" s="13" t="s">
        <v>4758</v>
      </c>
      <c r="C2437" s="13" t="s">
        <v>4759</v>
      </c>
      <c r="D2437" s="13" t="s">
        <v>14</v>
      </c>
      <c r="E2437" s="13" t="s">
        <v>51</v>
      </c>
      <c r="F2437" s="13">
        <v>2012.0</v>
      </c>
      <c r="G2437" s="13">
        <v>35008.0</v>
      </c>
      <c r="H2437" s="13">
        <v>3452.5</v>
      </c>
      <c r="I2437" s="13">
        <f>' car_sales_data 1'!$G2437*0.2</f>
        <v>7001.6</v>
      </c>
      <c r="J2437" s="13" t="str">
        <f>TEXT(' car_sales_data 1'!$A2437,"mmmm")</f>
        <v>April</v>
      </c>
      <c r="K2437" s="13" t="str">
        <f>IF(' car_sales_data 1'!$G2437&gt;40000,"Premium",
 IF(' car_sales_data 1'!$G2437&gt;=20000,"Mid Range","Budget"))</f>
        <v>Mid Range</v>
      </c>
      <c r="L2437" s="13">
        <f>YEAR(TODAY())-' car_sales_data 1'!$F2437</f>
        <v>13</v>
      </c>
    </row>
    <row r="2438" ht="15.75" customHeight="1">
      <c r="A2438" s="16">
        <v>44936.0</v>
      </c>
      <c r="B2438" s="13" t="s">
        <v>4760</v>
      </c>
      <c r="C2438" s="13" t="s">
        <v>3189</v>
      </c>
      <c r="D2438" s="13" t="s">
        <v>8</v>
      </c>
      <c r="E2438" s="13" t="s">
        <v>62</v>
      </c>
      <c r="F2438" s="13">
        <v>2022.0</v>
      </c>
      <c r="G2438" s="13">
        <v>40771.0</v>
      </c>
      <c r="H2438" s="13">
        <v>5845.55</v>
      </c>
      <c r="I2438" s="13">
        <f>' car_sales_data 1'!$G2438*0.2</f>
        <v>8154.2</v>
      </c>
      <c r="J2438" s="13" t="str">
        <f>TEXT(' car_sales_data 1'!$A2438,"mmmm")</f>
        <v>January</v>
      </c>
      <c r="K2438" s="13" t="str">
        <f>IF(' car_sales_data 1'!$G2438&gt;40000,"Premium",
 IF(' car_sales_data 1'!$G2438&gt;=20000,"Mid Range","Budget"))</f>
        <v>Premium</v>
      </c>
      <c r="L2438" s="13">
        <f>YEAR(TODAY())-' car_sales_data 1'!$F2438</f>
        <v>3</v>
      </c>
    </row>
    <row r="2439" ht="15.75" customHeight="1">
      <c r="A2439" s="16">
        <v>44768.0</v>
      </c>
      <c r="B2439" s="13" t="s">
        <v>4761</v>
      </c>
      <c r="C2439" s="13" t="s">
        <v>4762</v>
      </c>
      <c r="D2439" s="13" t="s">
        <v>14</v>
      </c>
      <c r="E2439" s="13" t="s">
        <v>57</v>
      </c>
      <c r="F2439" s="13">
        <v>2012.0</v>
      </c>
      <c r="G2439" s="13">
        <v>19951.0</v>
      </c>
      <c r="H2439" s="13">
        <v>2543.25</v>
      </c>
      <c r="I2439" s="13">
        <f>' car_sales_data 1'!$G2439*0.2</f>
        <v>3990.2</v>
      </c>
      <c r="J2439" s="13" t="str">
        <f>TEXT(' car_sales_data 1'!$A2439,"mmmm")</f>
        <v>July</v>
      </c>
      <c r="K2439" s="13" t="str">
        <f>IF(' car_sales_data 1'!$G2439&gt;40000,"Premium",
 IF(' car_sales_data 1'!$G2439&gt;=20000,"Mid Range","Budget"))</f>
        <v>Budget</v>
      </c>
      <c r="L2439" s="13">
        <f>YEAR(TODAY())-' car_sales_data 1'!$F2439</f>
        <v>13</v>
      </c>
    </row>
    <row r="2440" ht="15.75" customHeight="1">
      <c r="A2440" s="16">
        <v>44855.0</v>
      </c>
      <c r="B2440" s="13" t="s">
        <v>4763</v>
      </c>
      <c r="C2440" s="13" t="s">
        <v>4764</v>
      </c>
      <c r="D2440" s="13" t="s">
        <v>8</v>
      </c>
      <c r="E2440" s="13" t="s">
        <v>70</v>
      </c>
      <c r="F2440" s="13">
        <v>2010.0</v>
      </c>
      <c r="G2440" s="13">
        <v>16768.0</v>
      </c>
      <c r="H2440" s="13">
        <v>1888.43</v>
      </c>
      <c r="I2440" s="13">
        <f>' car_sales_data 1'!$G2440*0.2</f>
        <v>3353.6</v>
      </c>
      <c r="J2440" s="13" t="str">
        <f>TEXT(' car_sales_data 1'!$A2440,"mmmm")</f>
        <v>October</v>
      </c>
      <c r="K2440" s="13" t="str">
        <f>IF(' car_sales_data 1'!$G2440&gt;40000,"Premium",
 IF(' car_sales_data 1'!$G2440&gt;=20000,"Mid Range","Budget"))</f>
        <v>Budget</v>
      </c>
      <c r="L2440" s="13">
        <f>YEAR(TODAY())-' car_sales_data 1'!$F2440</f>
        <v>15</v>
      </c>
    </row>
    <row r="2441" ht="15.75" customHeight="1">
      <c r="A2441" s="16">
        <v>44988.0</v>
      </c>
      <c r="B2441" s="13" t="s">
        <v>4765</v>
      </c>
      <c r="C2441" s="13" t="s">
        <v>4766</v>
      </c>
      <c r="D2441" s="13" t="s">
        <v>6</v>
      </c>
      <c r="E2441" s="13" t="s">
        <v>57</v>
      </c>
      <c r="F2441" s="13">
        <v>2015.0</v>
      </c>
      <c r="G2441" s="13">
        <v>11899.0</v>
      </c>
      <c r="H2441" s="13">
        <v>1631.97</v>
      </c>
      <c r="I2441" s="13">
        <f>' car_sales_data 1'!$G2441*0.2</f>
        <v>2379.8</v>
      </c>
      <c r="J2441" s="13" t="str">
        <f>TEXT(' car_sales_data 1'!$A2441,"mmmm")</f>
        <v>March</v>
      </c>
      <c r="K2441" s="13" t="str">
        <f>IF(' car_sales_data 1'!$G2441&gt;40000,"Premium",
 IF(' car_sales_data 1'!$G2441&gt;=20000,"Mid Range","Budget"))</f>
        <v>Budget</v>
      </c>
      <c r="L2441" s="13">
        <f>YEAR(TODAY())-' car_sales_data 1'!$F2441</f>
        <v>10</v>
      </c>
    </row>
    <row r="2442" ht="15.75" customHeight="1">
      <c r="A2442" s="16">
        <v>44931.0</v>
      </c>
      <c r="B2442" s="13" t="s">
        <v>4767</v>
      </c>
      <c r="C2442" s="13" t="s">
        <v>4768</v>
      </c>
      <c r="D2442" s="13" t="s">
        <v>6</v>
      </c>
      <c r="E2442" s="13" t="s">
        <v>62</v>
      </c>
      <c r="F2442" s="13">
        <v>2017.0</v>
      </c>
      <c r="G2442" s="13">
        <v>38607.0</v>
      </c>
      <c r="H2442" s="13">
        <v>3510.71</v>
      </c>
      <c r="I2442" s="13">
        <f>' car_sales_data 1'!$G2442*0.2</f>
        <v>7721.4</v>
      </c>
      <c r="J2442" s="13" t="str">
        <f>TEXT(' car_sales_data 1'!$A2442,"mmmm")</f>
        <v>January</v>
      </c>
      <c r="K2442" s="13" t="str">
        <f>IF(' car_sales_data 1'!$G2442&gt;40000,"Premium",
 IF(' car_sales_data 1'!$G2442&gt;=20000,"Mid Range","Budget"))</f>
        <v>Mid Range</v>
      </c>
      <c r="L2442" s="13">
        <f>YEAR(TODAY())-' car_sales_data 1'!$F2442</f>
        <v>8</v>
      </c>
    </row>
    <row r="2443" ht="15.75" customHeight="1">
      <c r="A2443" s="16">
        <v>44885.0</v>
      </c>
      <c r="B2443" s="13" t="s">
        <v>4769</v>
      </c>
      <c r="C2443" s="13" t="s">
        <v>1404</v>
      </c>
      <c r="D2443" s="13" t="s">
        <v>12</v>
      </c>
      <c r="E2443" s="13" t="s">
        <v>62</v>
      </c>
      <c r="F2443" s="13">
        <v>2020.0</v>
      </c>
      <c r="G2443" s="13">
        <v>22393.0</v>
      </c>
      <c r="H2443" s="13">
        <v>3088.84</v>
      </c>
      <c r="I2443" s="13">
        <f>' car_sales_data 1'!$G2443*0.2</f>
        <v>4478.6</v>
      </c>
      <c r="J2443" s="13" t="str">
        <f>TEXT(' car_sales_data 1'!$A2443,"mmmm")</f>
        <v>November</v>
      </c>
      <c r="K2443" s="13" t="str">
        <f>IF(' car_sales_data 1'!$G2443&gt;40000,"Premium",
 IF(' car_sales_data 1'!$G2443&gt;=20000,"Mid Range","Budget"))</f>
        <v>Mid Range</v>
      </c>
      <c r="L2443" s="13">
        <f>YEAR(TODAY())-' car_sales_data 1'!$F2443</f>
        <v>5</v>
      </c>
    </row>
    <row r="2444" ht="15.75" customHeight="1">
      <c r="A2444" s="16">
        <v>45025.0</v>
      </c>
      <c r="B2444" s="13" t="s">
        <v>4770</v>
      </c>
      <c r="C2444" s="13" t="s">
        <v>4771</v>
      </c>
      <c r="D2444" s="13" t="s">
        <v>12</v>
      </c>
      <c r="E2444" s="13" t="s">
        <v>54</v>
      </c>
      <c r="F2444" s="13">
        <v>2021.0</v>
      </c>
      <c r="G2444" s="13">
        <v>38854.0</v>
      </c>
      <c r="H2444" s="13">
        <v>5376.32</v>
      </c>
      <c r="I2444" s="13">
        <f>' car_sales_data 1'!$G2444*0.2</f>
        <v>7770.8</v>
      </c>
      <c r="J2444" s="13" t="str">
        <f>TEXT(' car_sales_data 1'!$A2444,"mmmm")</f>
        <v>April</v>
      </c>
      <c r="K2444" s="13" t="str">
        <f>IF(' car_sales_data 1'!$G2444&gt;40000,"Premium",
 IF(' car_sales_data 1'!$G2444&gt;=20000,"Mid Range","Budget"))</f>
        <v>Mid Range</v>
      </c>
      <c r="L2444" s="13">
        <f>YEAR(TODAY())-' car_sales_data 1'!$F2444</f>
        <v>4</v>
      </c>
    </row>
    <row r="2445" ht="15.75" customHeight="1">
      <c r="A2445" s="16">
        <v>45009.0</v>
      </c>
      <c r="B2445" s="13" t="s">
        <v>4772</v>
      </c>
      <c r="C2445" s="13" t="s">
        <v>4773</v>
      </c>
      <c r="D2445" s="13" t="s">
        <v>8</v>
      </c>
      <c r="E2445" s="13" t="s">
        <v>57</v>
      </c>
      <c r="F2445" s="13">
        <v>2020.0</v>
      </c>
      <c r="G2445" s="13">
        <v>11249.0</v>
      </c>
      <c r="H2445" s="13">
        <v>1245.37</v>
      </c>
      <c r="I2445" s="13">
        <f>' car_sales_data 1'!$G2445*0.2</f>
        <v>2249.8</v>
      </c>
      <c r="J2445" s="13" t="str">
        <f>TEXT(' car_sales_data 1'!$A2445,"mmmm")</f>
        <v>March</v>
      </c>
      <c r="K2445" s="13" t="str">
        <f>IF(' car_sales_data 1'!$G2445&gt;40000,"Premium",
 IF(' car_sales_data 1'!$G2445&gt;=20000,"Mid Range","Budget"))</f>
        <v>Budget</v>
      </c>
      <c r="L2445" s="13">
        <f>YEAR(TODAY())-' car_sales_data 1'!$F2445</f>
        <v>5</v>
      </c>
    </row>
    <row r="2446" ht="15.75" customHeight="1">
      <c r="A2446" s="16">
        <v>44696.0</v>
      </c>
      <c r="B2446" s="13" t="s">
        <v>4774</v>
      </c>
      <c r="C2446" s="13" t="s">
        <v>4775</v>
      </c>
      <c r="D2446" s="13" t="s">
        <v>12</v>
      </c>
      <c r="E2446" s="13" t="s">
        <v>70</v>
      </c>
      <c r="F2446" s="13">
        <v>2015.0</v>
      </c>
      <c r="G2446" s="13">
        <v>36447.0</v>
      </c>
      <c r="H2446" s="13">
        <v>3474.51</v>
      </c>
      <c r="I2446" s="13">
        <f>' car_sales_data 1'!$G2446*0.2</f>
        <v>7289.4</v>
      </c>
      <c r="J2446" s="13" t="str">
        <f>TEXT(' car_sales_data 1'!$A2446,"mmmm")</f>
        <v>May</v>
      </c>
      <c r="K2446" s="13" t="str">
        <f>IF(' car_sales_data 1'!$G2446&gt;40000,"Premium",
 IF(' car_sales_data 1'!$G2446&gt;=20000,"Mid Range","Budget"))</f>
        <v>Mid Range</v>
      </c>
      <c r="L2446" s="13">
        <f>YEAR(TODAY())-' car_sales_data 1'!$F2446</f>
        <v>10</v>
      </c>
    </row>
    <row r="2447" ht="15.75" customHeight="1">
      <c r="A2447" s="16">
        <v>44721.0</v>
      </c>
      <c r="B2447" s="13" t="s">
        <v>4546</v>
      </c>
      <c r="C2447" s="13" t="s">
        <v>4776</v>
      </c>
      <c r="D2447" s="13" t="s">
        <v>8</v>
      </c>
      <c r="E2447" s="13" t="s">
        <v>62</v>
      </c>
      <c r="F2447" s="13">
        <v>2019.0</v>
      </c>
      <c r="G2447" s="13">
        <v>21178.0</v>
      </c>
      <c r="H2447" s="13">
        <v>1911.25</v>
      </c>
      <c r="I2447" s="13">
        <f>' car_sales_data 1'!$G2447*0.2</f>
        <v>4235.6</v>
      </c>
      <c r="J2447" s="13" t="str">
        <f>TEXT(' car_sales_data 1'!$A2447,"mmmm")</f>
        <v>June</v>
      </c>
      <c r="K2447" s="13" t="str">
        <f>IF(' car_sales_data 1'!$G2447&gt;40000,"Premium",
 IF(' car_sales_data 1'!$G2447&gt;=20000,"Mid Range","Budget"))</f>
        <v>Mid Range</v>
      </c>
      <c r="L2447" s="13">
        <f>YEAR(TODAY())-' car_sales_data 1'!$F2447</f>
        <v>6</v>
      </c>
    </row>
    <row r="2448" ht="15.75" customHeight="1">
      <c r="A2448" s="16">
        <v>44815.0</v>
      </c>
      <c r="B2448" s="13" t="s">
        <v>4777</v>
      </c>
      <c r="C2448" s="13" t="s">
        <v>4778</v>
      </c>
      <c r="D2448" s="13" t="s">
        <v>10</v>
      </c>
      <c r="E2448" s="13" t="s">
        <v>57</v>
      </c>
      <c r="F2448" s="13">
        <v>2019.0</v>
      </c>
      <c r="G2448" s="13">
        <v>46096.0</v>
      </c>
      <c r="H2448" s="13">
        <v>5874.83</v>
      </c>
      <c r="I2448" s="13">
        <f>' car_sales_data 1'!$G2448*0.2</f>
        <v>9219.2</v>
      </c>
      <c r="J2448" s="13" t="str">
        <f>TEXT(' car_sales_data 1'!$A2448,"mmmm")</f>
        <v>September</v>
      </c>
      <c r="K2448" s="13" t="str">
        <f>IF(' car_sales_data 1'!$G2448&gt;40000,"Premium",
 IF(' car_sales_data 1'!$G2448&gt;=20000,"Mid Range","Budget"))</f>
        <v>Premium</v>
      </c>
      <c r="L2448" s="13">
        <f>YEAR(TODAY())-' car_sales_data 1'!$F2448</f>
        <v>6</v>
      </c>
    </row>
    <row r="2449" ht="15.75" customHeight="1">
      <c r="A2449" s="16">
        <v>44952.0</v>
      </c>
      <c r="B2449" s="13" t="s">
        <v>4779</v>
      </c>
      <c r="C2449" s="13" t="s">
        <v>4780</v>
      </c>
      <c r="D2449" s="13" t="s">
        <v>10</v>
      </c>
      <c r="E2449" s="13" t="s">
        <v>70</v>
      </c>
      <c r="F2449" s="13">
        <v>2018.0</v>
      </c>
      <c r="G2449" s="13">
        <v>16449.0</v>
      </c>
      <c r="H2449" s="13">
        <v>2010.67</v>
      </c>
      <c r="I2449" s="13">
        <f>' car_sales_data 1'!$G2449*0.2</f>
        <v>3289.8</v>
      </c>
      <c r="J2449" s="13" t="str">
        <f>TEXT(' car_sales_data 1'!$A2449,"mmmm")</f>
        <v>January</v>
      </c>
      <c r="K2449" s="13" t="str">
        <f>IF(' car_sales_data 1'!$G2449&gt;40000,"Premium",
 IF(' car_sales_data 1'!$G2449&gt;=20000,"Mid Range","Budget"))</f>
        <v>Budget</v>
      </c>
      <c r="L2449" s="13">
        <f>YEAR(TODAY())-' car_sales_data 1'!$F2449</f>
        <v>7</v>
      </c>
    </row>
    <row r="2450" ht="15.75" customHeight="1">
      <c r="A2450" s="16">
        <v>44856.0</v>
      </c>
      <c r="B2450" s="13" t="s">
        <v>4781</v>
      </c>
      <c r="C2450" s="13" t="s">
        <v>4782</v>
      </c>
      <c r="D2450" s="13" t="s">
        <v>6</v>
      </c>
      <c r="E2450" s="13" t="s">
        <v>54</v>
      </c>
      <c r="F2450" s="13">
        <v>2013.0</v>
      </c>
      <c r="G2450" s="13">
        <v>22928.0</v>
      </c>
      <c r="H2450" s="13">
        <v>2699.71</v>
      </c>
      <c r="I2450" s="13">
        <f>' car_sales_data 1'!$G2450*0.2</f>
        <v>4585.6</v>
      </c>
      <c r="J2450" s="13" t="str">
        <f>TEXT(' car_sales_data 1'!$A2450,"mmmm")</f>
        <v>October</v>
      </c>
      <c r="K2450" s="13" t="str">
        <f>IF(' car_sales_data 1'!$G2450&gt;40000,"Premium",
 IF(' car_sales_data 1'!$G2450&gt;=20000,"Mid Range","Budget"))</f>
        <v>Mid Range</v>
      </c>
      <c r="L2450" s="13">
        <f>YEAR(TODAY())-' car_sales_data 1'!$F2450</f>
        <v>12</v>
      </c>
    </row>
    <row r="2451" ht="15.75" customHeight="1">
      <c r="A2451" s="16">
        <v>44743.0</v>
      </c>
      <c r="B2451" s="13" t="s">
        <v>4783</v>
      </c>
      <c r="C2451" s="13" t="s">
        <v>4784</v>
      </c>
      <c r="D2451" s="13" t="s">
        <v>8</v>
      </c>
      <c r="E2451" s="13" t="s">
        <v>57</v>
      </c>
      <c r="F2451" s="13">
        <v>2017.0</v>
      </c>
      <c r="G2451" s="13">
        <v>40403.0</v>
      </c>
      <c r="H2451" s="13">
        <v>5693.82</v>
      </c>
      <c r="I2451" s="13">
        <f>' car_sales_data 1'!$G2451*0.2</f>
        <v>8080.6</v>
      </c>
      <c r="J2451" s="13" t="str">
        <f>TEXT(' car_sales_data 1'!$A2451,"mmmm")</f>
        <v>July</v>
      </c>
      <c r="K2451" s="13" t="str">
        <f>IF(' car_sales_data 1'!$G2451&gt;40000,"Premium",
 IF(' car_sales_data 1'!$G2451&gt;=20000,"Mid Range","Budget"))</f>
        <v>Premium</v>
      </c>
      <c r="L2451" s="13">
        <f>YEAR(TODAY())-' car_sales_data 1'!$F2451</f>
        <v>8</v>
      </c>
    </row>
    <row r="2452" ht="15.75" customHeight="1">
      <c r="A2452" s="16">
        <v>44862.0</v>
      </c>
      <c r="B2452" s="13" t="s">
        <v>4420</v>
      </c>
      <c r="C2452" s="13" t="s">
        <v>4785</v>
      </c>
      <c r="D2452" s="13" t="s">
        <v>12</v>
      </c>
      <c r="E2452" s="13" t="s">
        <v>70</v>
      </c>
      <c r="F2452" s="13">
        <v>2016.0</v>
      </c>
      <c r="G2452" s="13">
        <v>43898.0</v>
      </c>
      <c r="H2452" s="13">
        <v>3821.51</v>
      </c>
      <c r="I2452" s="13">
        <f>' car_sales_data 1'!$G2452*0.2</f>
        <v>8779.6</v>
      </c>
      <c r="J2452" s="13" t="str">
        <f>TEXT(' car_sales_data 1'!$A2452,"mmmm")</f>
        <v>October</v>
      </c>
      <c r="K2452" s="13" t="str">
        <f>IF(' car_sales_data 1'!$G2452&gt;40000,"Premium",
 IF(' car_sales_data 1'!$G2452&gt;=20000,"Mid Range","Budget"))</f>
        <v>Premium</v>
      </c>
      <c r="L2452" s="13">
        <f>YEAR(TODAY())-' car_sales_data 1'!$F2452</f>
        <v>9</v>
      </c>
    </row>
    <row r="2453" ht="15.75" customHeight="1">
      <c r="A2453" s="16">
        <v>44948.0</v>
      </c>
      <c r="B2453" s="13" t="s">
        <v>4786</v>
      </c>
      <c r="C2453" s="13" t="s">
        <v>4787</v>
      </c>
      <c r="D2453" s="13" t="s">
        <v>12</v>
      </c>
      <c r="E2453" s="13" t="s">
        <v>57</v>
      </c>
      <c r="F2453" s="13">
        <v>2021.0</v>
      </c>
      <c r="G2453" s="13">
        <v>31000.0</v>
      </c>
      <c r="H2453" s="13">
        <v>3820.1</v>
      </c>
      <c r="I2453" s="13">
        <f>' car_sales_data 1'!$G2453*0.2</f>
        <v>6200</v>
      </c>
      <c r="J2453" s="13" t="str">
        <f>TEXT(' car_sales_data 1'!$A2453,"mmmm")</f>
        <v>January</v>
      </c>
      <c r="K2453" s="13" t="str">
        <f>IF(' car_sales_data 1'!$G2453&gt;40000,"Premium",
 IF(' car_sales_data 1'!$G2453&gt;=20000,"Mid Range","Budget"))</f>
        <v>Mid Range</v>
      </c>
      <c r="L2453" s="13">
        <f>YEAR(TODAY())-' car_sales_data 1'!$F2453</f>
        <v>4</v>
      </c>
    </row>
    <row r="2454" ht="15.75" customHeight="1">
      <c r="A2454" s="16">
        <v>44691.0</v>
      </c>
      <c r="B2454" s="13" t="s">
        <v>4788</v>
      </c>
      <c r="C2454" s="13" t="s">
        <v>4789</v>
      </c>
      <c r="D2454" s="13" t="s">
        <v>10</v>
      </c>
      <c r="E2454" s="13" t="s">
        <v>70</v>
      </c>
      <c r="F2454" s="13">
        <v>2021.0</v>
      </c>
      <c r="G2454" s="13">
        <v>34819.0</v>
      </c>
      <c r="H2454" s="13">
        <v>2385.89</v>
      </c>
      <c r="I2454" s="13">
        <f>' car_sales_data 1'!$G2454*0.2</f>
        <v>6963.8</v>
      </c>
      <c r="J2454" s="13" t="str">
        <f>TEXT(' car_sales_data 1'!$A2454,"mmmm")</f>
        <v>May</v>
      </c>
      <c r="K2454" s="13" t="str">
        <f>IF(' car_sales_data 1'!$G2454&gt;40000,"Premium",
 IF(' car_sales_data 1'!$G2454&gt;=20000,"Mid Range","Budget"))</f>
        <v>Mid Range</v>
      </c>
      <c r="L2454" s="13">
        <f>YEAR(TODAY())-' car_sales_data 1'!$F2454</f>
        <v>4</v>
      </c>
    </row>
    <row r="2455" ht="15.75" customHeight="1">
      <c r="A2455" s="16">
        <v>44932.0</v>
      </c>
      <c r="B2455" s="13" t="s">
        <v>4790</v>
      </c>
      <c r="C2455" s="13" t="s">
        <v>4791</v>
      </c>
      <c r="D2455" s="13" t="s">
        <v>8</v>
      </c>
      <c r="E2455" s="13" t="s">
        <v>51</v>
      </c>
      <c r="F2455" s="13">
        <v>2017.0</v>
      </c>
      <c r="G2455" s="13">
        <v>43283.0</v>
      </c>
      <c r="H2455" s="13">
        <v>5898.74</v>
      </c>
      <c r="I2455" s="13">
        <f>' car_sales_data 1'!$G2455*0.2</f>
        <v>8656.6</v>
      </c>
      <c r="J2455" s="13" t="str">
        <f>TEXT(' car_sales_data 1'!$A2455,"mmmm")</f>
        <v>January</v>
      </c>
      <c r="K2455" s="13" t="str">
        <f>IF(' car_sales_data 1'!$G2455&gt;40000,"Premium",
 IF(' car_sales_data 1'!$G2455&gt;=20000,"Mid Range","Budget"))</f>
        <v>Premium</v>
      </c>
      <c r="L2455" s="13">
        <f>YEAR(TODAY())-' car_sales_data 1'!$F2455</f>
        <v>8</v>
      </c>
    </row>
    <row r="2456" ht="15.75" customHeight="1">
      <c r="A2456" s="16">
        <v>44683.0</v>
      </c>
      <c r="B2456" s="13" t="s">
        <v>4792</v>
      </c>
      <c r="C2456" s="13" t="s">
        <v>4793</v>
      </c>
      <c r="D2456" s="13" t="s">
        <v>10</v>
      </c>
      <c r="E2456" s="13" t="s">
        <v>54</v>
      </c>
      <c r="F2456" s="13">
        <v>2014.0</v>
      </c>
      <c r="G2456" s="13">
        <v>32476.0</v>
      </c>
      <c r="H2456" s="13">
        <v>3729.89</v>
      </c>
      <c r="I2456" s="13">
        <f>' car_sales_data 1'!$G2456*0.2</f>
        <v>6495.2</v>
      </c>
      <c r="J2456" s="13" t="str">
        <f>TEXT(' car_sales_data 1'!$A2456,"mmmm")</f>
        <v>May</v>
      </c>
      <c r="K2456" s="13" t="str">
        <f>IF(' car_sales_data 1'!$G2456&gt;40000,"Premium",
 IF(' car_sales_data 1'!$G2456&gt;=20000,"Mid Range","Budget"))</f>
        <v>Mid Range</v>
      </c>
      <c r="L2456" s="13">
        <f>YEAR(TODAY())-' car_sales_data 1'!$F2456</f>
        <v>11</v>
      </c>
    </row>
    <row r="2457" ht="15.75" customHeight="1">
      <c r="A2457" s="16">
        <v>44844.0</v>
      </c>
      <c r="B2457" s="13" t="s">
        <v>4794</v>
      </c>
      <c r="C2457" s="13" t="s">
        <v>4795</v>
      </c>
      <c r="D2457" s="13" t="s">
        <v>6</v>
      </c>
      <c r="E2457" s="13" t="s">
        <v>57</v>
      </c>
      <c r="F2457" s="13">
        <v>2014.0</v>
      </c>
      <c r="G2457" s="13">
        <v>18337.0</v>
      </c>
      <c r="H2457" s="13">
        <v>2402.13</v>
      </c>
      <c r="I2457" s="13">
        <f>' car_sales_data 1'!$G2457*0.2</f>
        <v>3667.4</v>
      </c>
      <c r="J2457" s="13" t="str">
        <f>TEXT(' car_sales_data 1'!$A2457,"mmmm")</f>
        <v>October</v>
      </c>
      <c r="K2457" s="13" t="str">
        <f>IF(' car_sales_data 1'!$G2457&gt;40000,"Premium",
 IF(' car_sales_data 1'!$G2457&gt;=20000,"Mid Range","Budget"))</f>
        <v>Budget</v>
      </c>
      <c r="L2457" s="13">
        <f>YEAR(TODAY())-' car_sales_data 1'!$F2457</f>
        <v>11</v>
      </c>
    </row>
    <row r="2458" ht="15.75" customHeight="1">
      <c r="A2458" s="16">
        <v>44745.0</v>
      </c>
      <c r="B2458" s="13" t="s">
        <v>4796</v>
      </c>
      <c r="C2458" s="13" t="s">
        <v>4797</v>
      </c>
      <c r="D2458" s="13" t="s">
        <v>6</v>
      </c>
      <c r="E2458" s="13" t="s">
        <v>62</v>
      </c>
      <c r="F2458" s="13">
        <v>2018.0</v>
      </c>
      <c r="G2458" s="13">
        <v>16718.0</v>
      </c>
      <c r="H2458" s="13">
        <v>1114.74</v>
      </c>
      <c r="I2458" s="13">
        <f>' car_sales_data 1'!$G2458*0.2</f>
        <v>3343.6</v>
      </c>
      <c r="J2458" s="13" t="str">
        <f>TEXT(' car_sales_data 1'!$A2458,"mmmm")</f>
        <v>July</v>
      </c>
      <c r="K2458" s="13" t="str">
        <f>IF(' car_sales_data 1'!$G2458&gt;40000,"Premium",
 IF(' car_sales_data 1'!$G2458&gt;=20000,"Mid Range","Budget"))</f>
        <v>Budget</v>
      </c>
      <c r="L2458" s="13">
        <f>YEAR(TODAY())-' car_sales_data 1'!$F2458</f>
        <v>7</v>
      </c>
    </row>
    <row r="2459" ht="15.75" customHeight="1">
      <c r="A2459" s="16">
        <v>44994.0</v>
      </c>
      <c r="B2459" s="13" t="s">
        <v>4798</v>
      </c>
      <c r="C2459" s="13" t="s">
        <v>4799</v>
      </c>
      <c r="D2459" s="13" t="s">
        <v>6</v>
      </c>
      <c r="E2459" s="13" t="s">
        <v>70</v>
      </c>
      <c r="F2459" s="13">
        <v>2019.0</v>
      </c>
      <c r="G2459" s="13">
        <v>39597.0</v>
      </c>
      <c r="H2459" s="13">
        <v>3418.38</v>
      </c>
      <c r="I2459" s="13">
        <f>' car_sales_data 1'!$G2459*0.2</f>
        <v>7919.4</v>
      </c>
      <c r="J2459" s="13" t="str">
        <f>TEXT(' car_sales_data 1'!$A2459,"mmmm")</f>
        <v>March</v>
      </c>
      <c r="K2459" s="13" t="str">
        <f>IF(' car_sales_data 1'!$G2459&gt;40000,"Premium",
 IF(' car_sales_data 1'!$G2459&gt;=20000,"Mid Range","Budget"))</f>
        <v>Mid Range</v>
      </c>
      <c r="L2459" s="13">
        <f>YEAR(TODAY())-' car_sales_data 1'!$F2459</f>
        <v>6</v>
      </c>
    </row>
    <row r="2460" ht="15.75" customHeight="1">
      <c r="A2460" s="16">
        <v>44793.0</v>
      </c>
      <c r="B2460" s="13" t="s">
        <v>4800</v>
      </c>
      <c r="C2460" s="13" t="s">
        <v>4801</v>
      </c>
      <c r="D2460" s="13" t="s">
        <v>14</v>
      </c>
      <c r="E2460" s="13" t="s">
        <v>62</v>
      </c>
      <c r="F2460" s="13">
        <v>2015.0</v>
      </c>
      <c r="G2460" s="13">
        <v>42093.0</v>
      </c>
      <c r="H2460" s="13">
        <v>6210.23</v>
      </c>
      <c r="I2460" s="13">
        <f>' car_sales_data 1'!$G2460*0.2</f>
        <v>8418.6</v>
      </c>
      <c r="J2460" s="13" t="str">
        <f>TEXT(' car_sales_data 1'!$A2460,"mmmm")</f>
        <v>August</v>
      </c>
      <c r="K2460" s="13" t="str">
        <f>IF(' car_sales_data 1'!$G2460&gt;40000,"Premium",
 IF(' car_sales_data 1'!$G2460&gt;=20000,"Mid Range","Budget"))</f>
        <v>Premium</v>
      </c>
      <c r="L2460" s="13">
        <f>YEAR(TODAY())-' car_sales_data 1'!$F2460</f>
        <v>10</v>
      </c>
    </row>
    <row r="2461" ht="15.75" customHeight="1">
      <c r="A2461" s="16">
        <v>44855.0</v>
      </c>
      <c r="B2461" s="13" t="s">
        <v>3957</v>
      </c>
      <c r="C2461" s="13" t="s">
        <v>4802</v>
      </c>
      <c r="D2461" s="13" t="s">
        <v>8</v>
      </c>
      <c r="E2461" s="13" t="s">
        <v>62</v>
      </c>
      <c r="F2461" s="13">
        <v>2020.0</v>
      </c>
      <c r="G2461" s="13">
        <v>18843.0</v>
      </c>
      <c r="H2461" s="13">
        <v>2620.55</v>
      </c>
      <c r="I2461" s="13">
        <f>' car_sales_data 1'!$G2461*0.2</f>
        <v>3768.6</v>
      </c>
      <c r="J2461" s="13" t="str">
        <f>TEXT(' car_sales_data 1'!$A2461,"mmmm")</f>
        <v>October</v>
      </c>
      <c r="K2461" s="13" t="str">
        <f>IF(' car_sales_data 1'!$G2461&gt;40000,"Premium",
 IF(' car_sales_data 1'!$G2461&gt;=20000,"Mid Range","Budget"))</f>
        <v>Budget</v>
      </c>
      <c r="L2461" s="13">
        <f>YEAR(TODAY())-' car_sales_data 1'!$F2461</f>
        <v>5</v>
      </c>
    </row>
    <row r="2462" ht="15.75" customHeight="1">
      <c r="A2462" s="16">
        <v>44884.0</v>
      </c>
      <c r="B2462" s="13" t="s">
        <v>4803</v>
      </c>
      <c r="C2462" s="13" t="s">
        <v>4804</v>
      </c>
      <c r="D2462" s="13" t="s">
        <v>6</v>
      </c>
      <c r="E2462" s="13" t="s">
        <v>62</v>
      </c>
      <c r="F2462" s="13">
        <v>2020.0</v>
      </c>
      <c r="G2462" s="13">
        <v>31442.0</v>
      </c>
      <c r="H2462" s="13">
        <v>2955.29</v>
      </c>
      <c r="I2462" s="13">
        <f>' car_sales_data 1'!$G2462*0.2</f>
        <v>6288.4</v>
      </c>
      <c r="J2462" s="13" t="str">
        <f>TEXT(' car_sales_data 1'!$A2462,"mmmm")</f>
        <v>November</v>
      </c>
      <c r="K2462" s="13" t="str">
        <f>IF(' car_sales_data 1'!$G2462&gt;40000,"Premium",
 IF(' car_sales_data 1'!$G2462&gt;=20000,"Mid Range","Budget"))</f>
        <v>Mid Range</v>
      </c>
      <c r="L2462" s="13">
        <f>YEAR(TODAY())-' car_sales_data 1'!$F2462</f>
        <v>5</v>
      </c>
    </row>
    <row r="2463" ht="15.75" customHeight="1">
      <c r="A2463" s="16">
        <v>44712.0</v>
      </c>
      <c r="B2463" s="13" t="s">
        <v>4805</v>
      </c>
      <c r="C2463" s="13" t="s">
        <v>4806</v>
      </c>
      <c r="D2463" s="13" t="s">
        <v>8</v>
      </c>
      <c r="E2463" s="13" t="s">
        <v>62</v>
      </c>
      <c r="F2463" s="13">
        <v>2010.0</v>
      </c>
      <c r="G2463" s="13">
        <v>29541.0</v>
      </c>
      <c r="H2463" s="13">
        <v>2724.21</v>
      </c>
      <c r="I2463" s="13">
        <f>' car_sales_data 1'!$G2463*0.2</f>
        <v>5908.2</v>
      </c>
      <c r="J2463" s="13" t="str">
        <f>TEXT(' car_sales_data 1'!$A2463,"mmmm")</f>
        <v>May</v>
      </c>
      <c r="K2463" s="13" t="str">
        <f>IF(' car_sales_data 1'!$G2463&gt;40000,"Premium",
 IF(' car_sales_data 1'!$G2463&gt;=20000,"Mid Range","Budget"))</f>
        <v>Mid Range</v>
      </c>
      <c r="L2463" s="13">
        <f>YEAR(TODAY())-' car_sales_data 1'!$F2463</f>
        <v>15</v>
      </c>
    </row>
    <row r="2464" ht="15.75" customHeight="1">
      <c r="A2464" s="16">
        <v>44867.0</v>
      </c>
      <c r="B2464" s="13" t="s">
        <v>4807</v>
      </c>
      <c r="C2464" s="13" t="s">
        <v>4808</v>
      </c>
      <c r="D2464" s="13" t="s">
        <v>8</v>
      </c>
      <c r="E2464" s="13" t="s">
        <v>62</v>
      </c>
      <c r="F2464" s="13">
        <v>2016.0</v>
      </c>
      <c r="G2464" s="13">
        <v>45120.0</v>
      </c>
      <c r="H2464" s="13">
        <v>5221.32</v>
      </c>
      <c r="I2464" s="13">
        <f>' car_sales_data 1'!$G2464*0.2</f>
        <v>9024</v>
      </c>
      <c r="J2464" s="13" t="str">
        <f>TEXT(' car_sales_data 1'!$A2464,"mmmm")</f>
        <v>November</v>
      </c>
      <c r="K2464" s="13" t="str">
        <f>IF(' car_sales_data 1'!$G2464&gt;40000,"Premium",
 IF(' car_sales_data 1'!$G2464&gt;=20000,"Mid Range","Budget"))</f>
        <v>Premium</v>
      </c>
      <c r="L2464" s="13">
        <f>YEAR(TODAY())-' car_sales_data 1'!$F2464</f>
        <v>9</v>
      </c>
    </row>
    <row r="2465" ht="15.75" customHeight="1">
      <c r="A2465" s="16">
        <v>44964.0</v>
      </c>
      <c r="B2465" s="13" t="s">
        <v>4809</v>
      </c>
      <c r="C2465" s="13" t="s">
        <v>4810</v>
      </c>
      <c r="D2465" s="13" t="s">
        <v>6</v>
      </c>
      <c r="E2465" s="13" t="s">
        <v>57</v>
      </c>
      <c r="F2465" s="13">
        <v>2010.0</v>
      </c>
      <c r="G2465" s="13">
        <v>45910.0</v>
      </c>
      <c r="H2465" s="13">
        <v>4403.67</v>
      </c>
      <c r="I2465" s="13">
        <f>' car_sales_data 1'!$G2465*0.2</f>
        <v>9182</v>
      </c>
      <c r="J2465" s="13" t="str">
        <f>TEXT(' car_sales_data 1'!$A2465,"mmmm")</f>
        <v>February</v>
      </c>
      <c r="K2465" s="13" t="str">
        <f>IF(' car_sales_data 1'!$G2465&gt;40000,"Premium",
 IF(' car_sales_data 1'!$G2465&gt;=20000,"Mid Range","Budget"))</f>
        <v>Premium</v>
      </c>
      <c r="L2465" s="13">
        <f>YEAR(TODAY())-' car_sales_data 1'!$F2465</f>
        <v>15</v>
      </c>
    </row>
    <row r="2466" ht="15.75" customHeight="1">
      <c r="A2466" s="16">
        <v>44683.0</v>
      </c>
      <c r="B2466" s="13" t="s">
        <v>4811</v>
      </c>
      <c r="C2466" s="13" t="s">
        <v>4812</v>
      </c>
      <c r="D2466" s="13" t="s">
        <v>14</v>
      </c>
      <c r="E2466" s="13" t="s">
        <v>54</v>
      </c>
      <c r="F2466" s="13">
        <v>2020.0</v>
      </c>
      <c r="G2466" s="13">
        <v>20365.0</v>
      </c>
      <c r="H2466" s="13">
        <v>2762.95</v>
      </c>
      <c r="I2466" s="13">
        <f>' car_sales_data 1'!$G2466*0.2</f>
        <v>4073</v>
      </c>
      <c r="J2466" s="13" t="str">
        <f>TEXT(' car_sales_data 1'!$A2466,"mmmm")</f>
        <v>May</v>
      </c>
      <c r="K2466" s="13" t="str">
        <f>IF(' car_sales_data 1'!$G2466&gt;40000,"Premium",
 IF(' car_sales_data 1'!$G2466&gt;=20000,"Mid Range","Budget"))</f>
        <v>Mid Range</v>
      </c>
      <c r="L2466" s="13">
        <f>YEAR(TODAY())-' car_sales_data 1'!$F2466</f>
        <v>5</v>
      </c>
    </row>
    <row r="2467" ht="15.75" customHeight="1">
      <c r="A2467" s="16">
        <v>44809.0</v>
      </c>
      <c r="B2467" s="13" t="s">
        <v>4813</v>
      </c>
      <c r="C2467" s="13" t="s">
        <v>3399</v>
      </c>
      <c r="D2467" s="13" t="s">
        <v>14</v>
      </c>
      <c r="E2467" s="13" t="s">
        <v>51</v>
      </c>
      <c r="F2467" s="13">
        <v>2018.0</v>
      </c>
      <c r="G2467" s="13">
        <v>24168.0</v>
      </c>
      <c r="H2467" s="13">
        <v>2515.76</v>
      </c>
      <c r="I2467" s="13">
        <f>' car_sales_data 1'!$G2467*0.2</f>
        <v>4833.6</v>
      </c>
      <c r="J2467" s="13" t="str">
        <f>TEXT(' car_sales_data 1'!$A2467,"mmmm")</f>
        <v>September</v>
      </c>
      <c r="K2467" s="13" t="str">
        <f>IF(' car_sales_data 1'!$G2467&gt;40000,"Premium",
 IF(' car_sales_data 1'!$G2467&gt;=20000,"Mid Range","Budget"))</f>
        <v>Mid Range</v>
      </c>
      <c r="L2467" s="13">
        <f>YEAR(TODAY())-' car_sales_data 1'!$F2467</f>
        <v>7</v>
      </c>
    </row>
    <row r="2468" ht="15.75" customHeight="1">
      <c r="A2468" s="16">
        <v>44961.0</v>
      </c>
      <c r="B2468" s="13" t="s">
        <v>4814</v>
      </c>
      <c r="C2468" s="13" t="s">
        <v>4815</v>
      </c>
      <c r="D2468" s="13" t="s">
        <v>12</v>
      </c>
      <c r="E2468" s="13" t="s">
        <v>57</v>
      </c>
      <c r="F2468" s="13">
        <v>2015.0</v>
      </c>
      <c r="G2468" s="13">
        <v>42328.0</v>
      </c>
      <c r="H2468" s="13">
        <v>4043.59</v>
      </c>
      <c r="I2468" s="13">
        <f>' car_sales_data 1'!$G2468*0.2</f>
        <v>8465.6</v>
      </c>
      <c r="J2468" s="13" t="str">
        <f>TEXT(' car_sales_data 1'!$A2468,"mmmm")</f>
        <v>February</v>
      </c>
      <c r="K2468" s="13" t="str">
        <f>IF(' car_sales_data 1'!$G2468&gt;40000,"Premium",
 IF(' car_sales_data 1'!$G2468&gt;=20000,"Mid Range","Budget"))</f>
        <v>Premium</v>
      </c>
      <c r="L2468" s="13">
        <f>YEAR(TODAY())-' car_sales_data 1'!$F2468</f>
        <v>10</v>
      </c>
    </row>
    <row r="2469" ht="15.75" customHeight="1">
      <c r="A2469" s="16">
        <v>44806.0</v>
      </c>
      <c r="B2469" s="13" t="s">
        <v>4816</v>
      </c>
      <c r="C2469" s="13" t="s">
        <v>4817</v>
      </c>
      <c r="D2469" s="13" t="s">
        <v>14</v>
      </c>
      <c r="E2469" s="13" t="s">
        <v>70</v>
      </c>
      <c r="F2469" s="13">
        <v>2010.0</v>
      </c>
      <c r="G2469" s="13">
        <v>39812.0</v>
      </c>
      <c r="H2469" s="13">
        <v>2020.06</v>
      </c>
      <c r="I2469" s="13">
        <f>' car_sales_data 1'!$G2469*0.2</f>
        <v>7962.4</v>
      </c>
      <c r="J2469" s="13" t="str">
        <f>TEXT(' car_sales_data 1'!$A2469,"mmmm")</f>
        <v>September</v>
      </c>
      <c r="K2469" s="13" t="str">
        <f>IF(' car_sales_data 1'!$G2469&gt;40000,"Premium",
 IF(' car_sales_data 1'!$G2469&gt;=20000,"Mid Range","Budget"))</f>
        <v>Mid Range</v>
      </c>
      <c r="L2469" s="13">
        <f>YEAR(TODAY())-' car_sales_data 1'!$F2469</f>
        <v>15</v>
      </c>
    </row>
    <row r="2470" ht="15.75" customHeight="1">
      <c r="A2470" s="16">
        <v>45045.0</v>
      </c>
      <c r="B2470" s="13" t="s">
        <v>4818</v>
      </c>
      <c r="C2470" s="13" t="s">
        <v>4819</v>
      </c>
      <c r="D2470" s="13" t="s">
        <v>14</v>
      </c>
      <c r="E2470" s="13" t="s">
        <v>51</v>
      </c>
      <c r="F2470" s="13">
        <v>2016.0</v>
      </c>
      <c r="G2470" s="13">
        <v>17939.0</v>
      </c>
      <c r="H2470" s="13">
        <v>1949.47</v>
      </c>
      <c r="I2470" s="13">
        <f>' car_sales_data 1'!$G2470*0.2</f>
        <v>3587.8</v>
      </c>
      <c r="J2470" s="13" t="str">
        <f>TEXT(' car_sales_data 1'!$A2470,"mmmm")</f>
        <v>April</v>
      </c>
      <c r="K2470" s="13" t="str">
        <f>IF(' car_sales_data 1'!$G2470&gt;40000,"Premium",
 IF(' car_sales_data 1'!$G2470&gt;=20000,"Mid Range","Budget"))</f>
        <v>Budget</v>
      </c>
      <c r="L2470" s="13">
        <f>YEAR(TODAY())-' car_sales_data 1'!$F2470</f>
        <v>9</v>
      </c>
    </row>
    <row r="2471" ht="15.75" customHeight="1">
      <c r="A2471" s="16">
        <v>44809.0</v>
      </c>
      <c r="B2471" s="13" t="s">
        <v>4820</v>
      </c>
      <c r="C2471" s="13" t="s">
        <v>482</v>
      </c>
      <c r="D2471" s="13" t="s">
        <v>10</v>
      </c>
      <c r="E2471" s="13" t="s">
        <v>54</v>
      </c>
      <c r="F2471" s="13">
        <v>2021.0</v>
      </c>
      <c r="G2471" s="13">
        <v>10452.0</v>
      </c>
      <c r="H2471" s="13">
        <v>659.42</v>
      </c>
      <c r="I2471" s="13">
        <f>' car_sales_data 1'!$G2471*0.2</f>
        <v>2090.4</v>
      </c>
      <c r="J2471" s="13" t="str">
        <f>TEXT(' car_sales_data 1'!$A2471,"mmmm")</f>
        <v>September</v>
      </c>
      <c r="K2471" s="13" t="str">
        <f>IF(' car_sales_data 1'!$G2471&gt;40000,"Premium",
 IF(' car_sales_data 1'!$G2471&gt;=20000,"Mid Range","Budget"))</f>
        <v>Budget</v>
      </c>
      <c r="L2471" s="13">
        <f>YEAR(TODAY())-' car_sales_data 1'!$F2471</f>
        <v>4</v>
      </c>
    </row>
    <row r="2472" ht="15.75" customHeight="1">
      <c r="A2472" s="16">
        <v>44803.0</v>
      </c>
      <c r="B2472" s="13" t="s">
        <v>4821</v>
      </c>
      <c r="C2472" s="13" t="s">
        <v>4822</v>
      </c>
      <c r="D2472" s="13" t="s">
        <v>10</v>
      </c>
      <c r="E2472" s="13" t="s">
        <v>57</v>
      </c>
      <c r="F2472" s="13">
        <v>2021.0</v>
      </c>
      <c r="G2472" s="13">
        <v>44173.0</v>
      </c>
      <c r="H2472" s="13">
        <v>6229.65</v>
      </c>
      <c r="I2472" s="13">
        <f>' car_sales_data 1'!$G2472*0.2</f>
        <v>8834.6</v>
      </c>
      <c r="J2472" s="13" t="str">
        <f>TEXT(' car_sales_data 1'!$A2472,"mmmm")</f>
        <v>August</v>
      </c>
      <c r="K2472" s="13" t="str">
        <f>IF(' car_sales_data 1'!$G2472&gt;40000,"Premium",
 IF(' car_sales_data 1'!$G2472&gt;=20000,"Mid Range","Budget"))</f>
        <v>Premium</v>
      </c>
      <c r="L2472" s="13">
        <f>YEAR(TODAY())-' car_sales_data 1'!$F2472</f>
        <v>4</v>
      </c>
    </row>
    <row r="2473" ht="15.75" customHeight="1">
      <c r="A2473" s="16">
        <v>45011.0</v>
      </c>
      <c r="B2473" s="13" t="s">
        <v>4823</v>
      </c>
      <c r="C2473" s="13" t="s">
        <v>4824</v>
      </c>
      <c r="D2473" s="13" t="s">
        <v>12</v>
      </c>
      <c r="E2473" s="13" t="s">
        <v>54</v>
      </c>
      <c r="F2473" s="13">
        <v>2022.0</v>
      </c>
      <c r="G2473" s="13">
        <v>40625.0</v>
      </c>
      <c r="H2473" s="13">
        <v>2968.94</v>
      </c>
      <c r="I2473" s="13">
        <f>' car_sales_data 1'!$G2473*0.2</f>
        <v>8125</v>
      </c>
      <c r="J2473" s="13" t="str">
        <f>TEXT(' car_sales_data 1'!$A2473,"mmmm")</f>
        <v>March</v>
      </c>
      <c r="K2473" s="13" t="str">
        <f>IF(' car_sales_data 1'!$G2473&gt;40000,"Premium",
 IF(' car_sales_data 1'!$G2473&gt;=20000,"Mid Range","Budget"))</f>
        <v>Premium</v>
      </c>
      <c r="L2473" s="13">
        <f>YEAR(TODAY())-' car_sales_data 1'!$F2473</f>
        <v>3</v>
      </c>
    </row>
    <row r="2474" ht="15.75" customHeight="1">
      <c r="A2474" s="16">
        <v>44837.0</v>
      </c>
      <c r="B2474" s="13" t="s">
        <v>552</v>
      </c>
      <c r="C2474" s="13" t="s">
        <v>4492</v>
      </c>
      <c r="D2474" s="13" t="s">
        <v>8</v>
      </c>
      <c r="E2474" s="13" t="s">
        <v>54</v>
      </c>
      <c r="F2474" s="13">
        <v>2010.0</v>
      </c>
      <c r="G2474" s="13">
        <v>40260.0</v>
      </c>
      <c r="H2474" s="13">
        <v>2656.25</v>
      </c>
      <c r="I2474" s="13">
        <f>' car_sales_data 1'!$G2474*0.2</f>
        <v>8052</v>
      </c>
      <c r="J2474" s="13" t="str">
        <f>TEXT(' car_sales_data 1'!$A2474,"mmmm")</f>
        <v>October</v>
      </c>
      <c r="K2474" s="13" t="str">
        <f>IF(' car_sales_data 1'!$G2474&gt;40000,"Premium",
 IF(' car_sales_data 1'!$G2474&gt;=20000,"Mid Range","Budget"))</f>
        <v>Premium</v>
      </c>
      <c r="L2474" s="13">
        <f>YEAR(TODAY())-' car_sales_data 1'!$F2474</f>
        <v>15</v>
      </c>
    </row>
    <row r="2475" ht="15.75" customHeight="1">
      <c r="A2475" s="16">
        <v>44945.0</v>
      </c>
      <c r="B2475" s="13" t="s">
        <v>4825</v>
      </c>
      <c r="C2475" s="13" t="s">
        <v>4826</v>
      </c>
      <c r="D2475" s="13" t="s">
        <v>14</v>
      </c>
      <c r="E2475" s="13" t="s">
        <v>62</v>
      </c>
      <c r="F2475" s="13">
        <v>2019.0</v>
      </c>
      <c r="G2475" s="13">
        <v>25332.0</v>
      </c>
      <c r="H2475" s="13">
        <v>1575.33</v>
      </c>
      <c r="I2475" s="13">
        <f>' car_sales_data 1'!$G2475*0.2</f>
        <v>5066.4</v>
      </c>
      <c r="J2475" s="13" t="str">
        <f>TEXT(' car_sales_data 1'!$A2475,"mmmm")</f>
        <v>January</v>
      </c>
      <c r="K2475" s="13" t="str">
        <f>IF(' car_sales_data 1'!$G2475&gt;40000,"Premium",
 IF(' car_sales_data 1'!$G2475&gt;=20000,"Mid Range","Budget"))</f>
        <v>Mid Range</v>
      </c>
      <c r="L2475" s="13">
        <f>YEAR(TODAY())-' car_sales_data 1'!$F2475</f>
        <v>6</v>
      </c>
    </row>
    <row r="2476" ht="15.75" customHeight="1">
      <c r="A2476" s="16">
        <v>44844.0</v>
      </c>
      <c r="B2476" s="13" t="s">
        <v>4827</v>
      </c>
      <c r="C2476" s="13" t="s">
        <v>4828</v>
      </c>
      <c r="D2476" s="13" t="s">
        <v>10</v>
      </c>
      <c r="E2476" s="13" t="s">
        <v>62</v>
      </c>
      <c r="F2476" s="13">
        <v>2017.0</v>
      </c>
      <c r="G2476" s="13">
        <v>17545.0</v>
      </c>
      <c r="H2476" s="13">
        <v>2543.4</v>
      </c>
      <c r="I2476" s="13">
        <f>' car_sales_data 1'!$G2476*0.2</f>
        <v>3509</v>
      </c>
      <c r="J2476" s="13" t="str">
        <f>TEXT(' car_sales_data 1'!$A2476,"mmmm")</f>
        <v>October</v>
      </c>
      <c r="K2476" s="13" t="str">
        <f>IF(' car_sales_data 1'!$G2476&gt;40000,"Premium",
 IF(' car_sales_data 1'!$G2476&gt;=20000,"Mid Range","Budget"))</f>
        <v>Budget</v>
      </c>
      <c r="L2476" s="13">
        <f>YEAR(TODAY())-' car_sales_data 1'!$F2476</f>
        <v>8</v>
      </c>
    </row>
    <row r="2477" ht="15.75" customHeight="1">
      <c r="A2477" s="16">
        <v>44954.0</v>
      </c>
      <c r="B2477" s="13" t="s">
        <v>4829</v>
      </c>
      <c r="C2477" s="13" t="s">
        <v>4830</v>
      </c>
      <c r="D2477" s="13" t="s">
        <v>12</v>
      </c>
      <c r="E2477" s="13" t="s">
        <v>70</v>
      </c>
      <c r="F2477" s="13">
        <v>2016.0</v>
      </c>
      <c r="G2477" s="13">
        <v>43502.0</v>
      </c>
      <c r="H2477" s="13">
        <v>3051.02</v>
      </c>
      <c r="I2477" s="13">
        <f>' car_sales_data 1'!$G2477*0.2</f>
        <v>8700.4</v>
      </c>
      <c r="J2477" s="13" t="str">
        <f>TEXT(' car_sales_data 1'!$A2477,"mmmm")</f>
        <v>January</v>
      </c>
      <c r="K2477" s="13" t="str">
        <f>IF(' car_sales_data 1'!$G2477&gt;40000,"Premium",
 IF(' car_sales_data 1'!$G2477&gt;=20000,"Mid Range","Budget"))</f>
        <v>Premium</v>
      </c>
      <c r="L2477" s="13">
        <f>YEAR(TODAY())-' car_sales_data 1'!$F2477</f>
        <v>9</v>
      </c>
    </row>
    <row r="2478" ht="15.75" customHeight="1">
      <c r="A2478" s="16">
        <v>44711.0</v>
      </c>
      <c r="B2478" s="13" t="s">
        <v>4831</v>
      </c>
      <c r="C2478" s="13" t="s">
        <v>4832</v>
      </c>
      <c r="D2478" s="13" t="s">
        <v>6</v>
      </c>
      <c r="E2478" s="13" t="s">
        <v>70</v>
      </c>
      <c r="F2478" s="13">
        <v>2019.0</v>
      </c>
      <c r="G2478" s="13">
        <v>34647.0</v>
      </c>
      <c r="H2478" s="13">
        <v>3219.58</v>
      </c>
      <c r="I2478" s="13">
        <f>' car_sales_data 1'!$G2478*0.2</f>
        <v>6929.4</v>
      </c>
      <c r="J2478" s="13" t="str">
        <f>TEXT(' car_sales_data 1'!$A2478,"mmmm")</f>
        <v>May</v>
      </c>
      <c r="K2478" s="13" t="str">
        <f>IF(' car_sales_data 1'!$G2478&gt;40000,"Premium",
 IF(' car_sales_data 1'!$G2478&gt;=20000,"Mid Range","Budget"))</f>
        <v>Mid Range</v>
      </c>
      <c r="L2478" s="13">
        <f>YEAR(TODAY())-' car_sales_data 1'!$F2478</f>
        <v>6</v>
      </c>
    </row>
    <row r="2479" ht="15.75" customHeight="1">
      <c r="A2479" s="16">
        <v>44768.0</v>
      </c>
      <c r="B2479" s="13" t="s">
        <v>4833</v>
      </c>
      <c r="C2479" s="13" t="s">
        <v>4834</v>
      </c>
      <c r="D2479" s="13" t="s">
        <v>6</v>
      </c>
      <c r="E2479" s="13" t="s">
        <v>54</v>
      </c>
      <c r="F2479" s="13">
        <v>2014.0</v>
      </c>
      <c r="G2479" s="13">
        <v>37225.0</v>
      </c>
      <c r="H2479" s="13">
        <v>5011.56</v>
      </c>
      <c r="I2479" s="13">
        <f>' car_sales_data 1'!$G2479*0.2</f>
        <v>7445</v>
      </c>
      <c r="J2479" s="13" t="str">
        <f>TEXT(' car_sales_data 1'!$A2479,"mmmm")</f>
        <v>July</v>
      </c>
      <c r="K2479" s="13" t="str">
        <f>IF(' car_sales_data 1'!$G2479&gt;40000,"Premium",
 IF(' car_sales_data 1'!$G2479&gt;=20000,"Mid Range","Budget"))</f>
        <v>Mid Range</v>
      </c>
      <c r="L2479" s="13">
        <f>YEAR(TODAY())-' car_sales_data 1'!$F2479</f>
        <v>11</v>
      </c>
    </row>
    <row r="2480" ht="15.75" customHeight="1">
      <c r="A2480" s="16">
        <v>44744.0</v>
      </c>
      <c r="B2480" s="13" t="s">
        <v>4835</v>
      </c>
      <c r="C2480" s="13" t="s">
        <v>3860</v>
      </c>
      <c r="D2480" s="13" t="s">
        <v>8</v>
      </c>
      <c r="E2480" s="13" t="s">
        <v>54</v>
      </c>
      <c r="F2480" s="13">
        <v>2020.0</v>
      </c>
      <c r="G2480" s="13">
        <v>18033.0</v>
      </c>
      <c r="H2480" s="13">
        <v>1060.18</v>
      </c>
      <c r="I2480" s="13">
        <f>' car_sales_data 1'!$G2480*0.2</f>
        <v>3606.6</v>
      </c>
      <c r="J2480" s="13" t="str">
        <f>TEXT(' car_sales_data 1'!$A2480,"mmmm")</f>
        <v>July</v>
      </c>
      <c r="K2480" s="13" t="str">
        <f>IF(' car_sales_data 1'!$G2480&gt;40000,"Premium",
 IF(' car_sales_data 1'!$G2480&gt;=20000,"Mid Range","Budget"))</f>
        <v>Budget</v>
      </c>
      <c r="L2480" s="13">
        <f>YEAR(TODAY())-' car_sales_data 1'!$F2480</f>
        <v>5</v>
      </c>
    </row>
    <row r="2481" ht="15.75" customHeight="1">
      <c r="A2481" s="16">
        <v>44741.0</v>
      </c>
      <c r="B2481" s="13" t="s">
        <v>4836</v>
      </c>
      <c r="C2481" s="13" t="s">
        <v>4837</v>
      </c>
      <c r="D2481" s="13" t="s">
        <v>12</v>
      </c>
      <c r="E2481" s="13" t="s">
        <v>54</v>
      </c>
      <c r="F2481" s="13">
        <v>2018.0</v>
      </c>
      <c r="G2481" s="13">
        <v>25368.0</v>
      </c>
      <c r="H2481" s="13">
        <v>3518.59</v>
      </c>
      <c r="I2481" s="13">
        <f>' car_sales_data 1'!$G2481*0.2</f>
        <v>5073.6</v>
      </c>
      <c r="J2481" s="13" t="str">
        <f>TEXT(' car_sales_data 1'!$A2481,"mmmm")</f>
        <v>June</v>
      </c>
      <c r="K2481" s="13" t="str">
        <f>IF(' car_sales_data 1'!$G2481&gt;40000,"Premium",
 IF(' car_sales_data 1'!$G2481&gt;=20000,"Mid Range","Budget"))</f>
        <v>Mid Range</v>
      </c>
      <c r="L2481" s="13">
        <f>YEAR(TODAY())-' car_sales_data 1'!$F2481</f>
        <v>7</v>
      </c>
    </row>
    <row r="2482" ht="15.75" customHeight="1">
      <c r="A2482" s="16">
        <v>44771.0</v>
      </c>
      <c r="B2482" s="13" t="s">
        <v>4838</v>
      </c>
      <c r="C2482" s="13" t="s">
        <v>4839</v>
      </c>
      <c r="D2482" s="13" t="s">
        <v>10</v>
      </c>
      <c r="E2482" s="13" t="s">
        <v>70</v>
      </c>
      <c r="F2482" s="13">
        <v>2014.0</v>
      </c>
      <c r="G2482" s="13">
        <v>23842.0</v>
      </c>
      <c r="H2482" s="13">
        <v>2534.46</v>
      </c>
      <c r="I2482" s="13">
        <f>' car_sales_data 1'!$G2482*0.2</f>
        <v>4768.4</v>
      </c>
      <c r="J2482" s="13" t="str">
        <f>TEXT(' car_sales_data 1'!$A2482,"mmmm")</f>
        <v>July</v>
      </c>
      <c r="K2482" s="13" t="str">
        <f>IF(' car_sales_data 1'!$G2482&gt;40000,"Premium",
 IF(' car_sales_data 1'!$G2482&gt;=20000,"Mid Range","Budget"))</f>
        <v>Mid Range</v>
      </c>
      <c r="L2482" s="13">
        <f>YEAR(TODAY())-' car_sales_data 1'!$F2482</f>
        <v>11</v>
      </c>
    </row>
    <row r="2483" ht="15.75" customHeight="1">
      <c r="A2483" s="16">
        <v>44754.0</v>
      </c>
      <c r="B2483" s="13" t="s">
        <v>4840</v>
      </c>
      <c r="C2483" s="13" t="s">
        <v>4841</v>
      </c>
      <c r="D2483" s="13" t="s">
        <v>8</v>
      </c>
      <c r="E2483" s="13" t="s">
        <v>70</v>
      </c>
      <c r="F2483" s="13">
        <v>2015.0</v>
      </c>
      <c r="G2483" s="13">
        <v>17965.0</v>
      </c>
      <c r="H2483" s="13">
        <v>2148.14</v>
      </c>
      <c r="I2483" s="13">
        <f>' car_sales_data 1'!$G2483*0.2</f>
        <v>3593</v>
      </c>
      <c r="J2483" s="13" t="str">
        <f>TEXT(' car_sales_data 1'!$A2483,"mmmm")</f>
        <v>July</v>
      </c>
      <c r="K2483" s="13" t="str">
        <f>IF(' car_sales_data 1'!$G2483&gt;40000,"Premium",
 IF(' car_sales_data 1'!$G2483&gt;=20000,"Mid Range","Budget"))</f>
        <v>Budget</v>
      </c>
      <c r="L2483" s="13">
        <f>YEAR(TODAY())-' car_sales_data 1'!$F2483</f>
        <v>10</v>
      </c>
    </row>
    <row r="2484" ht="15.75" customHeight="1">
      <c r="A2484" s="16">
        <v>44724.0</v>
      </c>
      <c r="B2484" s="13" t="s">
        <v>4842</v>
      </c>
      <c r="C2484" s="13" t="s">
        <v>4843</v>
      </c>
      <c r="D2484" s="13" t="s">
        <v>14</v>
      </c>
      <c r="E2484" s="13" t="s">
        <v>54</v>
      </c>
      <c r="F2484" s="13">
        <v>2019.0</v>
      </c>
      <c r="G2484" s="13">
        <v>39526.0</v>
      </c>
      <c r="H2484" s="13">
        <v>3387.99</v>
      </c>
      <c r="I2484" s="13">
        <f>' car_sales_data 1'!$G2484*0.2</f>
        <v>7905.2</v>
      </c>
      <c r="J2484" s="13" t="str">
        <f>TEXT(' car_sales_data 1'!$A2484,"mmmm")</f>
        <v>June</v>
      </c>
      <c r="K2484" s="13" t="str">
        <f>IF(' car_sales_data 1'!$G2484&gt;40000,"Premium",
 IF(' car_sales_data 1'!$G2484&gt;=20000,"Mid Range","Budget"))</f>
        <v>Mid Range</v>
      </c>
      <c r="L2484" s="13">
        <f>YEAR(TODAY())-' car_sales_data 1'!$F2484</f>
        <v>6</v>
      </c>
    </row>
    <row r="2485" ht="15.75" customHeight="1">
      <c r="A2485" s="16">
        <v>44924.0</v>
      </c>
      <c r="B2485" s="13" t="s">
        <v>4844</v>
      </c>
      <c r="C2485" s="13" t="s">
        <v>4845</v>
      </c>
      <c r="D2485" s="13" t="s">
        <v>12</v>
      </c>
      <c r="E2485" s="13" t="s">
        <v>62</v>
      </c>
      <c r="F2485" s="13">
        <v>2021.0</v>
      </c>
      <c r="G2485" s="13">
        <v>19414.0</v>
      </c>
      <c r="H2485" s="13">
        <v>2711.97</v>
      </c>
      <c r="I2485" s="13">
        <f>' car_sales_data 1'!$G2485*0.2</f>
        <v>3882.8</v>
      </c>
      <c r="J2485" s="13" t="str">
        <f>TEXT(' car_sales_data 1'!$A2485,"mmmm")</f>
        <v>December</v>
      </c>
      <c r="K2485" s="13" t="str">
        <f>IF(' car_sales_data 1'!$G2485&gt;40000,"Premium",
 IF(' car_sales_data 1'!$G2485&gt;=20000,"Mid Range","Budget"))</f>
        <v>Budget</v>
      </c>
      <c r="L2485" s="13">
        <f>YEAR(TODAY())-' car_sales_data 1'!$F2485</f>
        <v>4</v>
      </c>
    </row>
    <row r="2486" ht="15.75" customHeight="1">
      <c r="A2486" s="16">
        <v>44683.0</v>
      </c>
      <c r="B2486" s="13" t="s">
        <v>4846</v>
      </c>
      <c r="C2486" s="13" t="s">
        <v>4847</v>
      </c>
      <c r="D2486" s="13" t="s">
        <v>6</v>
      </c>
      <c r="E2486" s="13" t="s">
        <v>54</v>
      </c>
      <c r="F2486" s="13">
        <v>2014.0</v>
      </c>
      <c r="G2486" s="13">
        <v>26634.0</v>
      </c>
      <c r="H2486" s="13">
        <v>2282.09</v>
      </c>
      <c r="I2486" s="13">
        <f>' car_sales_data 1'!$G2486*0.2</f>
        <v>5326.8</v>
      </c>
      <c r="J2486" s="13" t="str">
        <f>TEXT(' car_sales_data 1'!$A2486,"mmmm")</f>
        <v>May</v>
      </c>
      <c r="K2486" s="13" t="str">
        <f>IF(' car_sales_data 1'!$G2486&gt;40000,"Premium",
 IF(' car_sales_data 1'!$G2486&gt;=20000,"Mid Range","Budget"))</f>
        <v>Mid Range</v>
      </c>
      <c r="L2486" s="13">
        <f>YEAR(TODAY())-' car_sales_data 1'!$F2486</f>
        <v>11</v>
      </c>
    </row>
    <row r="2487" ht="15.75" customHeight="1">
      <c r="A2487" s="16">
        <v>45026.0</v>
      </c>
      <c r="B2487" s="13" t="s">
        <v>4848</v>
      </c>
      <c r="C2487" s="13" t="s">
        <v>4849</v>
      </c>
      <c r="D2487" s="13" t="s">
        <v>14</v>
      </c>
      <c r="E2487" s="13" t="s">
        <v>62</v>
      </c>
      <c r="F2487" s="13">
        <v>2022.0</v>
      </c>
      <c r="G2487" s="13">
        <v>10227.0</v>
      </c>
      <c r="H2487" s="13">
        <v>647.02</v>
      </c>
      <c r="I2487" s="13">
        <f>' car_sales_data 1'!$G2487*0.2</f>
        <v>2045.4</v>
      </c>
      <c r="J2487" s="13" t="str">
        <f>TEXT(' car_sales_data 1'!$A2487,"mmmm")</f>
        <v>April</v>
      </c>
      <c r="K2487" s="13" t="str">
        <f>IF(' car_sales_data 1'!$G2487&gt;40000,"Premium",
 IF(' car_sales_data 1'!$G2487&gt;=20000,"Mid Range","Budget"))</f>
        <v>Budget</v>
      </c>
      <c r="L2487" s="13">
        <f>YEAR(TODAY())-' car_sales_data 1'!$F2487</f>
        <v>3</v>
      </c>
    </row>
    <row r="2488" ht="15.75" customHeight="1">
      <c r="A2488" s="16">
        <v>45040.0</v>
      </c>
      <c r="B2488" s="13" t="s">
        <v>4850</v>
      </c>
      <c r="C2488" s="13" t="s">
        <v>4851</v>
      </c>
      <c r="D2488" s="13" t="s">
        <v>6</v>
      </c>
      <c r="E2488" s="13" t="s">
        <v>51</v>
      </c>
      <c r="F2488" s="13">
        <v>2014.0</v>
      </c>
      <c r="G2488" s="13">
        <v>24401.0</v>
      </c>
      <c r="H2488" s="13">
        <v>3146.04</v>
      </c>
      <c r="I2488" s="13">
        <f>' car_sales_data 1'!$G2488*0.2</f>
        <v>4880.2</v>
      </c>
      <c r="J2488" s="13" t="str">
        <f>TEXT(' car_sales_data 1'!$A2488,"mmmm")</f>
        <v>April</v>
      </c>
      <c r="K2488" s="13" t="str">
        <f>IF(' car_sales_data 1'!$G2488&gt;40000,"Premium",
 IF(' car_sales_data 1'!$G2488&gt;=20000,"Mid Range","Budget"))</f>
        <v>Mid Range</v>
      </c>
      <c r="L2488" s="13">
        <f>YEAR(TODAY())-' car_sales_data 1'!$F2488</f>
        <v>11</v>
      </c>
    </row>
    <row r="2489" ht="15.75" customHeight="1">
      <c r="A2489" s="16">
        <v>44801.0</v>
      </c>
      <c r="B2489" s="13" t="s">
        <v>4852</v>
      </c>
      <c r="C2489" s="13" t="s">
        <v>4853</v>
      </c>
      <c r="D2489" s="13" t="s">
        <v>8</v>
      </c>
      <c r="E2489" s="13" t="s">
        <v>51</v>
      </c>
      <c r="F2489" s="13">
        <v>2013.0</v>
      </c>
      <c r="G2489" s="13">
        <v>44681.0</v>
      </c>
      <c r="H2489" s="13">
        <v>2421.71</v>
      </c>
      <c r="I2489" s="13">
        <f>' car_sales_data 1'!$G2489*0.2</f>
        <v>8936.2</v>
      </c>
      <c r="J2489" s="13" t="str">
        <f>TEXT(' car_sales_data 1'!$A2489,"mmmm")</f>
        <v>August</v>
      </c>
      <c r="K2489" s="13" t="str">
        <f>IF(' car_sales_data 1'!$G2489&gt;40000,"Premium",
 IF(' car_sales_data 1'!$G2489&gt;=20000,"Mid Range","Budget"))</f>
        <v>Premium</v>
      </c>
      <c r="L2489" s="13">
        <f>YEAR(TODAY())-' car_sales_data 1'!$F2489</f>
        <v>12</v>
      </c>
    </row>
    <row r="2490" ht="15.75" customHeight="1">
      <c r="A2490" s="16">
        <v>44865.0</v>
      </c>
      <c r="B2490" s="13" t="s">
        <v>4854</v>
      </c>
      <c r="C2490" s="13" t="s">
        <v>4855</v>
      </c>
      <c r="D2490" s="13" t="s">
        <v>14</v>
      </c>
      <c r="E2490" s="13" t="s">
        <v>54</v>
      </c>
      <c r="F2490" s="13">
        <v>2016.0</v>
      </c>
      <c r="G2490" s="13">
        <v>18281.0</v>
      </c>
      <c r="H2490" s="13">
        <v>1414.38</v>
      </c>
      <c r="I2490" s="13">
        <f>' car_sales_data 1'!$G2490*0.2</f>
        <v>3656.2</v>
      </c>
      <c r="J2490" s="13" t="str">
        <f>TEXT(' car_sales_data 1'!$A2490,"mmmm")</f>
        <v>October</v>
      </c>
      <c r="K2490" s="13" t="str">
        <f>IF(' car_sales_data 1'!$G2490&gt;40000,"Premium",
 IF(' car_sales_data 1'!$G2490&gt;=20000,"Mid Range","Budget"))</f>
        <v>Budget</v>
      </c>
      <c r="L2490" s="13">
        <f>YEAR(TODAY())-' car_sales_data 1'!$F2490</f>
        <v>9</v>
      </c>
    </row>
    <row r="2491" ht="15.75" customHeight="1">
      <c r="A2491" s="16">
        <v>44895.0</v>
      </c>
      <c r="B2491" s="13" t="s">
        <v>4856</v>
      </c>
      <c r="C2491" s="13" t="s">
        <v>4857</v>
      </c>
      <c r="D2491" s="13" t="s">
        <v>8</v>
      </c>
      <c r="E2491" s="13" t="s">
        <v>62</v>
      </c>
      <c r="F2491" s="13">
        <v>2010.0</v>
      </c>
      <c r="G2491" s="13">
        <v>32791.0</v>
      </c>
      <c r="H2491" s="13">
        <v>4093.11</v>
      </c>
      <c r="I2491" s="13">
        <f>' car_sales_data 1'!$G2491*0.2</f>
        <v>6558.2</v>
      </c>
      <c r="J2491" s="13" t="str">
        <f>TEXT(' car_sales_data 1'!$A2491,"mmmm")</f>
        <v>November</v>
      </c>
      <c r="K2491" s="13" t="str">
        <f>IF(' car_sales_data 1'!$G2491&gt;40000,"Premium",
 IF(' car_sales_data 1'!$G2491&gt;=20000,"Mid Range","Budget"))</f>
        <v>Mid Range</v>
      </c>
      <c r="L2491" s="13">
        <f>YEAR(TODAY())-' car_sales_data 1'!$F2491</f>
        <v>15</v>
      </c>
    </row>
    <row r="2492" ht="15.75" customHeight="1">
      <c r="A2492" s="16">
        <v>44977.0</v>
      </c>
      <c r="B2492" s="13" t="s">
        <v>4858</v>
      </c>
      <c r="C2492" s="13" t="s">
        <v>4859</v>
      </c>
      <c r="D2492" s="13" t="s">
        <v>14</v>
      </c>
      <c r="E2492" s="13" t="s">
        <v>54</v>
      </c>
      <c r="F2492" s="13">
        <v>2022.0</v>
      </c>
      <c r="G2492" s="13">
        <v>21579.0</v>
      </c>
      <c r="H2492" s="13">
        <v>1742.16</v>
      </c>
      <c r="I2492" s="13">
        <f>' car_sales_data 1'!$G2492*0.2</f>
        <v>4315.8</v>
      </c>
      <c r="J2492" s="13" t="str">
        <f>TEXT(' car_sales_data 1'!$A2492,"mmmm")</f>
        <v>February</v>
      </c>
      <c r="K2492" s="13" t="str">
        <f>IF(' car_sales_data 1'!$G2492&gt;40000,"Premium",
 IF(' car_sales_data 1'!$G2492&gt;=20000,"Mid Range","Budget"))</f>
        <v>Mid Range</v>
      </c>
      <c r="L2492" s="13">
        <f>YEAR(TODAY())-' car_sales_data 1'!$F2492</f>
        <v>3</v>
      </c>
    </row>
    <row r="2493" ht="15.75" customHeight="1">
      <c r="A2493" s="16">
        <v>44750.0</v>
      </c>
      <c r="B2493" s="13" t="s">
        <v>4860</v>
      </c>
      <c r="C2493" s="13" t="s">
        <v>4861</v>
      </c>
      <c r="D2493" s="13" t="s">
        <v>10</v>
      </c>
      <c r="E2493" s="13" t="s">
        <v>54</v>
      </c>
      <c r="F2493" s="13">
        <v>2011.0</v>
      </c>
      <c r="G2493" s="13">
        <v>24283.0</v>
      </c>
      <c r="H2493" s="13">
        <v>2280.38</v>
      </c>
      <c r="I2493" s="13">
        <f>' car_sales_data 1'!$G2493*0.2</f>
        <v>4856.6</v>
      </c>
      <c r="J2493" s="13" t="str">
        <f>TEXT(' car_sales_data 1'!$A2493,"mmmm")</f>
        <v>July</v>
      </c>
      <c r="K2493" s="13" t="str">
        <f>IF(' car_sales_data 1'!$G2493&gt;40000,"Premium",
 IF(' car_sales_data 1'!$G2493&gt;=20000,"Mid Range","Budget"))</f>
        <v>Mid Range</v>
      </c>
      <c r="L2493" s="13">
        <f>YEAR(TODAY())-' car_sales_data 1'!$F2493</f>
        <v>14</v>
      </c>
    </row>
    <row r="2494" ht="15.75" customHeight="1">
      <c r="A2494" s="16">
        <v>44748.0</v>
      </c>
      <c r="B2494" s="13" t="s">
        <v>4862</v>
      </c>
      <c r="C2494" s="13" t="s">
        <v>4863</v>
      </c>
      <c r="D2494" s="13" t="s">
        <v>6</v>
      </c>
      <c r="E2494" s="13" t="s">
        <v>54</v>
      </c>
      <c r="F2494" s="13">
        <v>2012.0</v>
      </c>
      <c r="G2494" s="13">
        <v>11699.0</v>
      </c>
      <c r="H2494" s="13">
        <v>1003.15</v>
      </c>
      <c r="I2494" s="13">
        <f>' car_sales_data 1'!$G2494*0.2</f>
        <v>2339.8</v>
      </c>
      <c r="J2494" s="13" t="str">
        <f>TEXT(' car_sales_data 1'!$A2494,"mmmm")</f>
        <v>July</v>
      </c>
      <c r="K2494" s="13" t="str">
        <f>IF(' car_sales_data 1'!$G2494&gt;40000,"Premium",
 IF(' car_sales_data 1'!$G2494&gt;=20000,"Mid Range","Budget"))</f>
        <v>Budget</v>
      </c>
      <c r="L2494" s="13">
        <f>YEAR(TODAY())-' car_sales_data 1'!$F2494</f>
        <v>13</v>
      </c>
    </row>
    <row r="2495" ht="15.75" customHeight="1">
      <c r="A2495" s="16">
        <v>45035.0</v>
      </c>
      <c r="B2495" s="13" t="s">
        <v>4864</v>
      </c>
      <c r="C2495" s="13" t="s">
        <v>4865</v>
      </c>
      <c r="D2495" s="13" t="s">
        <v>8</v>
      </c>
      <c r="E2495" s="13" t="s">
        <v>62</v>
      </c>
      <c r="F2495" s="13">
        <v>2018.0</v>
      </c>
      <c r="G2495" s="13">
        <v>21112.0</v>
      </c>
      <c r="H2495" s="13">
        <v>2414.5</v>
      </c>
      <c r="I2495" s="13">
        <f>' car_sales_data 1'!$G2495*0.2</f>
        <v>4222.4</v>
      </c>
      <c r="J2495" s="13" t="str">
        <f>TEXT(' car_sales_data 1'!$A2495,"mmmm")</f>
        <v>April</v>
      </c>
      <c r="K2495" s="13" t="str">
        <f>IF(' car_sales_data 1'!$G2495&gt;40000,"Premium",
 IF(' car_sales_data 1'!$G2495&gt;=20000,"Mid Range","Budget"))</f>
        <v>Mid Range</v>
      </c>
      <c r="L2495" s="13">
        <f>YEAR(TODAY())-' car_sales_data 1'!$F2495</f>
        <v>7</v>
      </c>
    </row>
    <row r="2496" ht="15.75" customHeight="1">
      <c r="A2496" s="16">
        <v>44956.0</v>
      </c>
      <c r="B2496" s="13" t="s">
        <v>4866</v>
      </c>
      <c r="C2496" s="13" t="s">
        <v>4867</v>
      </c>
      <c r="D2496" s="13" t="s">
        <v>14</v>
      </c>
      <c r="E2496" s="13" t="s">
        <v>57</v>
      </c>
      <c r="F2496" s="13">
        <v>2020.0</v>
      </c>
      <c r="G2496" s="13">
        <v>43524.0</v>
      </c>
      <c r="H2496" s="13">
        <v>6077.8</v>
      </c>
      <c r="I2496" s="13">
        <f>' car_sales_data 1'!$G2496*0.2</f>
        <v>8704.8</v>
      </c>
      <c r="J2496" s="13" t="str">
        <f>TEXT(' car_sales_data 1'!$A2496,"mmmm")</f>
        <v>January</v>
      </c>
      <c r="K2496" s="13" t="str">
        <f>IF(' car_sales_data 1'!$G2496&gt;40000,"Premium",
 IF(' car_sales_data 1'!$G2496&gt;=20000,"Mid Range","Budget"))</f>
        <v>Premium</v>
      </c>
      <c r="L2496" s="13">
        <f>YEAR(TODAY())-' car_sales_data 1'!$F2496</f>
        <v>5</v>
      </c>
    </row>
    <row r="2497" ht="15.75" customHeight="1">
      <c r="A2497" s="16">
        <v>44876.0</v>
      </c>
      <c r="B2497" s="13" t="s">
        <v>4868</v>
      </c>
      <c r="C2497" s="13" t="s">
        <v>4869</v>
      </c>
      <c r="D2497" s="13" t="s">
        <v>10</v>
      </c>
      <c r="E2497" s="13" t="s">
        <v>51</v>
      </c>
      <c r="F2497" s="13">
        <v>2022.0</v>
      </c>
      <c r="G2497" s="13">
        <v>13561.0</v>
      </c>
      <c r="H2497" s="13">
        <v>1859.68</v>
      </c>
      <c r="I2497" s="13">
        <f>' car_sales_data 1'!$G2497*0.2</f>
        <v>2712.2</v>
      </c>
      <c r="J2497" s="13" t="str">
        <f>TEXT(' car_sales_data 1'!$A2497,"mmmm")</f>
        <v>November</v>
      </c>
      <c r="K2497" s="13" t="str">
        <f>IF(' car_sales_data 1'!$G2497&gt;40000,"Premium",
 IF(' car_sales_data 1'!$G2497&gt;=20000,"Mid Range","Budget"))</f>
        <v>Budget</v>
      </c>
      <c r="L2497" s="13">
        <f>YEAR(TODAY())-' car_sales_data 1'!$F2497</f>
        <v>3</v>
      </c>
    </row>
    <row r="2498" ht="15.75" customHeight="1">
      <c r="A2498" s="16">
        <v>44956.0</v>
      </c>
      <c r="B2498" s="13" t="s">
        <v>4870</v>
      </c>
      <c r="C2498" s="13" t="s">
        <v>4871</v>
      </c>
      <c r="D2498" s="13" t="s">
        <v>12</v>
      </c>
      <c r="E2498" s="13" t="s">
        <v>62</v>
      </c>
      <c r="F2498" s="13">
        <v>2019.0</v>
      </c>
      <c r="G2498" s="13">
        <v>20029.0</v>
      </c>
      <c r="H2498" s="13">
        <v>2525.84</v>
      </c>
      <c r="I2498" s="13">
        <f>' car_sales_data 1'!$G2498*0.2</f>
        <v>4005.8</v>
      </c>
      <c r="J2498" s="13" t="str">
        <f>TEXT(' car_sales_data 1'!$A2498,"mmmm")</f>
        <v>January</v>
      </c>
      <c r="K2498" s="13" t="str">
        <f>IF(' car_sales_data 1'!$G2498&gt;40000,"Premium",
 IF(' car_sales_data 1'!$G2498&gt;=20000,"Mid Range","Budget"))</f>
        <v>Mid Range</v>
      </c>
      <c r="L2498" s="13">
        <f>YEAR(TODAY())-' car_sales_data 1'!$F2498</f>
        <v>6</v>
      </c>
    </row>
    <row r="2499" ht="15.75" customHeight="1">
      <c r="A2499" s="16">
        <v>44700.0</v>
      </c>
      <c r="B2499" s="13" t="s">
        <v>4872</v>
      </c>
      <c r="C2499" s="13" t="s">
        <v>4873</v>
      </c>
      <c r="D2499" s="13" t="s">
        <v>12</v>
      </c>
      <c r="E2499" s="13" t="s">
        <v>57</v>
      </c>
      <c r="F2499" s="13">
        <v>2011.0</v>
      </c>
      <c r="G2499" s="13">
        <v>35883.0</v>
      </c>
      <c r="H2499" s="13">
        <v>2143.66</v>
      </c>
      <c r="I2499" s="13">
        <f>' car_sales_data 1'!$G2499*0.2</f>
        <v>7176.6</v>
      </c>
      <c r="J2499" s="13" t="str">
        <f>TEXT(' car_sales_data 1'!$A2499,"mmmm")</f>
        <v>May</v>
      </c>
      <c r="K2499" s="13" t="str">
        <f>IF(' car_sales_data 1'!$G2499&gt;40000,"Premium",
 IF(' car_sales_data 1'!$G2499&gt;=20000,"Mid Range","Budget"))</f>
        <v>Mid Range</v>
      </c>
      <c r="L2499" s="13">
        <f>YEAR(TODAY())-' car_sales_data 1'!$F2499</f>
        <v>14</v>
      </c>
    </row>
    <row r="2500" ht="15.75" customHeight="1">
      <c r="A2500" s="16">
        <v>44804.0</v>
      </c>
      <c r="B2500" s="13" t="s">
        <v>4874</v>
      </c>
      <c r="C2500" s="13" t="s">
        <v>4875</v>
      </c>
      <c r="D2500" s="13" t="s">
        <v>6</v>
      </c>
      <c r="E2500" s="13" t="s">
        <v>70</v>
      </c>
      <c r="F2500" s="13">
        <v>2010.0</v>
      </c>
      <c r="G2500" s="13">
        <v>37992.0</v>
      </c>
      <c r="H2500" s="13">
        <v>3521.33</v>
      </c>
      <c r="I2500" s="13">
        <f>' car_sales_data 1'!$G2500*0.2</f>
        <v>7598.4</v>
      </c>
      <c r="J2500" s="13" t="str">
        <f>TEXT(' car_sales_data 1'!$A2500,"mmmm")</f>
        <v>August</v>
      </c>
      <c r="K2500" s="13" t="str">
        <f>IF(' car_sales_data 1'!$G2500&gt;40000,"Premium",
 IF(' car_sales_data 1'!$G2500&gt;=20000,"Mid Range","Budget"))</f>
        <v>Mid Range</v>
      </c>
      <c r="L2500" s="13">
        <f>YEAR(TODAY())-' car_sales_data 1'!$F2500</f>
        <v>15</v>
      </c>
    </row>
    <row r="2501" ht="15.75" customHeight="1">
      <c r="A2501" s="16">
        <v>44809.0</v>
      </c>
      <c r="B2501" s="13" t="s">
        <v>4876</v>
      </c>
      <c r="C2501" s="13" t="s">
        <v>4877</v>
      </c>
      <c r="D2501" s="13" t="s">
        <v>6</v>
      </c>
      <c r="E2501" s="13" t="s">
        <v>51</v>
      </c>
      <c r="F2501" s="13">
        <v>2019.0</v>
      </c>
      <c r="G2501" s="13">
        <v>31532.0</v>
      </c>
      <c r="H2501" s="13">
        <v>2177.13</v>
      </c>
      <c r="I2501" s="13">
        <f>' car_sales_data 1'!$G2501*0.2</f>
        <v>6306.4</v>
      </c>
      <c r="J2501" s="13" t="str">
        <f>TEXT(' car_sales_data 1'!$A2501,"mmmm")</f>
        <v>September</v>
      </c>
      <c r="K2501" s="13" t="str">
        <f>IF(' car_sales_data 1'!$G2501&gt;40000,"Premium",
 IF(' car_sales_data 1'!$G2501&gt;=20000,"Mid Range","Budget"))</f>
        <v>Mid Range</v>
      </c>
      <c r="L2501" s="13">
        <f>YEAR(TODAY())-' car_sales_data 1'!$F2501</f>
        <v>6</v>
      </c>
    </row>
    <row r="2502" ht="15.75" customHeight="1">
      <c r="A2502" s="16">
        <v>44866.0</v>
      </c>
      <c r="B2502" s="13" t="s">
        <v>4878</v>
      </c>
      <c r="C2502" s="13" t="s">
        <v>4879</v>
      </c>
      <c r="D2502" s="13" t="s">
        <v>12</v>
      </c>
      <c r="E2502" s="13" t="s">
        <v>62</v>
      </c>
      <c r="F2502" s="13">
        <v>2022.0</v>
      </c>
      <c r="G2502" s="13">
        <v>35492.0</v>
      </c>
      <c r="H2502" s="13">
        <v>2163.95</v>
      </c>
      <c r="I2502" s="13">
        <f>' car_sales_data 1'!$G2502*0.2</f>
        <v>7098.4</v>
      </c>
      <c r="J2502" s="13" t="str">
        <f>TEXT(' car_sales_data 1'!$A2502,"mmmm")</f>
        <v>November</v>
      </c>
      <c r="K2502" s="13" t="str">
        <f>IF(' car_sales_data 1'!$G2502&gt;40000,"Premium",
 IF(' car_sales_data 1'!$G2502&gt;=20000,"Mid Range","Budget"))</f>
        <v>Mid Range</v>
      </c>
      <c r="L2502" s="13">
        <f>YEAR(TODAY())-' car_sales_data 1'!$F2502</f>
        <v>3</v>
      </c>
    </row>
    <row r="2503" ht="15.75" customHeight="1">
      <c r="A2503" s="16">
        <v>44877.0</v>
      </c>
      <c r="B2503" s="13" t="s">
        <v>4880</v>
      </c>
      <c r="C2503" s="13" t="s">
        <v>4881</v>
      </c>
      <c r="D2503" s="13" t="s">
        <v>10</v>
      </c>
      <c r="E2503" s="13" t="s">
        <v>62</v>
      </c>
      <c r="F2503" s="13">
        <v>2016.0</v>
      </c>
      <c r="G2503" s="13">
        <v>42150.0</v>
      </c>
      <c r="H2503" s="13">
        <v>6302.45</v>
      </c>
      <c r="I2503" s="13">
        <f>' car_sales_data 1'!$G2503*0.2</f>
        <v>8430</v>
      </c>
      <c r="J2503" s="13" t="str">
        <f>TEXT(' car_sales_data 1'!$A2503,"mmmm")</f>
        <v>November</v>
      </c>
      <c r="K2503" s="13" t="str">
        <f>IF(' car_sales_data 1'!$G2503&gt;40000,"Premium",
 IF(' car_sales_data 1'!$G2503&gt;=20000,"Mid Range","Budget"))</f>
        <v>Premium</v>
      </c>
      <c r="L2503" s="13">
        <f>YEAR(TODAY())-' car_sales_data 1'!$F2503</f>
        <v>9</v>
      </c>
    </row>
    <row r="2504" ht="15.75" customHeight="1">
      <c r="A2504" s="16">
        <v>44951.0</v>
      </c>
      <c r="B2504" s="13" t="s">
        <v>1404</v>
      </c>
      <c r="C2504" s="13" t="s">
        <v>4882</v>
      </c>
      <c r="D2504" s="13" t="s">
        <v>12</v>
      </c>
      <c r="E2504" s="13" t="s">
        <v>62</v>
      </c>
      <c r="F2504" s="13">
        <v>2015.0</v>
      </c>
      <c r="G2504" s="13">
        <v>16264.0</v>
      </c>
      <c r="H2504" s="13">
        <v>1912.44</v>
      </c>
      <c r="I2504" s="13">
        <f>' car_sales_data 1'!$G2504*0.2</f>
        <v>3252.8</v>
      </c>
      <c r="J2504" s="13" t="str">
        <f>TEXT(' car_sales_data 1'!$A2504,"mmmm")</f>
        <v>January</v>
      </c>
      <c r="K2504" s="13" t="str">
        <f>IF(' car_sales_data 1'!$G2504&gt;40000,"Premium",
 IF(' car_sales_data 1'!$G2504&gt;=20000,"Mid Range","Budget"))</f>
        <v>Budget</v>
      </c>
      <c r="L2504" s="13">
        <f>YEAR(TODAY())-' car_sales_data 1'!$F2504</f>
        <v>10</v>
      </c>
    </row>
    <row r="2505" ht="15.75" customHeight="1">
      <c r="A2505" s="16">
        <v>44692.0</v>
      </c>
      <c r="B2505" s="13" t="s">
        <v>4883</v>
      </c>
      <c r="C2505" s="13" t="s">
        <v>4884</v>
      </c>
      <c r="D2505" s="13" t="s">
        <v>14</v>
      </c>
      <c r="E2505" s="13" t="s">
        <v>51</v>
      </c>
      <c r="F2505" s="13">
        <v>2014.0</v>
      </c>
      <c r="G2505" s="13">
        <v>29342.0</v>
      </c>
      <c r="H2505" s="13">
        <v>2552.58</v>
      </c>
      <c r="I2505" s="13">
        <f>' car_sales_data 1'!$G2505*0.2</f>
        <v>5868.4</v>
      </c>
      <c r="J2505" s="13" t="str">
        <f>TEXT(' car_sales_data 1'!$A2505,"mmmm")</f>
        <v>May</v>
      </c>
      <c r="K2505" s="13" t="str">
        <f>IF(' car_sales_data 1'!$G2505&gt;40000,"Premium",
 IF(' car_sales_data 1'!$G2505&gt;=20000,"Mid Range","Budget"))</f>
        <v>Mid Range</v>
      </c>
      <c r="L2505" s="13">
        <f>YEAR(TODAY())-' car_sales_data 1'!$F2505</f>
        <v>11</v>
      </c>
    </row>
    <row r="2506" ht="15.75" customHeight="1">
      <c r="A2506" s="16">
        <v>45033.0</v>
      </c>
      <c r="B2506" s="13" t="s">
        <v>4885</v>
      </c>
      <c r="C2506" s="13" t="s">
        <v>4886</v>
      </c>
      <c r="D2506" s="13" t="s">
        <v>12</v>
      </c>
      <c r="E2506" s="13" t="s">
        <v>57</v>
      </c>
      <c r="F2506" s="13">
        <v>2019.0</v>
      </c>
      <c r="G2506" s="13">
        <v>48237.0</v>
      </c>
      <c r="H2506" s="13">
        <v>6647.84</v>
      </c>
      <c r="I2506" s="13">
        <f>' car_sales_data 1'!$G2506*0.2</f>
        <v>9647.4</v>
      </c>
      <c r="J2506" s="13" t="str">
        <f>TEXT(' car_sales_data 1'!$A2506,"mmmm")</f>
        <v>April</v>
      </c>
      <c r="K2506" s="13" t="str">
        <f>IF(' car_sales_data 1'!$G2506&gt;40000,"Premium",
 IF(' car_sales_data 1'!$G2506&gt;=20000,"Mid Range","Budget"))</f>
        <v>Premium</v>
      </c>
      <c r="L2506" s="13">
        <f>YEAR(TODAY())-' car_sales_data 1'!$F2506</f>
        <v>6</v>
      </c>
    </row>
    <row r="2507" ht="15.75" customHeight="1">
      <c r="A2507" s="16">
        <v>44693.0</v>
      </c>
      <c r="B2507" s="13" t="s">
        <v>4887</v>
      </c>
      <c r="C2507" s="13" t="s">
        <v>4888</v>
      </c>
      <c r="D2507" s="13" t="s">
        <v>8</v>
      </c>
      <c r="E2507" s="13" t="s">
        <v>70</v>
      </c>
      <c r="F2507" s="13">
        <v>2017.0</v>
      </c>
      <c r="G2507" s="13">
        <v>12470.0</v>
      </c>
      <c r="H2507" s="13">
        <v>799.6</v>
      </c>
      <c r="I2507" s="13">
        <f>' car_sales_data 1'!$G2507*0.2</f>
        <v>2494</v>
      </c>
      <c r="J2507" s="13" t="str">
        <f>TEXT(' car_sales_data 1'!$A2507,"mmmm")</f>
        <v>May</v>
      </c>
      <c r="K2507" s="13" t="str">
        <f>IF(' car_sales_data 1'!$G2507&gt;40000,"Premium",
 IF(' car_sales_data 1'!$G2507&gt;=20000,"Mid Range","Budget"))</f>
        <v>Budget</v>
      </c>
      <c r="L2507" s="13">
        <f>YEAR(TODAY())-' car_sales_data 1'!$F2507</f>
        <v>8</v>
      </c>
    </row>
    <row r="2508" ht="15.75" customHeight="1">
      <c r="A2508" s="16">
        <v>44684.0</v>
      </c>
      <c r="B2508" s="13" t="s">
        <v>4889</v>
      </c>
      <c r="C2508" s="13" t="s">
        <v>4890</v>
      </c>
      <c r="D2508" s="13" t="s">
        <v>8</v>
      </c>
      <c r="E2508" s="13" t="s">
        <v>51</v>
      </c>
      <c r="F2508" s="13">
        <v>2020.0</v>
      </c>
      <c r="G2508" s="13">
        <v>35669.0</v>
      </c>
      <c r="H2508" s="13">
        <v>1911.19</v>
      </c>
      <c r="I2508" s="13">
        <f>' car_sales_data 1'!$G2508*0.2</f>
        <v>7133.8</v>
      </c>
      <c r="J2508" s="13" t="str">
        <f>TEXT(' car_sales_data 1'!$A2508,"mmmm")</f>
        <v>May</v>
      </c>
      <c r="K2508" s="13" t="str">
        <f>IF(' car_sales_data 1'!$G2508&gt;40000,"Premium",
 IF(' car_sales_data 1'!$G2508&gt;=20000,"Mid Range","Budget"))</f>
        <v>Mid Range</v>
      </c>
      <c r="L2508" s="13">
        <f>YEAR(TODAY())-' car_sales_data 1'!$F2508</f>
        <v>5</v>
      </c>
    </row>
    <row r="2509" ht="15.75" customHeight="1">
      <c r="A2509" s="16">
        <v>44762.0</v>
      </c>
      <c r="B2509" s="13" t="s">
        <v>4891</v>
      </c>
      <c r="C2509" s="13" t="s">
        <v>4892</v>
      </c>
      <c r="D2509" s="13" t="s">
        <v>6</v>
      </c>
      <c r="E2509" s="13" t="s">
        <v>54</v>
      </c>
      <c r="F2509" s="13">
        <v>2014.0</v>
      </c>
      <c r="G2509" s="13">
        <v>11982.0</v>
      </c>
      <c r="H2509" s="13">
        <v>1256.16</v>
      </c>
      <c r="I2509" s="13">
        <f>' car_sales_data 1'!$G2509*0.2</f>
        <v>2396.4</v>
      </c>
      <c r="J2509" s="13" t="str">
        <f>TEXT(' car_sales_data 1'!$A2509,"mmmm")</f>
        <v>July</v>
      </c>
      <c r="K2509" s="13" t="str">
        <f>IF(' car_sales_data 1'!$G2509&gt;40000,"Premium",
 IF(' car_sales_data 1'!$G2509&gt;=20000,"Mid Range","Budget"))</f>
        <v>Budget</v>
      </c>
      <c r="L2509" s="13">
        <f>YEAR(TODAY())-' car_sales_data 1'!$F2509</f>
        <v>11</v>
      </c>
    </row>
    <row r="2510" ht="15.75" customHeight="1">
      <c r="A2510" s="16">
        <v>44939.0</v>
      </c>
      <c r="B2510" s="13" t="s">
        <v>4893</v>
      </c>
      <c r="C2510" s="13" t="s">
        <v>4894</v>
      </c>
      <c r="D2510" s="13" t="s">
        <v>10</v>
      </c>
      <c r="E2510" s="13" t="s">
        <v>54</v>
      </c>
      <c r="F2510" s="13">
        <v>2016.0</v>
      </c>
      <c r="G2510" s="13">
        <v>40763.0</v>
      </c>
      <c r="H2510" s="13">
        <v>3486.52</v>
      </c>
      <c r="I2510" s="13">
        <f>' car_sales_data 1'!$G2510*0.2</f>
        <v>8152.6</v>
      </c>
      <c r="J2510" s="13" t="str">
        <f>TEXT(' car_sales_data 1'!$A2510,"mmmm")</f>
        <v>January</v>
      </c>
      <c r="K2510" s="13" t="str">
        <f>IF(' car_sales_data 1'!$G2510&gt;40000,"Premium",
 IF(' car_sales_data 1'!$G2510&gt;=20000,"Mid Range","Budget"))</f>
        <v>Premium</v>
      </c>
      <c r="L2510" s="13">
        <f>YEAR(TODAY())-' car_sales_data 1'!$F2510</f>
        <v>9</v>
      </c>
    </row>
    <row r="2511" ht="15.75" customHeight="1">
      <c r="A2511" s="16">
        <v>44913.0</v>
      </c>
      <c r="B2511" s="13" t="s">
        <v>4895</v>
      </c>
      <c r="C2511" s="13" t="s">
        <v>4896</v>
      </c>
      <c r="D2511" s="13" t="s">
        <v>6</v>
      </c>
      <c r="E2511" s="13" t="s">
        <v>51</v>
      </c>
      <c r="F2511" s="13">
        <v>2012.0</v>
      </c>
      <c r="G2511" s="13">
        <v>25644.0</v>
      </c>
      <c r="H2511" s="13">
        <v>2262.36</v>
      </c>
      <c r="I2511" s="13">
        <f>' car_sales_data 1'!$G2511*0.2</f>
        <v>5128.8</v>
      </c>
      <c r="J2511" s="13" t="str">
        <f>TEXT(' car_sales_data 1'!$A2511,"mmmm")</f>
        <v>December</v>
      </c>
      <c r="K2511" s="13" t="str">
        <f>IF(' car_sales_data 1'!$G2511&gt;40000,"Premium",
 IF(' car_sales_data 1'!$G2511&gt;=20000,"Mid Range","Budget"))</f>
        <v>Mid Range</v>
      </c>
      <c r="L2511" s="13">
        <f>YEAR(TODAY())-' car_sales_data 1'!$F2511</f>
        <v>13</v>
      </c>
    </row>
    <row r="2512" ht="15.75" customHeight="1">
      <c r="A2512" s="16">
        <v>44937.0</v>
      </c>
      <c r="B2512" s="13" t="s">
        <v>1406</v>
      </c>
      <c r="C2512" s="13" t="s">
        <v>4897</v>
      </c>
      <c r="D2512" s="13" t="s">
        <v>10</v>
      </c>
      <c r="E2512" s="13" t="s">
        <v>54</v>
      </c>
      <c r="F2512" s="13">
        <v>2012.0</v>
      </c>
      <c r="G2512" s="13">
        <v>25334.0</v>
      </c>
      <c r="H2512" s="13">
        <v>1401.68</v>
      </c>
      <c r="I2512" s="13">
        <f>' car_sales_data 1'!$G2512*0.2</f>
        <v>5066.8</v>
      </c>
      <c r="J2512" s="13" t="str">
        <f>TEXT(' car_sales_data 1'!$A2512,"mmmm")</f>
        <v>January</v>
      </c>
      <c r="K2512" s="13" t="str">
        <f>IF(' car_sales_data 1'!$G2512&gt;40000,"Premium",
 IF(' car_sales_data 1'!$G2512&gt;=20000,"Mid Range","Budget"))</f>
        <v>Mid Range</v>
      </c>
      <c r="L2512" s="13">
        <f>YEAR(TODAY())-' car_sales_data 1'!$F2512</f>
        <v>13</v>
      </c>
    </row>
    <row r="2513" ht="15.75" customHeight="1">
      <c r="A2513" s="16">
        <v>44776.0</v>
      </c>
      <c r="B2513" s="13" t="s">
        <v>3332</v>
      </c>
      <c r="C2513" s="13" t="s">
        <v>4898</v>
      </c>
      <c r="D2513" s="13" t="s">
        <v>10</v>
      </c>
      <c r="E2513" s="13" t="s">
        <v>57</v>
      </c>
      <c r="F2513" s="13">
        <v>2016.0</v>
      </c>
      <c r="G2513" s="13">
        <v>30359.0</v>
      </c>
      <c r="H2513" s="13">
        <v>3526.18</v>
      </c>
      <c r="I2513" s="13">
        <f>' car_sales_data 1'!$G2513*0.2</f>
        <v>6071.8</v>
      </c>
      <c r="J2513" s="13" t="str">
        <f>TEXT(' car_sales_data 1'!$A2513,"mmmm")</f>
        <v>August</v>
      </c>
      <c r="K2513" s="13" t="str">
        <f>IF(' car_sales_data 1'!$G2513&gt;40000,"Premium",
 IF(' car_sales_data 1'!$G2513&gt;=20000,"Mid Range","Budget"))</f>
        <v>Mid Range</v>
      </c>
      <c r="L2513" s="13">
        <f>YEAR(TODAY())-' car_sales_data 1'!$F2513</f>
        <v>9</v>
      </c>
    </row>
    <row r="2514" ht="15.75" customHeight="1">
      <c r="A2514" s="16">
        <v>44771.0</v>
      </c>
      <c r="B2514" s="13" t="s">
        <v>4899</v>
      </c>
      <c r="C2514" s="13" t="s">
        <v>4900</v>
      </c>
      <c r="D2514" s="13" t="s">
        <v>8</v>
      </c>
      <c r="E2514" s="13" t="s">
        <v>70</v>
      </c>
      <c r="F2514" s="13">
        <v>2019.0</v>
      </c>
      <c r="G2514" s="13">
        <v>21535.0</v>
      </c>
      <c r="H2514" s="13">
        <v>2102.85</v>
      </c>
      <c r="I2514" s="13">
        <f>' car_sales_data 1'!$G2514*0.2</f>
        <v>4307</v>
      </c>
      <c r="J2514" s="13" t="str">
        <f>TEXT(' car_sales_data 1'!$A2514,"mmmm")</f>
        <v>July</v>
      </c>
      <c r="K2514" s="13" t="str">
        <f>IF(' car_sales_data 1'!$G2514&gt;40000,"Premium",
 IF(' car_sales_data 1'!$G2514&gt;=20000,"Mid Range","Budget"))</f>
        <v>Mid Range</v>
      </c>
      <c r="L2514" s="13">
        <f>YEAR(TODAY())-' car_sales_data 1'!$F2514</f>
        <v>6</v>
      </c>
    </row>
    <row r="2515" ht="15.75" customHeight="1">
      <c r="A2515" s="16">
        <v>44803.0</v>
      </c>
      <c r="B2515" s="13" t="s">
        <v>4901</v>
      </c>
      <c r="C2515" s="13" t="s">
        <v>4902</v>
      </c>
      <c r="D2515" s="13" t="s">
        <v>10</v>
      </c>
      <c r="E2515" s="13" t="s">
        <v>51</v>
      </c>
      <c r="F2515" s="13">
        <v>2014.0</v>
      </c>
      <c r="G2515" s="13">
        <v>22483.0</v>
      </c>
      <c r="H2515" s="13">
        <v>2009.18</v>
      </c>
      <c r="I2515" s="13">
        <f>' car_sales_data 1'!$G2515*0.2</f>
        <v>4496.6</v>
      </c>
      <c r="J2515" s="13" t="str">
        <f>TEXT(' car_sales_data 1'!$A2515,"mmmm")</f>
        <v>August</v>
      </c>
      <c r="K2515" s="13" t="str">
        <f>IF(' car_sales_data 1'!$G2515&gt;40000,"Premium",
 IF(' car_sales_data 1'!$G2515&gt;=20000,"Mid Range","Budget"))</f>
        <v>Mid Range</v>
      </c>
      <c r="L2515" s="13">
        <f>YEAR(TODAY())-' car_sales_data 1'!$F2515</f>
        <v>11</v>
      </c>
    </row>
    <row r="2516" ht="15.75" customHeight="1">
      <c r="A2516" s="16">
        <v>44888.0</v>
      </c>
      <c r="B2516" s="13" t="s">
        <v>4903</v>
      </c>
      <c r="C2516" s="13" t="s">
        <v>4904</v>
      </c>
      <c r="D2516" s="13" t="s">
        <v>10</v>
      </c>
      <c r="E2516" s="13" t="s">
        <v>51</v>
      </c>
      <c r="F2516" s="13">
        <v>2022.0</v>
      </c>
      <c r="G2516" s="13">
        <v>13851.0</v>
      </c>
      <c r="H2516" s="13">
        <v>959.37</v>
      </c>
      <c r="I2516" s="13">
        <f>' car_sales_data 1'!$G2516*0.2</f>
        <v>2770.2</v>
      </c>
      <c r="J2516" s="13" t="str">
        <f>TEXT(' car_sales_data 1'!$A2516,"mmmm")</f>
        <v>November</v>
      </c>
      <c r="K2516" s="13" t="str">
        <f>IF(' car_sales_data 1'!$G2516&gt;40000,"Premium",
 IF(' car_sales_data 1'!$G2516&gt;=20000,"Mid Range","Budget"))</f>
        <v>Budget</v>
      </c>
      <c r="L2516" s="13">
        <f>YEAR(TODAY())-' car_sales_data 1'!$F2516</f>
        <v>3</v>
      </c>
    </row>
    <row r="2517" ht="15.75" customHeight="1">
      <c r="A2517" s="16">
        <v>44766.0</v>
      </c>
      <c r="B2517" s="13" t="s">
        <v>4905</v>
      </c>
      <c r="C2517" s="13" t="s">
        <v>4906</v>
      </c>
      <c r="D2517" s="13" t="s">
        <v>10</v>
      </c>
      <c r="E2517" s="13" t="s">
        <v>51</v>
      </c>
      <c r="F2517" s="13">
        <v>2021.0</v>
      </c>
      <c r="G2517" s="13">
        <v>35751.0</v>
      </c>
      <c r="H2517" s="13">
        <v>4467.67</v>
      </c>
      <c r="I2517" s="13">
        <f>' car_sales_data 1'!$G2517*0.2</f>
        <v>7150.2</v>
      </c>
      <c r="J2517" s="13" t="str">
        <f>TEXT(' car_sales_data 1'!$A2517,"mmmm")</f>
        <v>July</v>
      </c>
      <c r="K2517" s="13" t="str">
        <f>IF(' car_sales_data 1'!$G2517&gt;40000,"Premium",
 IF(' car_sales_data 1'!$G2517&gt;=20000,"Mid Range","Budget"))</f>
        <v>Mid Range</v>
      </c>
      <c r="L2517" s="13">
        <f>YEAR(TODAY())-' car_sales_data 1'!$F2517</f>
        <v>4</v>
      </c>
    </row>
    <row r="2518" ht="15.75" customHeight="1">
      <c r="A2518" s="16">
        <v>44933.0</v>
      </c>
      <c r="B2518" s="13" t="s">
        <v>4907</v>
      </c>
      <c r="C2518" s="13" t="s">
        <v>4908</v>
      </c>
      <c r="D2518" s="13" t="s">
        <v>10</v>
      </c>
      <c r="E2518" s="13" t="s">
        <v>70</v>
      </c>
      <c r="F2518" s="13">
        <v>2016.0</v>
      </c>
      <c r="G2518" s="13">
        <v>46486.0</v>
      </c>
      <c r="H2518" s="13">
        <v>5532.62</v>
      </c>
      <c r="I2518" s="13">
        <f>' car_sales_data 1'!$G2518*0.2</f>
        <v>9297.2</v>
      </c>
      <c r="J2518" s="13" t="str">
        <f>TEXT(' car_sales_data 1'!$A2518,"mmmm")</f>
        <v>January</v>
      </c>
      <c r="K2518" s="13" t="str">
        <f>IF(' car_sales_data 1'!$G2518&gt;40000,"Premium",
 IF(' car_sales_data 1'!$G2518&gt;=20000,"Mid Range","Budget"))</f>
        <v>Premium</v>
      </c>
      <c r="L2518" s="13">
        <f>YEAR(TODAY())-' car_sales_data 1'!$F2518</f>
        <v>9</v>
      </c>
    </row>
    <row r="2519" ht="15.75" customHeight="1">
      <c r="A2519" s="16">
        <v>44893.0</v>
      </c>
      <c r="B2519" s="13" t="s">
        <v>4909</v>
      </c>
      <c r="C2519" s="13" t="s">
        <v>4910</v>
      </c>
      <c r="D2519" s="13" t="s">
        <v>6</v>
      </c>
      <c r="E2519" s="13" t="s">
        <v>54</v>
      </c>
      <c r="F2519" s="13">
        <v>2017.0</v>
      </c>
      <c r="G2519" s="13">
        <v>49619.0</v>
      </c>
      <c r="H2519" s="13">
        <v>3253.64</v>
      </c>
      <c r="I2519" s="13">
        <f>' car_sales_data 1'!$G2519*0.2</f>
        <v>9923.8</v>
      </c>
      <c r="J2519" s="13" t="str">
        <f>TEXT(' car_sales_data 1'!$A2519,"mmmm")</f>
        <v>November</v>
      </c>
      <c r="K2519" s="13" t="str">
        <f>IF(' car_sales_data 1'!$G2519&gt;40000,"Premium",
 IF(' car_sales_data 1'!$G2519&gt;=20000,"Mid Range","Budget"))</f>
        <v>Premium</v>
      </c>
      <c r="L2519" s="13">
        <f>YEAR(TODAY())-' car_sales_data 1'!$F2519</f>
        <v>8</v>
      </c>
    </row>
    <row r="2520" ht="15.75" customHeight="1">
      <c r="A2520" s="16">
        <v>44734.0</v>
      </c>
      <c r="B2520" s="13" t="s">
        <v>4911</v>
      </c>
      <c r="C2520" s="13" t="s">
        <v>4912</v>
      </c>
      <c r="D2520" s="13" t="s">
        <v>8</v>
      </c>
      <c r="E2520" s="13" t="s">
        <v>57</v>
      </c>
      <c r="F2520" s="13">
        <v>2017.0</v>
      </c>
      <c r="G2520" s="13">
        <v>45985.0</v>
      </c>
      <c r="H2520" s="13">
        <v>5213.76</v>
      </c>
      <c r="I2520" s="13">
        <f>' car_sales_data 1'!$G2520*0.2</f>
        <v>9197</v>
      </c>
      <c r="J2520" s="13" t="str">
        <f>TEXT(' car_sales_data 1'!$A2520,"mmmm")</f>
        <v>June</v>
      </c>
      <c r="K2520" s="13" t="str">
        <f>IF(' car_sales_data 1'!$G2520&gt;40000,"Premium",
 IF(' car_sales_data 1'!$G2520&gt;=20000,"Mid Range","Budget"))</f>
        <v>Premium</v>
      </c>
      <c r="L2520" s="13">
        <f>YEAR(TODAY())-' car_sales_data 1'!$F2520</f>
        <v>8</v>
      </c>
    </row>
    <row r="2521" ht="15.75" customHeight="1">
      <c r="A2521" s="16">
        <v>44729.0</v>
      </c>
      <c r="B2521" s="13" t="s">
        <v>4913</v>
      </c>
      <c r="C2521" s="13" t="s">
        <v>4914</v>
      </c>
      <c r="D2521" s="13" t="s">
        <v>6</v>
      </c>
      <c r="E2521" s="13" t="s">
        <v>62</v>
      </c>
      <c r="F2521" s="13">
        <v>2022.0</v>
      </c>
      <c r="G2521" s="13">
        <v>26328.0</v>
      </c>
      <c r="H2521" s="13">
        <v>2180.92</v>
      </c>
      <c r="I2521" s="13">
        <f>' car_sales_data 1'!$G2521*0.2</f>
        <v>5265.6</v>
      </c>
      <c r="J2521" s="13" t="str">
        <f>TEXT(' car_sales_data 1'!$A2521,"mmmm")</f>
        <v>June</v>
      </c>
      <c r="K2521" s="13" t="str">
        <f>IF(' car_sales_data 1'!$G2521&gt;40000,"Premium",
 IF(' car_sales_data 1'!$G2521&gt;=20000,"Mid Range","Budget"))</f>
        <v>Mid Range</v>
      </c>
      <c r="L2521" s="13">
        <f>YEAR(TODAY())-' car_sales_data 1'!$F2521</f>
        <v>3</v>
      </c>
    </row>
    <row r="2522" ht="15.75" customHeight="1">
      <c r="A2522" s="16">
        <v>44997.0</v>
      </c>
      <c r="B2522" s="13" t="s">
        <v>4915</v>
      </c>
      <c r="C2522" s="13" t="s">
        <v>1837</v>
      </c>
      <c r="D2522" s="13" t="s">
        <v>10</v>
      </c>
      <c r="E2522" s="13" t="s">
        <v>51</v>
      </c>
      <c r="F2522" s="13">
        <v>2010.0</v>
      </c>
      <c r="G2522" s="13">
        <v>43740.0</v>
      </c>
      <c r="H2522" s="13">
        <v>5902.15</v>
      </c>
      <c r="I2522" s="13">
        <f>' car_sales_data 1'!$G2522*0.2</f>
        <v>8748</v>
      </c>
      <c r="J2522" s="13" t="str">
        <f>TEXT(' car_sales_data 1'!$A2522,"mmmm")</f>
        <v>March</v>
      </c>
      <c r="K2522" s="13" t="str">
        <f>IF(' car_sales_data 1'!$G2522&gt;40000,"Premium",
 IF(' car_sales_data 1'!$G2522&gt;=20000,"Mid Range","Budget"))</f>
        <v>Premium</v>
      </c>
      <c r="L2522" s="13">
        <f>YEAR(TODAY())-' car_sales_data 1'!$F2522</f>
        <v>15</v>
      </c>
    </row>
    <row r="2523" ht="15.75" customHeight="1">
      <c r="A2523" s="16">
        <v>44803.0</v>
      </c>
      <c r="B2523" s="13" t="s">
        <v>4916</v>
      </c>
      <c r="C2523" s="13" t="s">
        <v>4917</v>
      </c>
      <c r="D2523" s="13" t="s">
        <v>14</v>
      </c>
      <c r="E2523" s="13" t="s">
        <v>54</v>
      </c>
      <c r="F2523" s="13">
        <v>2010.0</v>
      </c>
      <c r="G2523" s="13">
        <v>40388.0</v>
      </c>
      <c r="H2523" s="13">
        <v>5654.71</v>
      </c>
      <c r="I2523" s="13">
        <f>' car_sales_data 1'!$G2523*0.2</f>
        <v>8077.6</v>
      </c>
      <c r="J2523" s="13" t="str">
        <f>TEXT(' car_sales_data 1'!$A2523,"mmmm")</f>
        <v>August</v>
      </c>
      <c r="K2523" s="13" t="str">
        <f>IF(' car_sales_data 1'!$G2523&gt;40000,"Premium",
 IF(' car_sales_data 1'!$G2523&gt;=20000,"Mid Range","Budget"))</f>
        <v>Premium</v>
      </c>
      <c r="L2523" s="13">
        <f>YEAR(TODAY())-' car_sales_data 1'!$F2523</f>
        <v>15</v>
      </c>
    </row>
    <row r="2524" ht="15.75" customHeight="1">
      <c r="A2524" s="16">
        <v>45034.0</v>
      </c>
      <c r="B2524" s="13" t="s">
        <v>4918</v>
      </c>
      <c r="C2524" s="13" t="s">
        <v>4919</v>
      </c>
      <c r="D2524" s="13" t="s">
        <v>14</v>
      </c>
      <c r="E2524" s="13" t="s">
        <v>51</v>
      </c>
      <c r="F2524" s="13">
        <v>2021.0</v>
      </c>
      <c r="G2524" s="13">
        <v>34915.0</v>
      </c>
      <c r="H2524" s="13">
        <v>4226.54</v>
      </c>
      <c r="I2524" s="13">
        <f>' car_sales_data 1'!$G2524*0.2</f>
        <v>6983</v>
      </c>
      <c r="J2524" s="13" t="str">
        <f>TEXT(' car_sales_data 1'!$A2524,"mmmm")</f>
        <v>April</v>
      </c>
      <c r="K2524" s="13" t="str">
        <f>IF(' car_sales_data 1'!$G2524&gt;40000,"Premium",
 IF(' car_sales_data 1'!$G2524&gt;=20000,"Mid Range","Budget"))</f>
        <v>Mid Range</v>
      </c>
      <c r="L2524" s="13">
        <f>YEAR(TODAY())-' car_sales_data 1'!$F2524</f>
        <v>4</v>
      </c>
    </row>
    <row r="2525" ht="15.75" customHeight="1">
      <c r="A2525" s="16">
        <v>44991.0</v>
      </c>
      <c r="B2525" s="13" t="s">
        <v>4920</v>
      </c>
      <c r="C2525" s="13" t="s">
        <v>4921</v>
      </c>
      <c r="D2525" s="13" t="s">
        <v>8</v>
      </c>
      <c r="E2525" s="13" t="s">
        <v>57</v>
      </c>
      <c r="F2525" s="13">
        <v>2015.0</v>
      </c>
      <c r="G2525" s="13">
        <v>32194.0</v>
      </c>
      <c r="H2525" s="13">
        <v>4127.45</v>
      </c>
      <c r="I2525" s="13">
        <f>' car_sales_data 1'!$G2525*0.2</f>
        <v>6438.8</v>
      </c>
      <c r="J2525" s="13" t="str">
        <f>TEXT(' car_sales_data 1'!$A2525,"mmmm")</f>
        <v>March</v>
      </c>
      <c r="K2525" s="13" t="str">
        <f>IF(' car_sales_data 1'!$G2525&gt;40000,"Premium",
 IF(' car_sales_data 1'!$G2525&gt;=20000,"Mid Range","Budget"))</f>
        <v>Mid Range</v>
      </c>
      <c r="L2525" s="13">
        <f>YEAR(TODAY())-' car_sales_data 1'!$F2525</f>
        <v>10</v>
      </c>
    </row>
    <row r="2526" ht="15.75" customHeight="1">
      <c r="A2526" s="16">
        <v>44770.0</v>
      </c>
      <c r="B2526" s="13" t="s">
        <v>4922</v>
      </c>
      <c r="C2526" s="13" t="s">
        <v>226</v>
      </c>
      <c r="D2526" s="13" t="s">
        <v>12</v>
      </c>
      <c r="E2526" s="13" t="s">
        <v>70</v>
      </c>
      <c r="F2526" s="13">
        <v>2013.0</v>
      </c>
      <c r="G2526" s="13">
        <v>26784.0</v>
      </c>
      <c r="H2526" s="13">
        <v>2169.45</v>
      </c>
      <c r="I2526" s="13">
        <f>' car_sales_data 1'!$G2526*0.2</f>
        <v>5356.8</v>
      </c>
      <c r="J2526" s="13" t="str">
        <f>TEXT(' car_sales_data 1'!$A2526,"mmmm")</f>
        <v>July</v>
      </c>
      <c r="K2526" s="13" t="str">
        <f>IF(' car_sales_data 1'!$G2526&gt;40000,"Premium",
 IF(' car_sales_data 1'!$G2526&gt;=20000,"Mid Range","Budget"))</f>
        <v>Mid Range</v>
      </c>
      <c r="L2526" s="13">
        <f>YEAR(TODAY())-' car_sales_data 1'!$F2526</f>
        <v>12</v>
      </c>
    </row>
    <row r="2527" ht="15.75" customHeight="1">
      <c r="A2527" s="16">
        <v>44939.0</v>
      </c>
      <c r="B2527" s="13" t="s">
        <v>4923</v>
      </c>
      <c r="C2527" s="13" t="s">
        <v>4924</v>
      </c>
      <c r="D2527" s="13" t="s">
        <v>10</v>
      </c>
      <c r="E2527" s="13" t="s">
        <v>54</v>
      </c>
      <c r="F2527" s="13">
        <v>2021.0</v>
      </c>
      <c r="G2527" s="13">
        <v>23313.0</v>
      </c>
      <c r="H2527" s="13">
        <v>2241.58</v>
      </c>
      <c r="I2527" s="13">
        <f>' car_sales_data 1'!$G2527*0.2</f>
        <v>4662.6</v>
      </c>
      <c r="J2527" s="13" t="str">
        <f>TEXT(' car_sales_data 1'!$A2527,"mmmm")</f>
        <v>January</v>
      </c>
      <c r="K2527" s="13" t="str">
        <f>IF(' car_sales_data 1'!$G2527&gt;40000,"Premium",
 IF(' car_sales_data 1'!$G2527&gt;=20000,"Mid Range","Budget"))</f>
        <v>Mid Range</v>
      </c>
      <c r="L2527" s="13">
        <f>YEAR(TODAY())-' car_sales_data 1'!$F2527</f>
        <v>4</v>
      </c>
    </row>
    <row r="2528" ht="15.75" customHeight="1">
      <c r="A2528" s="16">
        <v>44713.0</v>
      </c>
      <c r="B2528" s="13" t="s">
        <v>4925</v>
      </c>
      <c r="C2528" s="13" t="s">
        <v>4926</v>
      </c>
      <c r="D2528" s="13" t="s">
        <v>10</v>
      </c>
      <c r="E2528" s="13" t="s">
        <v>57</v>
      </c>
      <c r="F2528" s="13">
        <v>2012.0</v>
      </c>
      <c r="G2528" s="13">
        <v>18360.0</v>
      </c>
      <c r="H2528" s="13">
        <v>975.71</v>
      </c>
      <c r="I2528" s="13">
        <f>' car_sales_data 1'!$G2528*0.2</f>
        <v>3672</v>
      </c>
      <c r="J2528" s="13" t="str">
        <f>TEXT(' car_sales_data 1'!$A2528,"mmmm")</f>
        <v>June</v>
      </c>
      <c r="K2528" s="13" t="str">
        <f>IF(' car_sales_data 1'!$G2528&gt;40000,"Premium",
 IF(' car_sales_data 1'!$G2528&gt;=20000,"Mid Range","Budget"))</f>
        <v>Budget</v>
      </c>
      <c r="L2528" s="13">
        <f>YEAR(TODAY())-' car_sales_data 1'!$F2528</f>
        <v>13</v>
      </c>
    </row>
    <row r="2529" ht="15.75" customHeight="1">
      <c r="A2529" s="16">
        <v>44725.0</v>
      </c>
      <c r="B2529" s="13" t="s">
        <v>4927</v>
      </c>
      <c r="C2529" s="13" t="s">
        <v>4928</v>
      </c>
      <c r="D2529" s="13" t="s">
        <v>8</v>
      </c>
      <c r="E2529" s="13" t="s">
        <v>57</v>
      </c>
      <c r="F2529" s="13">
        <v>2016.0</v>
      </c>
      <c r="G2529" s="13">
        <v>17809.0</v>
      </c>
      <c r="H2529" s="13">
        <v>1324.16</v>
      </c>
      <c r="I2529" s="13">
        <f>' car_sales_data 1'!$G2529*0.2</f>
        <v>3561.8</v>
      </c>
      <c r="J2529" s="13" t="str">
        <f>TEXT(' car_sales_data 1'!$A2529,"mmmm")</f>
        <v>June</v>
      </c>
      <c r="K2529" s="13" t="str">
        <f>IF(' car_sales_data 1'!$G2529&gt;40000,"Premium",
 IF(' car_sales_data 1'!$G2529&gt;=20000,"Mid Range","Budget"))</f>
        <v>Budget</v>
      </c>
      <c r="L2529" s="13">
        <f>YEAR(TODAY())-' car_sales_data 1'!$F2529</f>
        <v>9</v>
      </c>
    </row>
    <row r="2530" ht="15.75" customHeight="1">
      <c r="A2530" s="16">
        <v>44935.0</v>
      </c>
      <c r="B2530" s="13" t="s">
        <v>4929</v>
      </c>
      <c r="C2530" s="13" t="s">
        <v>4930</v>
      </c>
      <c r="D2530" s="13" t="s">
        <v>6</v>
      </c>
      <c r="E2530" s="13" t="s">
        <v>54</v>
      </c>
      <c r="F2530" s="13">
        <v>2014.0</v>
      </c>
      <c r="G2530" s="13">
        <v>46988.0</v>
      </c>
      <c r="H2530" s="13">
        <v>4431.25</v>
      </c>
      <c r="I2530" s="13">
        <f>' car_sales_data 1'!$G2530*0.2</f>
        <v>9397.6</v>
      </c>
      <c r="J2530" s="13" t="str">
        <f>TEXT(' car_sales_data 1'!$A2530,"mmmm")</f>
        <v>January</v>
      </c>
      <c r="K2530" s="13" t="str">
        <f>IF(' car_sales_data 1'!$G2530&gt;40000,"Premium",
 IF(' car_sales_data 1'!$G2530&gt;=20000,"Mid Range","Budget"))</f>
        <v>Premium</v>
      </c>
      <c r="L2530" s="13">
        <f>YEAR(TODAY())-' car_sales_data 1'!$F2530</f>
        <v>11</v>
      </c>
    </row>
    <row r="2531" ht="15.75" customHeight="1">
      <c r="A2531" s="16">
        <v>44886.0</v>
      </c>
      <c r="B2531" s="13" t="s">
        <v>4931</v>
      </c>
      <c r="C2531" s="13" t="s">
        <v>4932</v>
      </c>
      <c r="D2531" s="13" t="s">
        <v>14</v>
      </c>
      <c r="E2531" s="13" t="s">
        <v>70</v>
      </c>
      <c r="F2531" s="13">
        <v>2018.0</v>
      </c>
      <c r="G2531" s="13">
        <v>45640.0</v>
      </c>
      <c r="H2531" s="13">
        <v>5218.23</v>
      </c>
      <c r="I2531" s="13">
        <f>' car_sales_data 1'!$G2531*0.2</f>
        <v>9128</v>
      </c>
      <c r="J2531" s="13" t="str">
        <f>TEXT(' car_sales_data 1'!$A2531,"mmmm")</f>
        <v>November</v>
      </c>
      <c r="K2531" s="13" t="str">
        <f>IF(' car_sales_data 1'!$G2531&gt;40000,"Premium",
 IF(' car_sales_data 1'!$G2531&gt;=20000,"Mid Range","Budget"))</f>
        <v>Premium</v>
      </c>
      <c r="L2531" s="13">
        <f>YEAR(TODAY())-' car_sales_data 1'!$F2531</f>
        <v>7</v>
      </c>
    </row>
    <row r="2532" ht="15.75" customHeight="1">
      <c r="A2532" s="16">
        <v>44731.0</v>
      </c>
      <c r="B2532" s="13" t="s">
        <v>4933</v>
      </c>
      <c r="C2532" s="13" t="s">
        <v>4934</v>
      </c>
      <c r="D2532" s="13" t="s">
        <v>6</v>
      </c>
      <c r="E2532" s="13" t="s">
        <v>51</v>
      </c>
      <c r="F2532" s="13">
        <v>2017.0</v>
      </c>
      <c r="G2532" s="13">
        <v>40943.0</v>
      </c>
      <c r="H2532" s="13">
        <v>3646.31</v>
      </c>
      <c r="I2532" s="13">
        <f>' car_sales_data 1'!$G2532*0.2</f>
        <v>8188.6</v>
      </c>
      <c r="J2532" s="13" t="str">
        <f>TEXT(' car_sales_data 1'!$A2532,"mmmm")</f>
        <v>June</v>
      </c>
      <c r="K2532" s="13" t="str">
        <f>IF(' car_sales_data 1'!$G2532&gt;40000,"Premium",
 IF(' car_sales_data 1'!$G2532&gt;=20000,"Mid Range","Budget"))</f>
        <v>Premium</v>
      </c>
      <c r="L2532" s="13">
        <f>YEAR(TODAY())-' car_sales_data 1'!$F2532</f>
        <v>8</v>
      </c>
    </row>
    <row r="2533" ht="15.75" customHeight="1">
      <c r="A2533" s="16">
        <v>44791.0</v>
      </c>
      <c r="B2533" s="13" t="s">
        <v>4935</v>
      </c>
      <c r="C2533" s="13" t="s">
        <v>4936</v>
      </c>
      <c r="D2533" s="13" t="s">
        <v>8</v>
      </c>
      <c r="E2533" s="13" t="s">
        <v>51</v>
      </c>
      <c r="F2533" s="13">
        <v>2022.0</v>
      </c>
      <c r="G2533" s="13">
        <v>44014.0</v>
      </c>
      <c r="H2533" s="13">
        <v>4574.28</v>
      </c>
      <c r="I2533" s="13">
        <f>' car_sales_data 1'!$G2533*0.2</f>
        <v>8802.8</v>
      </c>
      <c r="J2533" s="13" t="str">
        <f>TEXT(' car_sales_data 1'!$A2533,"mmmm")</f>
        <v>August</v>
      </c>
      <c r="K2533" s="13" t="str">
        <f>IF(' car_sales_data 1'!$G2533&gt;40000,"Premium",
 IF(' car_sales_data 1'!$G2533&gt;=20000,"Mid Range","Budget"))</f>
        <v>Premium</v>
      </c>
      <c r="L2533" s="13">
        <f>YEAR(TODAY())-' car_sales_data 1'!$F2533</f>
        <v>3</v>
      </c>
    </row>
    <row r="2534" ht="15.75" customHeight="1">
      <c r="A2534" s="16">
        <v>44959.0</v>
      </c>
      <c r="B2534" s="13" t="s">
        <v>4937</v>
      </c>
      <c r="C2534" s="13" t="s">
        <v>4938</v>
      </c>
      <c r="D2534" s="13" t="s">
        <v>12</v>
      </c>
      <c r="E2534" s="13" t="s">
        <v>70</v>
      </c>
      <c r="F2534" s="13">
        <v>2017.0</v>
      </c>
      <c r="G2534" s="13">
        <v>16043.0</v>
      </c>
      <c r="H2534" s="13">
        <v>1678.9</v>
      </c>
      <c r="I2534" s="13">
        <f>' car_sales_data 1'!$G2534*0.2</f>
        <v>3208.6</v>
      </c>
      <c r="J2534" s="13" t="str">
        <f>TEXT(' car_sales_data 1'!$A2534,"mmmm")</f>
        <v>February</v>
      </c>
      <c r="K2534" s="13" t="str">
        <f>IF(' car_sales_data 1'!$G2534&gt;40000,"Premium",
 IF(' car_sales_data 1'!$G2534&gt;=20000,"Mid Range","Budget"))</f>
        <v>Budget</v>
      </c>
      <c r="L2534" s="13">
        <f>YEAR(TODAY())-' car_sales_data 1'!$F2534</f>
        <v>8</v>
      </c>
    </row>
    <row r="2535" ht="15.75" customHeight="1">
      <c r="A2535" s="16">
        <v>44951.0</v>
      </c>
      <c r="B2535" s="13" t="s">
        <v>4939</v>
      </c>
      <c r="C2535" s="13" t="s">
        <v>233</v>
      </c>
      <c r="D2535" s="13" t="s">
        <v>14</v>
      </c>
      <c r="E2535" s="13" t="s">
        <v>70</v>
      </c>
      <c r="F2535" s="13">
        <v>2014.0</v>
      </c>
      <c r="G2535" s="13">
        <v>15010.0</v>
      </c>
      <c r="H2535" s="13">
        <v>1333.79</v>
      </c>
      <c r="I2535" s="13">
        <f>' car_sales_data 1'!$G2535*0.2</f>
        <v>3002</v>
      </c>
      <c r="J2535" s="13" t="str">
        <f>TEXT(' car_sales_data 1'!$A2535,"mmmm")</f>
        <v>January</v>
      </c>
      <c r="K2535" s="13" t="str">
        <f>IF(' car_sales_data 1'!$G2535&gt;40000,"Premium",
 IF(' car_sales_data 1'!$G2535&gt;=20000,"Mid Range","Budget"))</f>
        <v>Budget</v>
      </c>
      <c r="L2535" s="13">
        <f>YEAR(TODAY())-' car_sales_data 1'!$F2535</f>
        <v>11</v>
      </c>
    </row>
    <row r="2536" ht="15.75" customHeight="1">
      <c r="A2536" s="16">
        <v>44721.0</v>
      </c>
      <c r="B2536" s="13" t="s">
        <v>2514</v>
      </c>
      <c r="C2536" s="13" t="s">
        <v>4940</v>
      </c>
      <c r="D2536" s="13" t="s">
        <v>14</v>
      </c>
      <c r="E2536" s="13" t="s">
        <v>62</v>
      </c>
      <c r="F2536" s="13">
        <v>2019.0</v>
      </c>
      <c r="G2536" s="13">
        <v>39720.0</v>
      </c>
      <c r="H2536" s="13">
        <v>5472.28</v>
      </c>
      <c r="I2536" s="13">
        <f>' car_sales_data 1'!$G2536*0.2</f>
        <v>7944</v>
      </c>
      <c r="J2536" s="13" t="str">
        <f>TEXT(' car_sales_data 1'!$A2536,"mmmm")</f>
        <v>June</v>
      </c>
      <c r="K2536" s="13" t="str">
        <f>IF(' car_sales_data 1'!$G2536&gt;40000,"Premium",
 IF(' car_sales_data 1'!$G2536&gt;=20000,"Mid Range","Budget"))</f>
        <v>Mid Range</v>
      </c>
      <c r="L2536" s="13">
        <f>YEAR(TODAY())-' car_sales_data 1'!$F2536</f>
        <v>6</v>
      </c>
    </row>
    <row r="2537" ht="15.75" customHeight="1">
      <c r="A2537" s="16">
        <v>44765.0</v>
      </c>
      <c r="B2537" s="13" t="s">
        <v>4941</v>
      </c>
      <c r="C2537" s="13" t="s">
        <v>4942</v>
      </c>
      <c r="D2537" s="13" t="s">
        <v>10</v>
      </c>
      <c r="E2537" s="13" t="s">
        <v>57</v>
      </c>
      <c r="F2537" s="13">
        <v>2022.0</v>
      </c>
      <c r="G2537" s="13">
        <v>40808.0</v>
      </c>
      <c r="H2537" s="13">
        <v>4317.02</v>
      </c>
      <c r="I2537" s="13">
        <f>' car_sales_data 1'!$G2537*0.2</f>
        <v>8161.6</v>
      </c>
      <c r="J2537" s="13" t="str">
        <f>TEXT(' car_sales_data 1'!$A2537,"mmmm")</f>
        <v>July</v>
      </c>
      <c r="K2537" s="13" t="str">
        <f>IF(' car_sales_data 1'!$G2537&gt;40000,"Premium",
 IF(' car_sales_data 1'!$G2537&gt;=20000,"Mid Range","Budget"))</f>
        <v>Premium</v>
      </c>
      <c r="L2537" s="13">
        <f>YEAR(TODAY())-' car_sales_data 1'!$F2537</f>
        <v>3</v>
      </c>
    </row>
    <row r="2538" ht="15.75" customHeight="1">
      <c r="A2538" s="16">
        <v>44892.0</v>
      </c>
      <c r="B2538" s="13" t="s">
        <v>4943</v>
      </c>
      <c r="C2538" s="13" t="s">
        <v>4944</v>
      </c>
      <c r="D2538" s="13" t="s">
        <v>10</v>
      </c>
      <c r="E2538" s="13" t="s">
        <v>54</v>
      </c>
      <c r="F2538" s="13">
        <v>2011.0</v>
      </c>
      <c r="G2538" s="13">
        <v>40419.0</v>
      </c>
      <c r="H2538" s="13">
        <v>5900.61</v>
      </c>
      <c r="I2538" s="13">
        <f>' car_sales_data 1'!$G2538*0.2</f>
        <v>8083.8</v>
      </c>
      <c r="J2538" s="13" t="str">
        <f>TEXT(' car_sales_data 1'!$A2538,"mmmm")</f>
        <v>November</v>
      </c>
      <c r="K2538" s="13" t="str">
        <f>IF(' car_sales_data 1'!$G2538&gt;40000,"Premium",
 IF(' car_sales_data 1'!$G2538&gt;=20000,"Mid Range","Budget"))</f>
        <v>Premium</v>
      </c>
      <c r="L2538" s="13">
        <f>YEAR(TODAY())-' car_sales_data 1'!$F2538</f>
        <v>14</v>
      </c>
    </row>
    <row r="2539" ht="15.75" customHeight="1">
      <c r="A2539" s="16">
        <v>44696.0</v>
      </c>
      <c r="B2539" s="13" t="s">
        <v>4945</v>
      </c>
      <c r="C2539" s="13" t="s">
        <v>4946</v>
      </c>
      <c r="D2539" s="13" t="s">
        <v>14</v>
      </c>
      <c r="E2539" s="13" t="s">
        <v>70</v>
      </c>
      <c r="F2539" s="13">
        <v>2018.0</v>
      </c>
      <c r="G2539" s="13">
        <v>20365.0</v>
      </c>
      <c r="H2539" s="13">
        <v>1824.99</v>
      </c>
      <c r="I2539" s="13">
        <f>' car_sales_data 1'!$G2539*0.2</f>
        <v>4073</v>
      </c>
      <c r="J2539" s="13" t="str">
        <f>TEXT(' car_sales_data 1'!$A2539,"mmmm")</f>
        <v>May</v>
      </c>
      <c r="K2539" s="13" t="str">
        <f>IF(' car_sales_data 1'!$G2539&gt;40000,"Premium",
 IF(' car_sales_data 1'!$G2539&gt;=20000,"Mid Range","Budget"))</f>
        <v>Mid Range</v>
      </c>
      <c r="L2539" s="13">
        <f>YEAR(TODAY())-' car_sales_data 1'!$F2539</f>
        <v>7</v>
      </c>
    </row>
    <row r="2540" ht="15.75" customHeight="1">
      <c r="A2540" s="16">
        <v>44782.0</v>
      </c>
      <c r="B2540" s="13" t="s">
        <v>4947</v>
      </c>
      <c r="C2540" s="13" t="s">
        <v>4948</v>
      </c>
      <c r="D2540" s="13" t="s">
        <v>10</v>
      </c>
      <c r="E2540" s="13" t="s">
        <v>51</v>
      </c>
      <c r="F2540" s="13">
        <v>2019.0</v>
      </c>
      <c r="G2540" s="13">
        <v>11889.0</v>
      </c>
      <c r="H2540" s="13">
        <v>1554.88</v>
      </c>
      <c r="I2540" s="13">
        <f>' car_sales_data 1'!$G2540*0.2</f>
        <v>2377.8</v>
      </c>
      <c r="J2540" s="13" t="str">
        <f>TEXT(' car_sales_data 1'!$A2540,"mmmm")</f>
        <v>August</v>
      </c>
      <c r="K2540" s="13" t="str">
        <f>IF(' car_sales_data 1'!$G2540&gt;40000,"Premium",
 IF(' car_sales_data 1'!$G2540&gt;=20000,"Mid Range","Budget"))</f>
        <v>Budget</v>
      </c>
      <c r="L2540" s="13">
        <f>YEAR(TODAY())-' car_sales_data 1'!$F2540</f>
        <v>6</v>
      </c>
    </row>
    <row r="2541" ht="15.75" customHeight="1">
      <c r="A2541" s="16">
        <v>44866.0</v>
      </c>
      <c r="B2541" s="13" t="s">
        <v>4949</v>
      </c>
      <c r="C2541" s="13" t="s">
        <v>4950</v>
      </c>
      <c r="D2541" s="13" t="s">
        <v>8</v>
      </c>
      <c r="E2541" s="13" t="s">
        <v>57</v>
      </c>
      <c r="F2541" s="13">
        <v>2013.0</v>
      </c>
      <c r="G2541" s="13">
        <v>16191.0</v>
      </c>
      <c r="H2541" s="13">
        <v>1550.6</v>
      </c>
      <c r="I2541" s="13">
        <f>' car_sales_data 1'!$G2541*0.2</f>
        <v>3238.2</v>
      </c>
      <c r="J2541" s="13" t="str">
        <f>TEXT(' car_sales_data 1'!$A2541,"mmmm")</f>
        <v>November</v>
      </c>
      <c r="K2541" s="13" t="str">
        <f>IF(' car_sales_data 1'!$G2541&gt;40000,"Premium",
 IF(' car_sales_data 1'!$G2541&gt;=20000,"Mid Range","Budget"))</f>
        <v>Budget</v>
      </c>
      <c r="L2541" s="13">
        <f>YEAR(TODAY())-' car_sales_data 1'!$F2541</f>
        <v>12</v>
      </c>
    </row>
    <row r="2542" ht="15.75" customHeight="1">
      <c r="A2542" s="16">
        <v>44732.0</v>
      </c>
      <c r="B2542" s="13" t="s">
        <v>4951</v>
      </c>
      <c r="C2542" s="13" t="s">
        <v>4952</v>
      </c>
      <c r="D2542" s="13" t="s">
        <v>8</v>
      </c>
      <c r="E2542" s="13" t="s">
        <v>62</v>
      </c>
      <c r="F2542" s="13">
        <v>2010.0</v>
      </c>
      <c r="G2542" s="13">
        <v>24611.0</v>
      </c>
      <c r="H2542" s="13">
        <v>1546.75</v>
      </c>
      <c r="I2542" s="13">
        <f>' car_sales_data 1'!$G2542*0.2</f>
        <v>4922.2</v>
      </c>
      <c r="J2542" s="13" t="str">
        <f>TEXT(' car_sales_data 1'!$A2542,"mmmm")</f>
        <v>June</v>
      </c>
      <c r="K2542" s="13" t="str">
        <f>IF(' car_sales_data 1'!$G2542&gt;40000,"Premium",
 IF(' car_sales_data 1'!$G2542&gt;=20000,"Mid Range","Budget"))</f>
        <v>Mid Range</v>
      </c>
      <c r="L2542" s="13">
        <f>YEAR(TODAY())-' car_sales_data 1'!$F2542</f>
        <v>15</v>
      </c>
    </row>
    <row r="2543" ht="15.75" customHeight="1">
      <c r="A2543" s="16">
        <v>44784.0</v>
      </c>
      <c r="B2543" s="13" t="s">
        <v>4953</v>
      </c>
      <c r="C2543" s="13" t="s">
        <v>4954</v>
      </c>
      <c r="D2543" s="13" t="s">
        <v>10</v>
      </c>
      <c r="E2543" s="13" t="s">
        <v>57</v>
      </c>
      <c r="F2543" s="13">
        <v>2012.0</v>
      </c>
      <c r="G2543" s="13">
        <v>20708.0</v>
      </c>
      <c r="H2543" s="13">
        <v>1921.31</v>
      </c>
      <c r="I2543" s="13">
        <f>' car_sales_data 1'!$G2543*0.2</f>
        <v>4141.6</v>
      </c>
      <c r="J2543" s="13" t="str">
        <f>TEXT(' car_sales_data 1'!$A2543,"mmmm")</f>
        <v>August</v>
      </c>
      <c r="K2543" s="13" t="str">
        <f>IF(' car_sales_data 1'!$G2543&gt;40000,"Premium",
 IF(' car_sales_data 1'!$G2543&gt;=20000,"Mid Range","Budget"))</f>
        <v>Mid Range</v>
      </c>
      <c r="L2543" s="13">
        <f>YEAR(TODAY())-' car_sales_data 1'!$F2543</f>
        <v>13</v>
      </c>
    </row>
    <row r="2544" ht="15.75" customHeight="1">
      <c r="A2544" s="16">
        <v>44723.0</v>
      </c>
      <c r="B2544" s="13" t="s">
        <v>4955</v>
      </c>
      <c r="C2544" s="13" t="s">
        <v>4956</v>
      </c>
      <c r="D2544" s="13" t="s">
        <v>14</v>
      </c>
      <c r="E2544" s="13" t="s">
        <v>54</v>
      </c>
      <c r="F2544" s="13">
        <v>2016.0</v>
      </c>
      <c r="G2544" s="13">
        <v>14763.0</v>
      </c>
      <c r="H2544" s="13">
        <v>2117.5</v>
      </c>
      <c r="I2544" s="13">
        <f>' car_sales_data 1'!$G2544*0.2</f>
        <v>2952.6</v>
      </c>
      <c r="J2544" s="13" t="str">
        <f>TEXT(' car_sales_data 1'!$A2544,"mmmm")</f>
        <v>June</v>
      </c>
      <c r="K2544" s="13" t="str">
        <f>IF(' car_sales_data 1'!$G2544&gt;40000,"Premium",
 IF(' car_sales_data 1'!$G2544&gt;=20000,"Mid Range","Budget"))</f>
        <v>Budget</v>
      </c>
      <c r="L2544" s="13">
        <f>YEAR(TODAY())-' car_sales_data 1'!$F2544</f>
        <v>9</v>
      </c>
    </row>
    <row r="2545" ht="15.75" customHeight="1">
      <c r="A2545" s="16">
        <v>45030.0</v>
      </c>
      <c r="B2545" s="13" t="s">
        <v>4957</v>
      </c>
      <c r="C2545" s="13" t="s">
        <v>4958</v>
      </c>
      <c r="D2545" s="13" t="s">
        <v>12</v>
      </c>
      <c r="E2545" s="13" t="s">
        <v>54</v>
      </c>
      <c r="F2545" s="13">
        <v>2015.0</v>
      </c>
      <c r="G2545" s="13">
        <v>42391.0</v>
      </c>
      <c r="H2545" s="13">
        <v>4590.26</v>
      </c>
      <c r="I2545" s="13">
        <f>' car_sales_data 1'!$G2545*0.2</f>
        <v>8478.2</v>
      </c>
      <c r="J2545" s="13" t="str">
        <f>TEXT(' car_sales_data 1'!$A2545,"mmmm")</f>
        <v>April</v>
      </c>
      <c r="K2545" s="13" t="str">
        <f>IF(' car_sales_data 1'!$G2545&gt;40000,"Premium",
 IF(' car_sales_data 1'!$G2545&gt;=20000,"Mid Range","Budget"))</f>
        <v>Premium</v>
      </c>
      <c r="L2545" s="13">
        <f>YEAR(TODAY())-' car_sales_data 1'!$F2545</f>
        <v>10</v>
      </c>
    </row>
    <row r="2546" ht="15.75" customHeight="1">
      <c r="A2546" s="16">
        <v>45027.0</v>
      </c>
      <c r="B2546" s="13" t="s">
        <v>4959</v>
      </c>
      <c r="C2546" s="13" t="s">
        <v>4960</v>
      </c>
      <c r="D2546" s="13" t="s">
        <v>12</v>
      </c>
      <c r="E2546" s="13" t="s">
        <v>51</v>
      </c>
      <c r="F2546" s="13">
        <v>2013.0</v>
      </c>
      <c r="G2546" s="13">
        <v>40977.0</v>
      </c>
      <c r="H2546" s="13">
        <v>3187.48</v>
      </c>
      <c r="I2546" s="13">
        <f>' car_sales_data 1'!$G2546*0.2</f>
        <v>8195.4</v>
      </c>
      <c r="J2546" s="13" t="str">
        <f>TEXT(' car_sales_data 1'!$A2546,"mmmm")</f>
        <v>April</v>
      </c>
      <c r="K2546" s="13" t="str">
        <f>IF(' car_sales_data 1'!$G2546&gt;40000,"Premium",
 IF(' car_sales_data 1'!$G2546&gt;=20000,"Mid Range","Budget"))</f>
        <v>Premium</v>
      </c>
      <c r="L2546" s="13">
        <f>YEAR(TODAY())-' car_sales_data 1'!$F2546</f>
        <v>12</v>
      </c>
    </row>
    <row r="2547" ht="15.75" customHeight="1">
      <c r="A2547" s="16">
        <v>44929.0</v>
      </c>
      <c r="B2547" s="13" t="s">
        <v>4961</v>
      </c>
      <c r="C2547" s="13" t="s">
        <v>4962</v>
      </c>
      <c r="D2547" s="13" t="s">
        <v>12</v>
      </c>
      <c r="E2547" s="13" t="s">
        <v>51</v>
      </c>
      <c r="F2547" s="13">
        <v>2011.0</v>
      </c>
      <c r="G2547" s="13">
        <v>26120.0</v>
      </c>
      <c r="H2547" s="13">
        <v>3367.78</v>
      </c>
      <c r="I2547" s="13">
        <f>' car_sales_data 1'!$G2547*0.2</f>
        <v>5224</v>
      </c>
      <c r="J2547" s="13" t="str">
        <f>TEXT(' car_sales_data 1'!$A2547,"mmmm")</f>
        <v>January</v>
      </c>
      <c r="K2547" s="13" t="str">
        <f>IF(' car_sales_data 1'!$G2547&gt;40000,"Premium",
 IF(' car_sales_data 1'!$G2547&gt;=20000,"Mid Range","Budget"))</f>
        <v>Mid Range</v>
      </c>
      <c r="L2547" s="13">
        <f>YEAR(TODAY())-' car_sales_data 1'!$F2547</f>
        <v>14</v>
      </c>
    </row>
    <row r="2548" ht="15.75" customHeight="1">
      <c r="A2548" s="16">
        <v>45044.0</v>
      </c>
      <c r="B2548" s="13" t="s">
        <v>4963</v>
      </c>
      <c r="C2548" s="13" t="s">
        <v>4964</v>
      </c>
      <c r="D2548" s="13" t="s">
        <v>8</v>
      </c>
      <c r="E2548" s="13" t="s">
        <v>57</v>
      </c>
      <c r="F2548" s="13">
        <v>2012.0</v>
      </c>
      <c r="G2548" s="13">
        <v>17579.0</v>
      </c>
      <c r="H2548" s="13">
        <v>1999.93</v>
      </c>
      <c r="I2548" s="13">
        <f>' car_sales_data 1'!$G2548*0.2</f>
        <v>3515.8</v>
      </c>
      <c r="J2548" s="13" t="str">
        <f>TEXT(' car_sales_data 1'!$A2548,"mmmm")</f>
        <v>April</v>
      </c>
      <c r="K2548" s="13" t="str">
        <f>IF(' car_sales_data 1'!$G2548&gt;40000,"Premium",
 IF(' car_sales_data 1'!$G2548&gt;=20000,"Mid Range","Budget"))</f>
        <v>Budget</v>
      </c>
      <c r="L2548" s="13">
        <f>YEAR(TODAY())-' car_sales_data 1'!$F2548</f>
        <v>13</v>
      </c>
    </row>
    <row r="2549" ht="15.75" customHeight="1">
      <c r="A2549" s="16">
        <v>44819.0</v>
      </c>
      <c r="B2549" s="13" t="s">
        <v>4965</v>
      </c>
      <c r="C2549" s="13" t="s">
        <v>4966</v>
      </c>
      <c r="D2549" s="13" t="s">
        <v>12</v>
      </c>
      <c r="E2549" s="13" t="s">
        <v>54</v>
      </c>
      <c r="F2549" s="13">
        <v>2013.0</v>
      </c>
      <c r="G2549" s="13">
        <v>45639.0</v>
      </c>
      <c r="H2549" s="13">
        <v>4958.8</v>
      </c>
      <c r="I2549" s="13">
        <f>' car_sales_data 1'!$G2549*0.2</f>
        <v>9127.8</v>
      </c>
      <c r="J2549" s="13" t="str">
        <f>TEXT(' car_sales_data 1'!$A2549,"mmmm")</f>
        <v>September</v>
      </c>
      <c r="K2549" s="13" t="str">
        <f>IF(' car_sales_data 1'!$G2549&gt;40000,"Premium",
 IF(' car_sales_data 1'!$G2549&gt;=20000,"Mid Range","Budget"))</f>
        <v>Premium</v>
      </c>
      <c r="L2549" s="13">
        <f>YEAR(TODAY())-' car_sales_data 1'!$F2549</f>
        <v>12</v>
      </c>
    </row>
    <row r="2550" ht="15.75" customHeight="1">
      <c r="A2550" s="16">
        <v>44821.0</v>
      </c>
      <c r="B2550" s="13" t="s">
        <v>4967</v>
      </c>
      <c r="C2550" s="13" t="s">
        <v>4968</v>
      </c>
      <c r="D2550" s="13" t="s">
        <v>10</v>
      </c>
      <c r="E2550" s="13" t="s">
        <v>62</v>
      </c>
      <c r="F2550" s="13">
        <v>2015.0</v>
      </c>
      <c r="G2550" s="13">
        <v>31696.0</v>
      </c>
      <c r="H2550" s="13">
        <v>3155.46</v>
      </c>
      <c r="I2550" s="13">
        <f>' car_sales_data 1'!$G2550*0.2</f>
        <v>6339.2</v>
      </c>
      <c r="J2550" s="13" t="str">
        <f>TEXT(' car_sales_data 1'!$A2550,"mmmm")</f>
        <v>September</v>
      </c>
      <c r="K2550" s="13" t="str">
        <f>IF(' car_sales_data 1'!$G2550&gt;40000,"Premium",
 IF(' car_sales_data 1'!$G2550&gt;=20000,"Mid Range","Budget"))</f>
        <v>Mid Range</v>
      </c>
      <c r="L2550" s="13">
        <f>YEAR(TODAY())-' car_sales_data 1'!$F2550</f>
        <v>10</v>
      </c>
    </row>
    <row r="2551" ht="15.75" customHeight="1">
      <c r="A2551" s="16">
        <v>45044.0</v>
      </c>
      <c r="B2551" s="13" t="s">
        <v>4969</v>
      </c>
      <c r="C2551" s="13" t="s">
        <v>4970</v>
      </c>
      <c r="D2551" s="13" t="s">
        <v>10</v>
      </c>
      <c r="E2551" s="13" t="s">
        <v>57</v>
      </c>
      <c r="F2551" s="13">
        <v>2017.0</v>
      </c>
      <c r="G2551" s="13">
        <v>31272.0</v>
      </c>
      <c r="H2551" s="13">
        <v>2231.61</v>
      </c>
      <c r="I2551" s="13">
        <f>' car_sales_data 1'!$G2551*0.2</f>
        <v>6254.4</v>
      </c>
      <c r="J2551" s="13" t="str">
        <f>TEXT(' car_sales_data 1'!$A2551,"mmmm")</f>
        <v>April</v>
      </c>
      <c r="K2551" s="13" t="str">
        <f>IF(' car_sales_data 1'!$G2551&gt;40000,"Premium",
 IF(' car_sales_data 1'!$G2551&gt;=20000,"Mid Range","Budget"))</f>
        <v>Mid Range</v>
      </c>
      <c r="L2551" s="13">
        <f>YEAR(TODAY())-' car_sales_data 1'!$F2551</f>
        <v>8</v>
      </c>
    </row>
    <row r="2552" ht="15.75" customHeight="1">
      <c r="A2552" s="16">
        <v>44905.0</v>
      </c>
      <c r="B2552" s="13" t="s">
        <v>4971</v>
      </c>
      <c r="C2552" s="13" t="s">
        <v>4972</v>
      </c>
      <c r="D2552" s="13" t="s">
        <v>8</v>
      </c>
      <c r="E2552" s="13" t="s">
        <v>54</v>
      </c>
      <c r="F2552" s="13">
        <v>2015.0</v>
      </c>
      <c r="G2552" s="13">
        <v>21573.0</v>
      </c>
      <c r="H2552" s="13">
        <v>2583.84</v>
      </c>
      <c r="I2552" s="13">
        <f>' car_sales_data 1'!$G2552*0.2</f>
        <v>4314.6</v>
      </c>
      <c r="J2552" s="13" t="str">
        <f>TEXT(' car_sales_data 1'!$A2552,"mmmm")</f>
        <v>December</v>
      </c>
      <c r="K2552" s="13" t="str">
        <f>IF(' car_sales_data 1'!$G2552&gt;40000,"Premium",
 IF(' car_sales_data 1'!$G2552&gt;=20000,"Mid Range","Budget"))</f>
        <v>Mid Range</v>
      </c>
      <c r="L2552" s="13">
        <f>YEAR(TODAY())-' car_sales_data 1'!$F2552</f>
        <v>10</v>
      </c>
    </row>
    <row r="2553" ht="15.75" customHeight="1">
      <c r="A2553" s="16">
        <v>45003.0</v>
      </c>
      <c r="B2553" s="13" t="s">
        <v>4973</v>
      </c>
      <c r="C2553" s="13" t="s">
        <v>4974</v>
      </c>
      <c r="D2553" s="13" t="s">
        <v>10</v>
      </c>
      <c r="E2553" s="13" t="s">
        <v>70</v>
      </c>
      <c r="F2553" s="13">
        <v>2014.0</v>
      </c>
      <c r="G2553" s="13">
        <v>12559.0</v>
      </c>
      <c r="H2553" s="13">
        <v>1365.5</v>
      </c>
      <c r="I2553" s="13">
        <f>' car_sales_data 1'!$G2553*0.2</f>
        <v>2511.8</v>
      </c>
      <c r="J2553" s="13" t="str">
        <f>TEXT(' car_sales_data 1'!$A2553,"mmmm")</f>
        <v>March</v>
      </c>
      <c r="K2553" s="13" t="str">
        <f>IF(' car_sales_data 1'!$G2553&gt;40000,"Premium",
 IF(' car_sales_data 1'!$G2553&gt;=20000,"Mid Range","Budget"))</f>
        <v>Budget</v>
      </c>
      <c r="L2553" s="13">
        <f>YEAR(TODAY())-' car_sales_data 1'!$F2553</f>
        <v>11</v>
      </c>
    </row>
    <row r="2554" ht="15.75" customHeight="1">
      <c r="A2554" s="16">
        <v>44788.0</v>
      </c>
      <c r="B2554" s="13" t="s">
        <v>4975</v>
      </c>
      <c r="C2554" s="13" t="s">
        <v>4976</v>
      </c>
      <c r="D2554" s="13" t="s">
        <v>8</v>
      </c>
      <c r="E2554" s="13" t="s">
        <v>51</v>
      </c>
      <c r="F2554" s="13">
        <v>2017.0</v>
      </c>
      <c r="G2554" s="13">
        <v>18613.0</v>
      </c>
      <c r="H2554" s="13">
        <v>1462.83</v>
      </c>
      <c r="I2554" s="13">
        <f>' car_sales_data 1'!$G2554*0.2</f>
        <v>3722.6</v>
      </c>
      <c r="J2554" s="13" t="str">
        <f>TEXT(' car_sales_data 1'!$A2554,"mmmm")</f>
        <v>August</v>
      </c>
      <c r="K2554" s="13" t="str">
        <f>IF(' car_sales_data 1'!$G2554&gt;40000,"Premium",
 IF(' car_sales_data 1'!$G2554&gt;=20000,"Mid Range","Budget"))</f>
        <v>Budget</v>
      </c>
      <c r="L2554" s="13">
        <f>YEAR(TODAY())-' car_sales_data 1'!$F2554</f>
        <v>8</v>
      </c>
    </row>
    <row r="2555" ht="15.75" customHeight="1">
      <c r="A2555" s="16">
        <v>44888.0</v>
      </c>
      <c r="B2555" s="13" t="s">
        <v>2166</v>
      </c>
      <c r="C2555" s="13" t="s">
        <v>4977</v>
      </c>
      <c r="D2555" s="13" t="s">
        <v>10</v>
      </c>
      <c r="E2555" s="13" t="s">
        <v>70</v>
      </c>
      <c r="F2555" s="13">
        <v>2017.0</v>
      </c>
      <c r="G2555" s="13">
        <v>28183.0</v>
      </c>
      <c r="H2555" s="13">
        <v>2731.47</v>
      </c>
      <c r="I2555" s="13">
        <f>' car_sales_data 1'!$G2555*0.2</f>
        <v>5636.6</v>
      </c>
      <c r="J2555" s="13" t="str">
        <f>TEXT(' car_sales_data 1'!$A2555,"mmmm")</f>
        <v>November</v>
      </c>
      <c r="K2555" s="13" t="str">
        <f>IF(' car_sales_data 1'!$G2555&gt;40000,"Premium",
 IF(' car_sales_data 1'!$G2555&gt;=20000,"Mid Range","Budget"))</f>
        <v>Mid Range</v>
      </c>
      <c r="L2555" s="13">
        <f>YEAR(TODAY())-' car_sales_data 1'!$F2555</f>
        <v>8</v>
      </c>
    </row>
    <row r="2556" ht="15.75" customHeight="1">
      <c r="A2556" s="16">
        <v>44777.0</v>
      </c>
      <c r="B2556" s="13" t="s">
        <v>4978</v>
      </c>
      <c r="C2556" s="13" t="s">
        <v>466</v>
      </c>
      <c r="D2556" s="13" t="s">
        <v>10</v>
      </c>
      <c r="E2556" s="13" t="s">
        <v>54</v>
      </c>
      <c r="F2556" s="13">
        <v>2021.0</v>
      </c>
      <c r="G2556" s="13">
        <v>40264.0</v>
      </c>
      <c r="H2556" s="13">
        <v>3005.21</v>
      </c>
      <c r="I2556" s="13">
        <f>' car_sales_data 1'!$G2556*0.2</f>
        <v>8052.8</v>
      </c>
      <c r="J2556" s="13" t="str">
        <f>TEXT(' car_sales_data 1'!$A2556,"mmmm")</f>
        <v>August</v>
      </c>
      <c r="K2556" s="13" t="str">
        <f>IF(' car_sales_data 1'!$G2556&gt;40000,"Premium",
 IF(' car_sales_data 1'!$G2556&gt;=20000,"Mid Range","Budget"))</f>
        <v>Premium</v>
      </c>
      <c r="L2556" s="13">
        <f>YEAR(TODAY())-' car_sales_data 1'!$F2556</f>
        <v>4</v>
      </c>
    </row>
    <row r="2557" ht="15.75" customHeight="1">
      <c r="A2557" s="16">
        <v>44750.0</v>
      </c>
      <c r="B2557" s="13" t="s">
        <v>4979</v>
      </c>
      <c r="C2557" s="13" t="s">
        <v>4980</v>
      </c>
      <c r="D2557" s="13" t="s">
        <v>6</v>
      </c>
      <c r="E2557" s="13" t="s">
        <v>62</v>
      </c>
      <c r="F2557" s="13">
        <v>2020.0</v>
      </c>
      <c r="G2557" s="13">
        <v>10496.0</v>
      </c>
      <c r="H2557" s="13">
        <v>1024.64</v>
      </c>
      <c r="I2557" s="13">
        <f>' car_sales_data 1'!$G2557*0.2</f>
        <v>2099.2</v>
      </c>
      <c r="J2557" s="13" t="str">
        <f>TEXT(' car_sales_data 1'!$A2557,"mmmm")</f>
        <v>July</v>
      </c>
      <c r="K2557" s="13" t="str">
        <f>IF(' car_sales_data 1'!$G2557&gt;40000,"Premium",
 IF(' car_sales_data 1'!$G2557&gt;=20000,"Mid Range","Budget"))</f>
        <v>Budget</v>
      </c>
      <c r="L2557" s="13">
        <f>YEAR(TODAY())-' car_sales_data 1'!$F2557</f>
        <v>5</v>
      </c>
    </row>
    <row r="2558" ht="15.75" customHeight="1">
      <c r="A2558" s="16">
        <v>44808.0</v>
      </c>
      <c r="B2558" s="13" t="s">
        <v>4981</v>
      </c>
      <c r="C2558" s="13" t="s">
        <v>4982</v>
      </c>
      <c r="D2558" s="13" t="s">
        <v>12</v>
      </c>
      <c r="E2558" s="13" t="s">
        <v>70</v>
      </c>
      <c r="F2558" s="13">
        <v>2020.0</v>
      </c>
      <c r="G2558" s="13">
        <v>41747.0</v>
      </c>
      <c r="H2558" s="13">
        <v>3251.49</v>
      </c>
      <c r="I2558" s="13">
        <f>' car_sales_data 1'!$G2558*0.2</f>
        <v>8349.4</v>
      </c>
      <c r="J2558" s="13" t="str">
        <f>TEXT(' car_sales_data 1'!$A2558,"mmmm")</f>
        <v>September</v>
      </c>
      <c r="K2558" s="13" t="str">
        <f>IF(' car_sales_data 1'!$G2558&gt;40000,"Premium",
 IF(' car_sales_data 1'!$G2558&gt;=20000,"Mid Range","Budget"))</f>
        <v>Premium</v>
      </c>
      <c r="L2558" s="13">
        <f>YEAR(TODAY())-' car_sales_data 1'!$F2558</f>
        <v>5</v>
      </c>
    </row>
    <row r="2559" ht="15.75" customHeight="1">
      <c r="A2559" s="16">
        <v>45003.0</v>
      </c>
      <c r="B2559" s="13" t="s">
        <v>4983</v>
      </c>
      <c r="C2559" s="13" t="s">
        <v>4984</v>
      </c>
      <c r="D2559" s="13" t="s">
        <v>12</v>
      </c>
      <c r="E2559" s="13" t="s">
        <v>54</v>
      </c>
      <c r="F2559" s="13">
        <v>2012.0</v>
      </c>
      <c r="G2559" s="13">
        <v>42553.0</v>
      </c>
      <c r="H2559" s="13">
        <v>2823.12</v>
      </c>
      <c r="I2559" s="13">
        <f>' car_sales_data 1'!$G2559*0.2</f>
        <v>8510.6</v>
      </c>
      <c r="J2559" s="13" t="str">
        <f>TEXT(' car_sales_data 1'!$A2559,"mmmm")</f>
        <v>March</v>
      </c>
      <c r="K2559" s="13" t="str">
        <f>IF(' car_sales_data 1'!$G2559&gt;40000,"Premium",
 IF(' car_sales_data 1'!$G2559&gt;=20000,"Mid Range","Budget"))</f>
        <v>Premium</v>
      </c>
      <c r="L2559" s="13">
        <f>YEAR(TODAY())-' car_sales_data 1'!$F2559</f>
        <v>13</v>
      </c>
    </row>
    <row r="2560" ht="15.75" customHeight="1">
      <c r="A2560" s="16">
        <v>44731.0</v>
      </c>
      <c r="B2560" s="13" t="s">
        <v>4985</v>
      </c>
      <c r="C2560" s="13" t="s">
        <v>4986</v>
      </c>
      <c r="D2560" s="13" t="s">
        <v>10</v>
      </c>
      <c r="E2560" s="13" t="s">
        <v>62</v>
      </c>
      <c r="F2560" s="13">
        <v>2016.0</v>
      </c>
      <c r="G2560" s="13">
        <v>30920.0</v>
      </c>
      <c r="H2560" s="13">
        <v>2036.3</v>
      </c>
      <c r="I2560" s="13">
        <f>' car_sales_data 1'!$G2560*0.2</f>
        <v>6184</v>
      </c>
      <c r="J2560" s="13" t="str">
        <f>TEXT(' car_sales_data 1'!$A2560,"mmmm")</f>
        <v>June</v>
      </c>
      <c r="K2560" s="13" t="str">
        <f>IF(' car_sales_data 1'!$G2560&gt;40000,"Premium",
 IF(' car_sales_data 1'!$G2560&gt;=20000,"Mid Range","Budget"))</f>
        <v>Mid Range</v>
      </c>
      <c r="L2560" s="13">
        <f>YEAR(TODAY())-' car_sales_data 1'!$F2560</f>
        <v>9</v>
      </c>
    </row>
    <row r="2561" ht="15.75" customHeight="1">
      <c r="A2561" s="16">
        <v>44905.0</v>
      </c>
      <c r="B2561" s="13" t="s">
        <v>4987</v>
      </c>
      <c r="C2561" s="13" t="s">
        <v>4988</v>
      </c>
      <c r="D2561" s="13" t="s">
        <v>10</v>
      </c>
      <c r="E2561" s="13" t="s">
        <v>70</v>
      </c>
      <c r="F2561" s="13">
        <v>2014.0</v>
      </c>
      <c r="G2561" s="13">
        <v>41720.0</v>
      </c>
      <c r="H2561" s="13">
        <v>2518.33</v>
      </c>
      <c r="I2561" s="13">
        <f>' car_sales_data 1'!$G2561*0.2</f>
        <v>8344</v>
      </c>
      <c r="J2561" s="13" t="str">
        <f>TEXT(' car_sales_data 1'!$A2561,"mmmm")</f>
        <v>December</v>
      </c>
      <c r="K2561" s="13" t="str">
        <f>IF(' car_sales_data 1'!$G2561&gt;40000,"Premium",
 IF(' car_sales_data 1'!$G2561&gt;=20000,"Mid Range","Budget"))</f>
        <v>Premium</v>
      </c>
      <c r="L2561" s="13">
        <f>YEAR(TODAY())-' car_sales_data 1'!$F2561</f>
        <v>11</v>
      </c>
    </row>
    <row r="2562" ht="15.75" customHeight="1">
      <c r="A2562" s="16">
        <v>44874.0</v>
      </c>
      <c r="B2562" s="13" t="s">
        <v>4989</v>
      </c>
      <c r="C2562" s="13" t="s">
        <v>4990</v>
      </c>
      <c r="D2562" s="13" t="s">
        <v>10</v>
      </c>
      <c r="E2562" s="13" t="s">
        <v>51</v>
      </c>
      <c r="F2562" s="13">
        <v>2021.0</v>
      </c>
      <c r="G2562" s="13">
        <v>18139.0</v>
      </c>
      <c r="H2562" s="13">
        <v>1619.79</v>
      </c>
      <c r="I2562" s="13">
        <f>' car_sales_data 1'!$G2562*0.2</f>
        <v>3627.8</v>
      </c>
      <c r="J2562" s="13" t="str">
        <f>TEXT(' car_sales_data 1'!$A2562,"mmmm")</f>
        <v>November</v>
      </c>
      <c r="K2562" s="13" t="str">
        <f>IF(' car_sales_data 1'!$G2562&gt;40000,"Premium",
 IF(' car_sales_data 1'!$G2562&gt;=20000,"Mid Range","Budget"))</f>
        <v>Budget</v>
      </c>
      <c r="L2562" s="13">
        <f>YEAR(TODAY())-' car_sales_data 1'!$F2562</f>
        <v>4</v>
      </c>
    </row>
    <row r="2563" ht="15.75" customHeight="1">
      <c r="A2563" s="16">
        <v>45032.0</v>
      </c>
      <c r="B2563" s="13" t="s">
        <v>4991</v>
      </c>
      <c r="C2563" s="13" t="s">
        <v>4992</v>
      </c>
      <c r="D2563" s="13" t="s">
        <v>8</v>
      </c>
      <c r="E2563" s="13" t="s">
        <v>70</v>
      </c>
      <c r="F2563" s="13">
        <v>2014.0</v>
      </c>
      <c r="G2563" s="13">
        <v>37556.0</v>
      </c>
      <c r="H2563" s="13">
        <v>4885.83</v>
      </c>
      <c r="I2563" s="13">
        <f>' car_sales_data 1'!$G2563*0.2</f>
        <v>7511.2</v>
      </c>
      <c r="J2563" s="13" t="str">
        <f>TEXT(' car_sales_data 1'!$A2563,"mmmm")</f>
        <v>April</v>
      </c>
      <c r="K2563" s="13" t="str">
        <f>IF(' car_sales_data 1'!$G2563&gt;40000,"Premium",
 IF(' car_sales_data 1'!$G2563&gt;=20000,"Mid Range","Budget"))</f>
        <v>Mid Range</v>
      </c>
      <c r="L2563" s="13">
        <f>YEAR(TODAY())-' car_sales_data 1'!$F2563</f>
        <v>11</v>
      </c>
    </row>
    <row r="2564" ht="15.75" customHeight="1">
      <c r="A2564" s="16">
        <v>45009.0</v>
      </c>
      <c r="B2564" s="13" t="s">
        <v>4993</v>
      </c>
      <c r="C2564" s="13" t="s">
        <v>4994</v>
      </c>
      <c r="D2564" s="13" t="s">
        <v>12</v>
      </c>
      <c r="E2564" s="13" t="s">
        <v>57</v>
      </c>
      <c r="F2564" s="13">
        <v>2021.0</v>
      </c>
      <c r="G2564" s="13">
        <v>39695.0</v>
      </c>
      <c r="H2564" s="13">
        <v>5787.72</v>
      </c>
      <c r="I2564" s="13">
        <f>' car_sales_data 1'!$G2564*0.2</f>
        <v>7939</v>
      </c>
      <c r="J2564" s="13" t="str">
        <f>TEXT(' car_sales_data 1'!$A2564,"mmmm")</f>
        <v>March</v>
      </c>
      <c r="K2564" s="13" t="str">
        <f>IF(' car_sales_data 1'!$G2564&gt;40000,"Premium",
 IF(' car_sales_data 1'!$G2564&gt;=20000,"Mid Range","Budget"))</f>
        <v>Mid Range</v>
      </c>
      <c r="L2564" s="13">
        <f>YEAR(TODAY())-' car_sales_data 1'!$F2564</f>
        <v>4</v>
      </c>
    </row>
    <row r="2565" ht="15.75" customHeight="1">
      <c r="A2565" s="16">
        <v>44969.0</v>
      </c>
      <c r="B2565" s="13" t="s">
        <v>4995</v>
      </c>
      <c r="C2565" s="13" t="s">
        <v>4996</v>
      </c>
      <c r="D2565" s="13" t="s">
        <v>6</v>
      </c>
      <c r="E2565" s="13" t="s">
        <v>70</v>
      </c>
      <c r="F2565" s="13">
        <v>2011.0</v>
      </c>
      <c r="G2565" s="13">
        <v>20121.0</v>
      </c>
      <c r="H2565" s="13">
        <v>1783.64</v>
      </c>
      <c r="I2565" s="13">
        <f>' car_sales_data 1'!$G2565*0.2</f>
        <v>4024.2</v>
      </c>
      <c r="J2565" s="13" t="str">
        <f>TEXT(' car_sales_data 1'!$A2565,"mmmm")</f>
        <v>February</v>
      </c>
      <c r="K2565" s="13" t="str">
        <f>IF(' car_sales_data 1'!$G2565&gt;40000,"Premium",
 IF(' car_sales_data 1'!$G2565&gt;=20000,"Mid Range","Budget"))</f>
        <v>Mid Range</v>
      </c>
      <c r="L2565" s="13">
        <f>YEAR(TODAY())-' car_sales_data 1'!$F2565</f>
        <v>14</v>
      </c>
    </row>
    <row r="2566" ht="15.75" customHeight="1">
      <c r="A2566" s="16">
        <v>44808.0</v>
      </c>
      <c r="B2566" s="13" t="s">
        <v>4997</v>
      </c>
      <c r="C2566" s="13" t="s">
        <v>4998</v>
      </c>
      <c r="D2566" s="13" t="s">
        <v>12</v>
      </c>
      <c r="E2566" s="13" t="s">
        <v>51</v>
      </c>
      <c r="F2566" s="13">
        <v>2018.0</v>
      </c>
      <c r="G2566" s="13">
        <v>30515.0</v>
      </c>
      <c r="H2566" s="13">
        <v>3378.44</v>
      </c>
      <c r="I2566" s="13">
        <f>' car_sales_data 1'!$G2566*0.2</f>
        <v>6103</v>
      </c>
      <c r="J2566" s="13" t="str">
        <f>TEXT(' car_sales_data 1'!$A2566,"mmmm")</f>
        <v>September</v>
      </c>
      <c r="K2566" s="13" t="str">
        <f>IF(' car_sales_data 1'!$G2566&gt;40000,"Premium",
 IF(' car_sales_data 1'!$G2566&gt;=20000,"Mid Range","Budget"))</f>
        <v>Mid Range</v>
      </c>
      <c r="L2566" s="13">
        <f>YEAR(TODAY())-' car_sales_data 1'!$F2566</f>
        <v>7</v>
      </c>
    </row>
    <row r="2567" ht="15.75" customHeight="1">
      <c r="A2567" s="16">
        <v>44702.0</v>
      </c>
      <c r="B2567" s="13" t="s">
        <v>4999</v>
      </c>
      <c r="C2567" s="13" t="s">
        <v>5000</v>
      </c>
      <c r="D2567" s="13" t="s">
        <v>12</v>
      </c>
      <c r="E2567" s="13" t="s">
        <v>70</v>
      </c>
      <c r="F2567" s="13">
        <v>2019.0</v>
      </c>
      <c r="G2567" s="13">
        <v>27606.0</v>
      </c>
      <c r="H2567" s="13">
        <v>3645.76</v>
      </c>
      <c r="I2567" s="13">
        <f>' car_sales_data 1'!$G2567*0.2</f>
        <v>5521.2</v>
      </c>
      <c r="J2567" s="13" t="str">
        <f>TEXT(' car_sales_data 1'!$A2567,"mmmm")</f>
        <v>May</v>
      </c>
      <c r="K2567" s="13" t="str">
        <f>IF(' car_sales_data 1'!$G2567&gt;40000,"Premium",
 IF(' car_sales_data 1'!$G2567&gt;=20000,"Mid Range","Budget"))</f>
        <v>Mid Range</v>
      </c>
      <c r="L2567" s="13">
        <f>YEAR(TODAY())-' car_sales_data 1'!$F2567</f>
        <v>6</v>
      </c>
    </row>
    <row r="2568" ht="15.75" customHeight="1">
      <c r="A2568" s="16">
        <v>44931.0</v>
      </c>
      <c r="B2568" s="13" t="s">
        <v>5001</v>
      </c>
      <c r="C2568" s="13" t="s">
        <v>5002</v>
      </c>
      <c r="D2568" s="13" t="s">
        <v>14</v>
      </c>
      <c r="E2568" s="13" t="s">
        <v>51</v>
      </c>
      <c r="F2568" s="13">
        <v>2014.0</v>
      </c>
      <c r="G2568" s="13">
        <v>17647.0</v>
      </c>
      <c r="H2568" s="13">
        <v>1650.71</v>
      </c>
      <c r="I2568" s="13">
        <f>' car_sales_data 1'!$G2568*0.2</f>
        <v>3529.4</v>
      </c>
      <c r="J2568" s="13" t="str">
        <f>TEXT(' car_sales_data 1'!$A2568,"mmmm")</f>
        <v>January</v>
      </c>
      <c r="K2568" s="13" t="str">
        <f>IF(' car_sales_data 1'!$G2568&gt;40000,"Premium",
 IF(' car_sales_data 1'!$G2568&gt;=20000,"Mid Range","Budget"))</f>
        <v>Budget</v>
      </c>
      <c r="L2568" s="13">
        <f>YEAR(TODAY())-' car_sales_data 1'!$F2568</f>
        <v>11</v>
      </c>
    </row>
    <row r="2569" ht="15.75" customHeight="1">
      <c r="A2569" s="16">
        <v>44967.0</v>
      </c>
      <c r="B2569" s="13" t="s">
        <v>5003</v>
      </c>
      <c r="C2569" s="13" t="s">
        <v>5004</v>
      </c>
      <c r="D2569" s="13" t="s">
        <v>10</v>
      </c>
      <c r="E2569" s="13" t="s">
        <v>51</v>
      </c>
      <c r="F2569" s="13">
        <v>2020.0</v>
      </c>
      <c r="G2569" s="13">
        <v>11752.0</v>
      </c>
      <c r="H2569" s="13">
        <v>840.72</v>
      </c>
      <c r="I2569" s="13">
        <f>' car_sales_data 1'!$G2569*0.2</f>
        <v>2350.4</v>
      </c>
      <c r="J2569" s="13" t="str">
        <f>TEXT(' car_sales_data 1'!$A2569,"mmmm")</f>
        <v>February</v>
      </c>
      <c r="K2569" s="13" t="str">
        <f>IF(' car_sales_data 1'!$G2569&gt;40000,"Premium",
 IF(' car_sales_data 1'!$G2569&gt;=20000,"Mid Range","Budget"))</f>
        <v>Budget</v>
      </c>
      <c r="L2569" s="13">
        <f>YEAR(TODAY())-' car_sales_data 1'!$F2569</f>
        <v>5</v>
      </c>
    </row>
    <row r="2570" ht="15.75" customHeight="1">
      <c r="A2570" s="16">
        <v>44895.0</v>
      </c>
      <c r="B2570" s="13" t="s">
        <v>5005</v>
      </c>
      <c r="C2570" s="13" t="s">
        <v>5006</v>
      </c>
      <c r="D2570" s="13" t="s">
        <v>6</v>
      </c>
      <c r="E2570" s="13" t="s">
        <v>51</v>
      </c>
      <c r="F2570" s="13">
        <v>2016.0</v>
      </c>
      <c r="G2570" s="13">
        <v>13398.0</v>
      </c>
      <c r="H2570" s="13">
        <v>880.26</v>
      </c>
      <c r="I2570" s="13">
        <f>' car_sales_data 1'!$G2570*0.2</f>
        <v>2679.6</v>
      </c>
      <c r="J2570" s="13" t="str">
        <f>TEXT(' car_sales_data 1'!$A2570,"mmmm")</f>
        <v>November</v>
      </c>
      <c r="K2570" s="13" t="str">
        <f>IF(' car_sales_data 1'!$G2570&gt;40000,"Premium",
 IF(' car_sales_data 1'!$G2570&gt;=20000,"Mid Range","Budget"))</f>
        <v>Budget</v>
      </c>
      <c r="L2570" s="13">
        <f>YEAR(TODAY())-' car_sales_data 1'!$F2570</f>
        <v>9</v>
      </c>
    </row>
    <row r="2571" ht="15.75" customHeight="1">
      <c r="A2571" s="16">
        <v>44894.0</v>
      </c>
      <c r="B2571" s="13" t="s">
        <v>5007</v>
      </c>
      <c r="C2571" s="13" t="s">
        <v>5008</v>
      </c>
      <c r="D2571" s="13" t="s">
        <v>8</v>
      </c>
      <c r="E2571" s="13" t="s">
        <v>70</v>
      </c>
      <c r="F2571" s="13">
        <v>2020.0</v>
      </c>
      <c r="G2571" s="13">
        <v>26852.0</v>
      </c>
      <c r="H2571" s="13">
        <v>3686.45</v>
      </c>
      <c r="I2571" s="13">
        <f>' car_sales_data 1'!$G2571*0.2</f>
        <v>5370.4</v>
      </c>
      <c r="J2571" s="13" t="str">
        <f>TEXT(' car_sales_data 1'!$A2571,"mmmm")</f>
        <v>November</v>
      </c>
      <c r="K2571" s="13" t="str">
        <f>IF(' car_sales_data 1'!$G2571&gt;40000,"Premium",
 IF(' car_sales_data 1'!$G2571&gt;=20000,"Mid Range","Budget"))</f>
        <v>Mid Range</v>
      </c>
      <c r="L2571" s="13">
        <f>YEAR(TODAY())-' car_sales_data 1'!$F2571</f>
        <v>5</v>
      </c>
    </row>
    <row r="2572" ht="15.75" customHeight="1">
      <c r="A2572" s="16">
        <v>44972.0</v>
      </c>
      <c r="B2572" s="13" t="s">
        <v>5009</v>
      </c>
      <c r="C2572" s="13" t="s">
        <v>2757</v>
      </c>
      <c r="D2572" s="13" t="s">
        <v>6</v>
      </c>
      <c r="E2572" s="13" t="s">
        <v>54</v>
      </c>
      <c r="F2572" s="13">
        <v>2019.0</v>
      </c>
      <c r="G2572" s="13">
        <v>14814.0</v>
      </c>
      <c r="H2572" s="13">
        <v>2169.41</v>
      </c>
      <c r="I2572" s="13">
        <f>' car_sales_data 1'!$G2572*0.2</f>
        <v>2962.8</v>
      </c>
      <c r="J2572" s="13" t="str">
        <f>TEXT(' car_sales_data 1'!$A2572,"mmmm")</f>
        <v>February</v>
      </c>
      <c r="K2572" s="13" t="str">
        <f>IF(' car_sales_data 1'!$G2572&gt;40000,"Premium",
 IF(' car_sales_data 1'!$G2572&gt;=20000,"Mid Range","Budget"))</f>
        <v>Budget</v>
      </c>
      <c r="L2572" s="13">
        <f>YEAR(TODAY())-' car_sales_data 1'!$F2572</f>
        <v>6</v>
      </c>
    </row>
    <row r="2573" ht="15.75" customHeight="1">
      <c r="A2573" s="16">
        <v>44933.0</v>
      </c>
      <c r="B2573" s="13" t="s">
        <v>5010</v>
      </c>
      <c r="C2573" s="13" t="s">
        <v>5011</v>
      </c>
      <c r="D2573" s="13" t="s">
        <v>12</v>
      </c>
      <c r="E2573" s="13" t="s">
        <v>62</v>
      </c>
      <c r="F2573" s="13">
        <v>2015.0</v>
      </c>
      <c r="G2573" s="13">
        <v>21695.0</v>
      </c>
      <c r="H2573" s="13">
        <v>1657.78</v>
      </c>
      <c r="I2573" s="13">
        <f>' car_sales_data 1'!$G2573*0.2</f>
        <v>4339</v>
      </c>
      <c r="J2573" s="13" t="str">
        <f>TEXT(' car_sales_data 1'!$A2573,"mmmm")</f>
        <v>January</v>
      </c>
      <c r="K2573" s="13" t="str">
        <f>IF(' car_sales_data 1'!$G2573&gt;40000,"Premium",
 IF(' car_sales_data 1'!$G2573&gt;=20000,"Mid Range","Budget"))</f>
        <v>Mid Range</v>
      </c>
      <c r="L2573" s="13">
        <f>YEAR(TODAY())-' car_sales_data 1'!$F2573</f>
        <v>10</v>
      </c>
    </row>
    <row r="2574" ht="15.75" customHeight="1">
      <c r="A2574" s="16">
        <v>44920.0</v>
      </c>
      <c r="B2574" s="13" t="s">
        <v>5012</v>
      </c>
      <c r="C2574" s="13" t="s">
        <v>5013</v>
      </c>
      <c r="D2574" s="13" t="s">
        <v>14</v>
      </c>
      <c r="E2574" s="13" t="s">
        <v>70</v>
      </c>
      <c r="F2574" s="13">
        <v>2015.0</v>
      </c>
      <c r="G2574" s="13">
        <v>12998.0</v>
      </c>
      <c r="H2574" s="13">
        <v>1745.95</v>
      </c>
      <c r="I2574" s="13">
        <f>' car_sales_data 1'!$G2574*0.2</f>
        <v>2599.6</v>
      </c>
      <c r="J2574" s="13" t="str">
        <f>TEXT(' car_sales_data 1'!$A2574,"mmmm")</f>
        <v>December</v>
      </c>
      <c r="K2574" s="13" t="str">
        <f>IF(' car_sales_data 1'!$G2574&gt;40000,"Premium",
 IF(' car_sales_data 1'!$G2574&gt;=20000,"Mid Range","Budget"))</f>
        <v>Budget</v>
      </c>
      <c r="L2574" s="13">
        <f>YEAR(TODAY())-' car_sales_data 1'!$F2574</f>
        <v>10</v>
      </c>
    </row>
    <row r="2575" ht="15.75" customHeight="1">
      <c r="A2575" s="16">
        <v>45032.0</v>
      </c>
      <c r="B2575" s="13" t="s">
        <v>5014</v>
      </c>
      <c r="C2575" s="13" t="s">
        <v>5015</v>
      </c>
      <c r="D2575" s="13" t="s">
        <v>8</v>
      </c>
      <c r="E2575" s="13" t="s">
        <v>57</v>
      </c>
      <c r="F2575" s="13">
        <v>2014.0</v>
      </c>
      <c r="G2575" s="13">
        <v>45316.0</v>
      </c>
      <c r="H2575" s="13">
        <v>4573.88</v>
      </c>
      <c r="I2575" s="13">
        <f>' car_sales_data 1'!$G2575*0.2</f>
        <v>9063.2</v>
      </c>
      <c r="J2575" s="13" t="str">
        <f>TEXT(' car_sales_data 1'!$A2575,"mmmm")</f>
        <v>April</v>
      </c>
      <c r="K2575" s="13" t="str">
        <f>IF(' car_sales_data 1'!$G2575&gt;40000,"Premium",
 IF(' car_sales_data 1'!$G2575&gt;=20000,"Mid Range","Budget"))</f>
        <v>Premium</v>
      </c>
      <c r="L2575" s="13">
        <f>YEAR(TODAY())-' car_sales_data 1'!$F2575</f>
        <v>11</v>
      </c>
    </row>
    <row r="2576" ht="15.75" customHeight="1">
      <c r="A2576" s="16">
        <v>44694.0</v>
      </c>
      <c r="B2576" s="13" t="s">
        <v>5016</v>
      </c>
      <c r="C2576" s="13" t="s">
        <v>5017</v>
      </c>
      <c r="D2576" s="13" t="s">
        <v>8</v>
      </c>
      <c r="E2576" s="13" t="s">
        <v>62</v>
      </c>
      <c r="F2576" s="13">
        <v>2020.0</v>
      </c>
      <c r="G2576" s="13">
        <v>36592.0</v>
      </c>
      <c r="H2576" s="13">
        <v>2188.82</v>
      </c>
      <c r="I2576" s="13">
        <f>' car_sales_data 1'!$G2576*0.2</f>
        <v>7318.4</v>
      </c>
      <c r="J2576" s="13" t="str">
        <f>TEXT(' car_sales_data 1'!$A2576,"mmmm")</f>
        <v>May</v>
      </c>
      <c r="K2576" s="13" t="str">
        <f>IF(' car_sales_data 1'!$G2576&gt;40000,"Premium",
 IF(' car_sales_data 1'!$G2576&gt;=20000,"Mid Range","Budget"))</f>
        <v>Mid Range</v>
      </c>
      <c r="L2576" s="13">
        <f>YEAR(TODAY())-' car_sales_data 1'!$F2576</f>
        <v>5</v>
      </c>
    </row>
    <row r="2577" ht="15.75" customHeight="1">
      <c r="A2577" s="16">
        <v>44949.0</v>
      </c>
      <c r="B2577" s="13" t="s">
        <v>5018</v>
      </c>
      <c r="C2577" s="13" t="s">
        <v>5019</v>
      </c>
      <c r="D2577" s="13" t="s">
        <v>12</v>
      </c>
      <c r="E2577" s="13" t="s">
        <v>51</v>
      </c>
      <c r="F2577" s="13">
        <v>2016.0</v>
      </c>
      <c r="G2577" s="13">
        <v>30607.0</v>
      </c>
      <c r="H2577" s="13">
        <v>3167.02</v>
      </c>
      <c r="I2577" s="13">
        <f>' car_sales_data 1'!$G2577*0.2</f>
        <v>6121.4</v>
      </c>
      <c r="J2577" s="13" t="str">
        <f>TEXT(' car_sales_data 1'!$A2577,"mmmm")</f>
        <v>January</v>
      </c>
      <c r="K2577" s="13" t="str">
        <f>IF(' car_sales_data 1'!$G2577&gt;40000,"Premium",
 IF(' car_sales_data 1'!$G2577&gt;=20000,"Mid Range","Budget"))</f>
        <v>Mid Range</v>
      </c>
      <c r="L2577" s="13">
        <f>YEAR(TODAY())-' car_sales_data 1'!$F2577</f>
        <v>9</v>
      </c>
    </row>
    <row r="2578" ht="15.75" customHeight="1">
      <c r="A2578" s="16">
        <v>44800.0</v>
      </c>
      <c r="B2578" s="13" t="s">
        <v>5020</v>
      </c>
      <c r="C2578" s="13" t="s">
        <v>5021</v>
      </c>
      <c r="D2578" s="13" t="s">
        <v>8</v>
      </c>
      <c r="E2578" s="13" t="s">
        <v>51</v>
      </c>
      <c r="F2578" s="13">
        <v>2015.0</v>
      </c>
      <c r="G2578" s="13">
        <v>25204.0</v>
      </c>
      <c r="H2578" s="13">
        <v>2030.74</v>
      </c>
      <c r="I2578" s="13">
        <f>' car_sales_data 1'!$G2578*0.2</f>
        <v>5040.8</v>
      </c>
      <c r="J2578" s="13" t="str">
        <f>TEXT(' car_sales_data 1'!$A2578,"mmmm")</f>
        <v>August</v>
      </c>
      <c r="K2578" s="13" t="str">
        <f>IF(' car_sales_data 1'!$G2578&gt;40000,"Premium",
 IF(' car_sales_data 1'!$G2578&gt;=20000,"Mid Range","Budget"))</f>
        <v>Mid Range</v>
      </c>
      <c r="L2578" s="13">
        <f>YEAR(TODAY())-' car_sales_data 1'!$F2578</f>
        <v>10</v>
      </c>
    </row>
    <row r="2579" ht="15.75" customHeight="1">
      <c r="A2579" s="16">
        <v>44891.0</v>
      </c>
      <c r="B2579" s="13" t="s">
        <v>5022</v>
      </c>
      <c r="C2579" s="13" t="s">
        <v>5023</v>
      </c>
      <c r="D2579" s="13" t="s">
        <v>12</v>
      </c>
      <c r="E2579" s="13" t="s">
        <v>62</v>
      </c>
      <c r="F2579" s="13">
        <v>2013.0</v>
      </c>
      <c r="G2579" s="13">
        <v>27706.0</v>
      </c>
      <c r="H2579" s="13">
        <v>4113.19</v>
      </c>
      <c r="I2579" s="13">
        <f>' car_sales_data 1'!$G2579*0.2</f>
        <v>5541.2</v>
      </c>
      <c r="J2579" s="13" t="str">
        <f>TEXT(' car_sales_data 1'!$A2579,"mmmm")</f>
        <v>November</v>
      </c>
      <c r="K2579" s="13" t="str">
        <f>IF(' car_sales_data 1'!$G2579&gt;40000,"Premium",
 IF(' car_sales_data 1'!$G2579&gt;=20000,"Mid Range","Budget"))</f>
        <v>Mid Range</v>
      </c>
      <c r="L2579" s="13">
        <f>YEAR(TODAY())-' car_sales_data 1'!$F2579</f>
        <v>12</v>
      </c>
    </row>
    <row r="2580" ht="15.75" customHeight="1">
      <c r="A2580" s="16">
        <v>44918.0</v>
      </c>
      <c r="B2580" s="13" t="s">
        <v>5024</v>
      </c>
      <c r="C2580" s="13" t="s">
        <v>5025</v>
      </c>
      <c r="D2580" s="13" t="s">
        <v>6</v>
      </c>
      <c r="E2580" s="13" t="s">
        <v>51</v>
      </c>
      <c r="F2580" s="13">
        <v>2018.0</v>
      </c>
      <c r="G2580" s="13">
        <v>25326.0</v>
      </c>
      <c r="H2580" s="13">
        <v>3458.62</v>
      </c>
      <c r="I2580" s="13">
        <f>' car_sales_data 1'!$G2580*0.2</f>
        <v>5065.2</v>
      </c>
      <c r="J2580" s="13" t="str">
        <f>TEXT(' car_sales_data 1'!$A2580,"mmmm")</f>
        <v>December</v>
      </c>
      <c r="K2580" s="13" t="str">
        <f>IF(' car_sales_data 1'!$G2580&gt;40000,"Premium",
 IF(' car_sales_data 1'!$G2580&gt;=20000,"Mid Range","Budget"))</f>
        <v>Mid Range</v>
      </c>
      <c r="L2580" s="13">
        <f>YEAR(TODAY())-' car_sales_data 1'!$F2580</f>
        <v>7</v>
      </c>
    </row>
    <row r="2581" ht="15.75" customHeight="1">
      <c r="A2581" s="16">
        <v>44828.0</v>
      </c>
      <c r="B2581" s="13" t="s">
        <v>5026</v>
      </c>
      <c r="C2581" s="13" t="s">
        <v>5027</v>
      </c>
      <c r="D2581" s="13" t="s">
        <v>8</v>
      </c>
      <c r="E2581" s="13" t="s">
        <v>62</v>
      </c>
      <c r="F2581" s="13">
        <v>2015.0</v>
      </c>
      <c r="G2581" s="13">
        <v>15007.0</v>
      </c>
      <c r="H2581" s="13">
        <v>887.31</v>
      </c>
      <c r="I2581" s="13">
        <f>' car_sales_data 1'!$G2581*0.2</f>
        <v>3001.4</v>
      </c>
      <c r="J2581" s="13" t="str">
        <f>TEXT(' car_sales_data 1'!$A2581,"mmmm")</f>
        <v>September</v>
      </c>
      <c r="K2581" s="13" t="str">
        <f>IF(' car_sales_data 1'!$G2581&gt;40000,"Premium",
 IF(' car_sales_data 1'!$G2581&gt;=20000,"Mid Range","Budget"))</f>
        <v>Budget</v>
      </c>
      <c r="L2581" s="13">
        <f>YEAR(TODAY())-' car_sales_data 1'!$F2581</f>
        <v>10</v>
      </c>
    </row>
    <row r="2582" ht="15.75" customHeight="1">
      <c r="A2582" s="16">
        <v>44908.0</v>
      </c>
      <c r="B2582" s="13" t="s">
        <v>5028</v>
      </c>
      <c r="C2582" s="13" t="s">
        <v>5029</v>
      </c>
      <c r="D2582" s="13" t="s">
        <v>12</v>
      </c>
      <c r="E2582" s="13" t="s">
        <v>70</v>
      </c>
      <c r="F2582" s="13">
        <v>2013.0</v>
      </c>
      <c r="G2582" s="13">
        <v>39988.0</v>
      </c>
      <c r="H2582" s="13">
        <v>4726.02</v>
      </c>
      <c r="I2582" s="13">
        <f>' car_sales_data 1'!$G2582*0.2</f>
        <v>7997.6</v>
      </c>
      <c r="J2582" s="13" t="str">
        <f>TEXT(' car_sales_data 1'!$A2582,"mmmm")</f>
        <v>December</v>
      </c>
      <c r="K2582" s="13" t="str">
        <f>IF(' car_sales_data 1'!$G2582&gt;40000,"Premium",
 IF(' car_sales_data 1'!$G2582&gt;=20000,"Mid Range","Budget"))</f>
        <v>Mid Range</v>
      </c>
      <c r="L2582" s="13">
        <f>YEAR(TODAY())-' car_sales_data 1'!$F2582</f>
        <v>12</v>
      </c>
    </row>
    <row r="2583" ht="15.75" customHeight="1">
      <c r="A2583" s="16">
        <v>44776.0</v>
      </c>
      <c r="B2583" s="13" t="s">
        <v>5030</v>
      </c>
      <c r="C2583" s="13" t="s">
        <v>5031</v>
      </c>
      <c r="D2583" s="13" t="s">
        <v>14</v>
      </c>
      <c r="E2583" s="13" t="s">
        <v>54</v>
      </c>
      <c r="F2583" s="13">
        <v>2020.0</v>
      </c>
      <c r="G2583" s="13">
        <v>25973.0</v>
      </c>
      <c r="H2583" s="13">
        <v>3250.73</v>
      </c>
      <c r="I2583" s="13">
        <f>' car_sales_data 1'!$G2583*0.2</f>
        <v>5194.6</v>
      </c>
      <c r="J2583" s="13" t="str">
        <f>TEXT(' car_sales_data 1'!$A2583,"mmmm")</f>
        <v>August</v>
      </c>
      <c r="K2583" s="13" t="str">
        <f>IF(' car_sales_data 1'!$G2583&gt;40000,"Premium",
 IF(' car_sales_data 1'!$G2583&gt;=20000,"Mid Range","Budget"))</f>
        <v>Mid Range</v>
      </c>
      <c r="L2583" s="13">
        <f>YEAR(TODAY())-' car_sales_data 1'!$F2583</f>
        <v>5</v>
      </c>
    </row>
    <row r="2584" ht="15.75" customHeight="1">
      <c r="A2584" s="16">
        <v>44961.0</v>
      </c>
      <c r="B2584" s="13" t="s">
        <v>5032</v>
      </c>
      <c r="C2584" s="13" t="s">
        <v>5033</v>
      </c>
      <c r="D2584" s="13" t="s">
        <v>6</v>
      </c>
      <c r="E2584" s="13" t="s">
        <v>62</v>
      </c>
      <c r="F2584" s="13">
        <v>2017.0</v>
      </c>
      <c r="G2584" s="13">
        <v>33739.0</v>
      </c>
      <c r="H2584" s="13">
        <v>3147.76</v>
      </c>
      <c r="I2584" s="13">
        <f>' car_sales_data 1'!$G2584*0.2</f>
        <v>6747.8</v>
      </c>
      <c r="J2584" s="13" t="str">
        <f>TEXT(' car_sales_data 1'!$A2584,"mmmm")</f>
        <v>February</v>
      </c>
      <c r="K2584" s="13" t="str">
        <f>IF(' car_sales_data 1'!$G2584&gt;40000,"Premium",
 IF(' car_sales_data 1'!$G2584&gt;=20000,"Mid Range","Budget"))</f>
        <v>Mid Range</v>
      </c>
      <c r="L2584" s="13">
        <f>YEAR(TODAY())-' car_sales_data 1'!$F2584</f>
        <v>8</v>
      </c>
    </row>
    <row r="2585" ht="15.75" customHeight="1">
      <c r="A2585" s="16">
        <v>44707.0</v>
      </c>
      <c r="B2585" s="13" t="s">
        <v>5034</v>
      </c>
      <c r="C2585" s="13" t="s">
        <v>5035</v>
      </c>
      <c r="D2585" s="13" t="s">
        <v>6</v>
      </c>
      <c r="E2585" s="13" t="s">
        <v>57</v>
      </c>
      <c r="F2585" s="13">
        <v>2012.0</v>
      </c>
      <c r="G2585" s="13">
        <v>38330.0</v>
      </c>
      <c r="H2585" s="13">
        <v>4805.68</v>
      </c>
      <c r="I2585" s="13">
        <f>' car_sales_data 1'!$G2585*0.2</f>
        <v>7666</v>
      </c>
      <c r="J2585" s="13" t="str">
        <f>TEXT(' car_sales_data 1'!$A2585,"mmmm")</f>
        <v>May</v>
      </c>
      <c r="K2585" s="13" t="str">
        <f>IF(' car_sales_data 1'!$G2585&gt;40000,"Premium",
 IF(' car_sales_data 1'!$G2585&gt;=20000,"Mid Range","Budget"))</f>
        <v>Mid Range</v>
      </c>
      <c r="L2585" s="13">
        <f>YEAR(TODAY())-' car_sales_data 1'!$F2585</f>
        <v>13</v>
      </c>
    </row>
    <row r="2586" ht="15.75" customHeight="1">
      <c r="A2586" s="16">
        <v>45042.0</v>
      </c>
      <c r="B2586" s="13" t="s">
        <v>5036</v>
      </c>
      <c r="C2586" s="13" t="s">
        <v>5037</v>
      </c>
      <c r="D2586" s="13" t="s">
        <v>14</v>
      </c>
      <c r="E2586" s="13" t="s">
        <v>62</v>
      </c>
      <c r="F2586" s="13">
        <v>2011.0</v>
      </c>
      <c r="G2586" s="13">
        <v>10384.0</v>
      </c>
      <c r="H2586" s="13">
        <v>650.06</v>
      </c>
      <c r="I2586" s="13">
        <f>' car_sales_data 1'!$G2586*0.2</f>
        <v>2076.8</v>
      </c>
      <c r="J2586" s="13" t="str">
        <f>TEXT(' car_sales_data 1'!$A2586,"mmmm")</f>
        <v>April</v>
      </c>
      <c r="K2586" s="13" t="str">
        <f>IF(' car_sales_data 1'!$G2586&gt;40000,"Premium",
 IF(' car_sales_data 1'!$G2586&gt;=20000,"Mid Range","Budget"))</f>
        <v>Budget</v>
      </c>
      <c r="L2586" s="13">
        <f>YEAR(TODAY())-' car_sales_data 1'!$F2586</f>
        <v>14</v>
      </c>
    </row>
    <row r="2587" ht="15.75" customHeight="1">
      <c r="A2587" s="16">
        <v>44785.0</v>
      </c>
      <c r="B2587" s="13" t="s">
        <v>5038</v>
      </c>
      <c r="C2587" s="13" t="s">
        <v>5039</v>
      </c>
      <c r="D2587" s="13" t="s">
        <v>14</v>
      </c>
      <c r="E2587" s="13" t="s">
        <v>57</v>
      </c>
      <c r="F2587" s="13">
        <v>2013.0</v>
      </c>
      <c r="G2587" s="13">
        <v>47307.0</v>
      </c>
      <c r="H2587" s="13">
        <v>4557.7</v>
      </c>
      <c r="I2587" s="13">
        <f>' car_sales_data 1'!$G2587*0.2</f>
        <v>9461.4</v>
      </c>
      <c r="J2587" s="13" t="str">
        <f>TEXT(' car_sales_data 1'!$A2587,"mmmm")</f>
        <v>August</v>
      </c>
      <c r="K2587" s="13" t="str">
        <f>IF(' car_sales_data 1'!$G2587&gt;40000,"Premium",
 IF(' car_sales_data 1'!$G2587&gt;=20000,"Mid Range","Budget"))</f>
        <v>Premium</v>
      </c>
      <c r="L2587" s="13">
        <f>YEAR(TODAY())-' car_sales_data 1'!$F2587</f>
        <v>12</v>
      </c>
    </row>
    <row r="2588" ht="15.75" customHeight="1">
      <c r="A2588" s="16">
        <v>44929.0</v>
      </c>
      <c r="B2588" s="13" t="s">
        <v>5040</v>
      </c>
      <c r="C2588" s="13" t="s">
        <v>5041</v>
      </c>
      <c r="D2588" s="13" t="s">
        <v>14</v>
      </c>
      <c r="E2588" s="13" t="s">
        <v>54</v>
      </c>
      <c r="F2588" s="13">
        <v>2011.0</v>
      </c>
      <c r="G2588" s="13">
        <v>35962.0</v>
      </c>
      <c r="H2588" s="13">
        <v>2371.42</v>
      </c>
      <c r="I2588" s="13">
        <f>' car_sales_data 1'!$G2588*0.2</f>
        <v>7192.4</v>
      </c>
      <c r="J2588" s="13" t="str">
        <f>TEXT(' car_sales_data 1'!$A2588,"mmmm")</f>
        <v>January</v>
      </c>
      <c r="K2588" s="13" t="str">
        <f>IF(' car_sales_data 1'!$G2588&gt;40000,"Premium",
 IF(' car_sales_data 1'!$G2588&gt;=20000,"Mid Range","Budget"))</f>
        <v>Mid Range</v>
      </c>
      <c r="L2588" s="13">
        <f>YEAR(TODAY())-' car_sales_data 1'!$F2588</f>
        <v>14</v>
      </c>
    </row>
    <row r="2589" ht="15.75" customHeight="1">
      <c r="A2589" s="16">
        <v>44996.0</v>
      </c>
      <c r="B2589" s="13" t="s">
        <v>5042</v>
      </c>
      <c r="C2589" s="13" t="s">
        <v>5043</v>
      </c>
      <c r="D2589" s="13" t="s">
        <v>12</v>
      </c>
      <c r="E2589" s="13" t="s">
        <v>51</v>
      </c>
      <c r="F2589" s="13">
        <v>2019.0</v>
      </c>
      <c r="G2589" s="13">
        <v>37987.0</v>
      </c>
      <c r="H2589" s="13">
        <v>3249.41</v>
      </c>
      <c r="I2589" s="13">
        <f>' car_sales_data 1'!$G2589*0.2</f>
        <v>7597.4</v>
      </c>
      <c r="J2589" s="13" t="str">
        <f>TEXT(' car_sales_data 1'!$A2589,"mmmm")</f>
        <v>March</v>
      </c>
      <c r="K2589" s="13" t="str">
        <f>IF(' car_sales_data 1'!$G2589&gt;40000,"Premium",
 IF(' car_sales_data 1'!$G2589&gt;=20000,"Mid Range","Budget"))</f>
        <v>Mid Range</v>
      </c>
      <c r="L2589" s="13">
        <f>YEAR(TODAY())-' car_sales_data 1'!$F2589</f>
        <v>6</v>
      </c>
    </row>
    <row r="2590" ht="15.75" customHeight="1">
      <c r="A2590" s="16">
        <v>44990.0</v>
      </c>
      <c r="B2590" s="13" t="s">
        <v>5044</v>
      </c>
      <c r="C2590" s="13" t="s">
        <v>5045</v>
      </c>
      <c r="D2590" s="13" t="s">
        <v>10</v>
      </c>
      <c r="E2590" s="13" t="s">
        <v>57</v>
      </c>
      <c r="F2590" s="13">
        <v>2018.0</v>
      </c>
      <c r="G2590" s="13">
        <v>45262.0</v>
      </c>
      <c r="H2590" s="13">
        <v>2287.81</v>
      </c>
      <c r="I2590" s="13">
        <f>' car_sales_data 1'!$G2590*0.2</f>
        <v>9052.4</v>
      </c>
      <c r="J2590" s="13" t="str">
        <f>TEXT(' car_sales_data 1'!$A2590,"mmmm")</f>
        <v>March</v>
      </c>
      <c r="K2590" s="13" t="str">
        <f>IF(' car_sales_data 1'!$G2590&gt;40000,"Premium",
 IF(' car_sales_data 1'!$G2590&gt;=20000,"Mid Range","Budget"))</f>
        <v>Premium</v>
      </c>
      <c r="L2590" s="13">
        <f>YEAR(TODAY())-' car_sales_data 1'!$F2590</f>
        <v>7</v>
      </c>
    </row>
    <row r="2591" ht="15.75" customHeight="1">
      <c r="A2591" s="16">
        <v>45024.0</v>
      </c>
      <c r="B2591" s="13" t="s">
        <v>5046</v>
      </c>
      <c r="C2591" s="13" t="s">
        <v>5047</v>
      </c>
      <c r="D2591" s="13" t="s">
        <v>12</v>
      </c>
      <c r="E2591" s="13" t="s">
        <v>51</v>
      </c>
      <c r="F2591" s="13">
        <v>2014.0</v>
      </c>
      <c r="G2591" s="13">
        <v>15530.0</v>
      </c>
      <c r="H2591" s="13">
        <v>1171.05</v>
      </c>
      <c r="I2591" s="13">
        <f>' car_sales_data 1'!$G2591*0.2</f>
        <v>3106</v>
      </c>
      <c r="J2591" s="13" t="str">
        <f>TEXT(' car_sales_data 1'!$A2591,"mmmm")</f>
        <v>April</v>
      </c>
      <c r="K2591" s="13" t="str">
        <f>IF(' car_sales_data 1'!$G2591&gt;40000,"Premium",
 IF(' car_sales_data 1'!$G2591&gt;=20000,"Mid Range","Budget"))</f>
        <v>Budget</v>
      </c>
      <c r="L2591" s="13">
        <f>YEAR(TODAY())-' car_sales_data 1'!$F2591</f>
        <v>11</v>
      </c>
    </row>
    <row r="2592" ht="15.75" customHeight="1">
      <c r="A2592" s="16">
        <v>44740.0</v>
      </c>
      <c r="B2592" s="13" t="s">
        <v>5048</v>
      </c>
      <c r="C2592" s="13" t="s">
        <v>5049</v>
      </c>
      <c r="D2592" s="13" t="s">
        <v>8</v>
      </c>
      <c r="E2592" s="13" t="s">
        <v>62</v>
      </c>
      <c r="F2592" s="13">
        <v>2020.0</v>
      </c>
      <c r="G2592" s="13">
        <v>36896.0</v>
      </c>
      <c r="H2592" s="13">
        <v>4108.0</v>
      </c>
      <c r="I2592" s="13">
        <f>' car_sales_data 1'!$G2592*0.2</f>
        <v>7379.2</v>
      </c>
      <c r="J2592" s="13" t="str">
        <f>TEXT(' car_sales_data 1'!$A2592,"mmmm")</f>
        <v>June</v>
      </c>
      <c r="K2592" s="13" t="str">
        <f>IF(' car_sales_data 1'!$G2592&gt;40000,"Premium",
 IF(' car_sales_data 1'!$G2592&gt;=20000,"Mid Range","Budget"))</f>
        <v>Mid Range</v>
      </c>
      <c r="L2592" s="13">
        <f>YEAR(TODAY())-' car_sales_data 1'!$F2592</f>
        <v>5</v>
      </c>
    </row>
    <row r="2593" ht="15.75" customHeight="1">
      <c r="A2593" s="16">
        <v>44721.0</v>
      </c>
      <c r="B2593" s="13" t="s">
        <v>5050</v>
      </c>
      <c r="C2593" s="13" t="s">
        <v>5051</v>
      </c>
      <c r="D2593" s="13" t="s">
        <v>10</v>
      </c>
      <c r="E2593" s="13" t="s">
        <v>62</v>
      </c>
      <c r="F2593" s="13">
        <v>2012.0</v>
      </c>
      <c r="G2593" s="13">
        <v>44197.0</v>
      </c>
      <c r="H2593" s="13">
        <v>4971.73</v>
      </c>
      <c r="I2593" s="13">
        <f>' car_sales_data 1'!$G2593*0.2</f>
        <v>8839.4</v>
      </c>
      <c r="J2593" s="13" t="str">
        <f>TEXT(' car_sales_data 1'!$A2593,"mmmm")</f>
        <v>June</v>
      </c>
      <c r="K2593" s="13" t="str">
        <f>IF(' car_sales_data 1'!$G2593&gt;40000,"Premium",
 IF(' car_sales_data 1'!$G2593&gt;=20000,"Mid Range","Budget"))</f>
        <v>Premium</v>
      </c>
      <c r="L2593" s="13">
        <f>YEAR(TODAY())-' car_sales_data 1'!$F2593</f>
        <v>13</v>
      </c>
    </row>
    <row r="2594" ht="15.75" customHeight="1">
      <c r="A2594" s="16">
        <v>45036.0</v>
      </c>
      <c r="B2594" s="13" t="s">
        <v>5052</v>
      </c>
      <c r="C2594" s="13" t="s">
        <v>5053</v>
      </c>
      <c r="D2594" s="13" t="s">
        <v>10</v>
      </c>
      <c r="E2594" s="13" t="s">
        <v>57</v>
      </c>
      <c r="F2594" s="13">
        <v>2018.0</v>
      </c>
      <c r="G2594" s="13">
        <v>41347.0</v>
      </c>
      <c r="H2594" s="13">
        <v>3716.82</v>
      </c>
      <c r="I2594" s="13">
        <f>' car_sales_data 1'!$G2594*0.2</f>
        <v>8269.4</v>
      </c>
      <c r="J2594" s="13" t="str">
        <f>TEXT(' car_sales_data 1'!$A2594,"mmmm")</f>
        <v>April</v>
      </c>
      <c r="K2594" s="13" t="str">
        <f>IF(' car_sales_data 1'!$G2594&gt;40000,"Premium",
 IF(' car_sales_data 1'!$G2594&gt;=20000,"Mid Range","Budget"))</f>
        <v>Premium</v>
      </c>
      <c r="L2594" s="13">
        <f>YEAR(TODAY())-' car_sales_data 1'!$F2594</f>
        <v>7</v>
      </c>
    </row>
    <row r="2595" ht="15.75" customHeight="1">
      <c r="A2595" s="16">
        <v>44926.0</v>
      </c>
      <c r="B2595" s="13" t="s">
        <v>5054</v>
      </c>
      <c r="C2595" s="13" t="s">
        <v>5055</v>
      </c>
      <c r="D2595" s="13" t="s">
        <v>6</v>
      </c>
      <c r="E2595" s="13" t="s">
        <v>70</v>
      </c>
      <c r="F2595" s="13">
        <v>2020.0</v>
      </c>
      <c r="G2595" s="13">
        <v>24428.0</v>
      </c>
      <c r="H2595" s="13">
        <v>2900.85</v>
      </c>
      <c r="I2595" s="13">
        <f>' car_sales_data 1'!$G2595*0.2</f>
        <v>4885.6</v>
      </c>
      <c r="J2595" s="13" t="str">
        <f>TEXT(' car_sales_data 1'!$A2595,"mmmm")</f>
        <v>December</v>
      </c>
      <c r="K2595" s="13" t="str">
        <f>IF(' car_sales_data 1'!$G2595&gt;40000,"Premium",
 IF(' car_sales_data 1'!$G2595&gt;=20000,"Mid Range","Budget"))</f>
        <v>Mid Range</v>
      </c>
      <c r="L2595" s="13">
        <f>YEAR(TODAY())-' car_sales_data 1'!$F2595</f>
        <v>5</v>
      </c>
    </row>
    <row r="2596" ht="15.75" customHeight="1">
      <c r="A2596" s="16">
        <v>44909.0</v>
      </c>
      <c r="B2596" s="13" t="s">
        <v>5056</v>
      </c>
      <c r="C2596" s="13" t="s">
        <v>5057</v>
      </c>
      <c r="D2596" s="13" t="s">
        <v>14</v>
      </c>
      <c r="E2596" s="13" t="s">
        <v>70</v>
      </c>
      <c r="F2596" s="13">
        <v>2019.0</v>
      </c>
      <c r="G2596" s="13">
        <v>38114.0</v>
      </c>
      <c r="H2596" s="13">
        <v>3434.23</v>
      </c>
      <c r="I2596" s="13">
        <f>' car_sales_data 1'!$G2596*0.2</f>
        <v>7622.8</v>
      </c>
      <c r="J2596" s="13" t="str">
        <f>TEXT(' car_sales_data 1'!$A2596,"mmmm")</f>
        <v>December</v>
      </c>
      <c r="K2596" s="13" t="str">
        <f>IF(' car_sales_data 1'!$G2596&gt;40000,"Premium",
 IF(' car_sales_data 1'!$G2596&gt;=20000,"Mid Range","Budget"))</f>
        <v>Mid Range</v>
      </c>
      <c r="L2596" s="13">
        <f>YEAR(TODAY())-' car_sales_data 1'!$F2596</f>
        <v>6</v>
      </c>
    </row>
    <row r="2597" ht="15.75" customHeight="1">
      <c r="A2597" s="16">
        <v>45039.0</v>
      </c>
      <c r="B2597" s="13" t="s">
        <v>5058</v>
      </c>
      <c r="C2597" s="13" t="s">
        <v>5059</v>
      </c>
      <c r="D2597" s="13" t="s">
        <v>6</v>
      </c>
      <c r="E2597" s="13" t="s">
        <v>62</v>
      </c>
      <c r="F2597" s="13">
        <v>2013.0</v>
      </c>
      <c r="G2597" s="13">
        <v>16564.0</v>
      </c>
      <c r="H2597" s="13">
        <v>1362.18</v>
      </c>
      <c r="I2597" s="13">
        <f>' car_sales_data 1'!$G2597*0.2</f>
        <v>3312.8</v>
      </c>
      <c r="J2597" s="13" t="str">
        <f>TEXT(' car_sales_data 1'!$A2597,"mmmm")</f>
        <v>April</v>
      </c>
      <c r="K2597" s="13" t="str">
        <f>IF(' car_sales_data 1'!$G2597&gt;40000,"Premium",
 IF(' car_sales_data 1'!$G2597&gt;=20000,"Mid Range","Budget"))</f>
        <v>Budget</v>
      </c>
      <c r="L2597" s="13">
        <f>YEAR(TODAY())-' car_sales_data 1'!$F2597</f>
        <v>12</v>
      </c>
    </row>
    <row r="2598" ht="15.75" customHeight="1">
      <c r="A2598" s="16">
        <v>44771.0</v>
      </c>
      <c r="B2598" s="13" t="s">
        <v>5060</v>
      </c>
      <c r="C2598" s="13" t="s">
        <v>5061</v>
      </c>
      <c r="D2598" s="13" t="s">
        <v>6</v>
      </c>
      <c r="E2598" s="13" t="s">
        <v>51</v>
      </c>
      <c r="F2598" s="13">
        <v>2011.0</v>
      </c>
      <c r="G2598" s="13">
        <v>46767.0</v>
      </c>
      <c r="H2598" s="13">
        <v>2630.03</v>
      </c>
      <c r="I2598" s="13">
        <f>' car_sales_data 1'!$G2598*0.2</f>
        <v>9353.4</v>
      </c>
      <c r="J2598" s="13" t="str">
        <f>TEXT(' car_sales_data 1'!$A2598,"mmmm")</f>
        <v>July</v>
      </c>
      <c r="K2598" s="13" t="str">
        <f>IF(' car_sales_data 1'!$G2598&gt;40000,"Premium",
 IF(' car_sales_data 1'!$G2598&gt;=20000,"Mid Range","Budget"))</f>
        <v>Premium</v>
      </c>
      <c r="L2598" s="13">
        <f>YEAR(TODAY())-' car_sales_data 1'!$F2598</f>
        <v>14</v>
      </c>
    </row>
    <row r="2599" ht="15.75" customHeight="1">
      <c r="A2599" s="16">
        <v>45030.0</v>
      </c>
      <c r="B2599" s="13" t="s">
        <v>5062</v>
      </c>
      <c r="C2599" s="13" t="s">
        <v>5063</v>
      </c>
      <c r="D2599" s="13" t="s">
        <v>14</v>
      </c>
      <c r="E2599" s="13" t="s">
        <v>70</v>
      </c>
      <c r="F2599" s="13">
        <v>2019.0</v>
      </c>
      <c r="G2599" s="13">
        <v>14083.0</v>
      </c>
      <c r="H2599" s="13">
        <v>1387.26</v>
      </c>
      <c r="I2599" s="13">
        <f>' car_sales_data 1'!$G2599*0.2</f>
        <v>2816.6</v>
      </c>
      <c r="J2599" s="13" t="str">
        <f>TEXT(' car_sales_data 1'!$A2599,"mmmm")</f>
        <v>April</v>
      </c>
      <c r="K2599" s="13" t="str">
        <f>IF(' car_sales_data 1'!$G2599&gt;40000,"Premium",
 IF(' car_sales_data 1'!$G2599&gt;=20000,"Mid Range","Budget"))</f>
        <v>Budget</v>
      </c>
      <c r="L2599" s="13">
        <f>YEAR(TODAY())-' car_sales_data 1'!$F2599</f>
        <v>6</v>
      </c>
    </row>
    <row r="2600" ht="15.75" customHeight="1">
      <c r="A2600" s="16">
        <v>44869.0</v>
      </c>
      <c r="B2600" s="13" t="s">
        <v>5064</v>
      </c>
      <c r="C2600" s="13" t="s">
        <v>5065</v>
      </c>
      <c r="D2600" s="13" t="s">
        <v>6</v>
      </c>
      <c r="E2600" s="13" t="s">
        <v>54</v>
      </c>
      <c r="F2600" s="13">
        <v>2020.0</v>
      </c>
      <c r="G2600" s="13">
        <v>43153.0</v>
      </c>
      <c r="H2600" s="13">
        <v>3980.35</v>
      </c>
      <c r="I2600" s="13">
        <f>' car_sales_data 1'!$G2600*0.2</f>
        <v>8630.6</v>
      </c>
      <c r="J2600" s="13" t="str">
        <f>TEXT(' car_sales_data 1'!$A2600,"mmmm")</f>
        <v>November</v>
      </c>
      <c r="K2600" s="13" t="str">
        <f>IF(' car_sales_data 1'!$G2600&gt;40000,"Premium",
 IF(' car_sales_data 1'!$G2600&gt;=20000,"Mid Range","Budget"))</f>
        <v>Premium</v>
      </c>
      <c r="L2600" s="13">
        <f>YEAR(TODAY())-' car_sales_data 1'!$F2600</f>
        <v>5</v>
      </c>
    </row>
    <row r="2601" ht="15.75" customHeight="1">
      <c r="A2601" s="16">
        <v>44982.0</v>
      </c>
      <c r="B2601" s="13" t="s">
        <v>5066</v>
      </c>
      <c r="C2601" s="13" t="s">
        <v>5067</v>
      </c>
      <c r="D2601" s="13" t="s">
        <v>10</v>
      </c>
      <c r="E2601" s="13" t="s">
        <v>70</v>
      </c>
      <c r="F2601" s="13">
        <v>2022.0</v>
      </c>
      <c r="G2601" s="13">
        <v>33118.0</v>
      </c>
      <c r="H2601" s="13">
        <v>3480.53</v>
      </c>
      <c r="I2601" s="13">
        <f>' car_sales_data 1'!$G2601*0.2</f>
        <v>6623.6</v>
      </c>
      <c r="J2601" s="13" t="str">
        <f>TEXT(' car_sales_data 1'!$A2601,"mmmm")</f>
        <v>February</v>
      </c>
      <c r="K2601" s="13" t="str">
        <f>IF(' car_sales_data 1'!$G2601&gt;40000,"Premium",
 IF(' car_sales_data 1'!$G2601&gt;=20000,"Mid Range","Budget"))</f>
        <v>Mid Range</v>
      </c>
      <c r="L2601" s="13">
        <f>YEAR(TODAY())-' car_sales_data 1'!$F2601</f>
        <v>3</v>
      </c>
    </row>
    <row r="2602" ht="15.75" customHeight="1">
      <c r="A2602" s="16">
        <v>44815.0</v>
      </c>
      <c r="B2602" s="13" t="s">
        <v>5068</v>
      </c>
      <c r="C2602" s="13" t="s">
        <v>5069</v>
      </c>
      <c r="D2602" s="13" t="s">
        <v>6</v>
      </c>
      <c r="E2602" s="13" t="s">
        <v>70</v>
      </c>
      <c r="F2602" s="13">
        <v>2018.0</v>
      </c>
      <c r="G2602" s="13">
        <v>21517.0</v>
      </c>
      <c r="H2602" s="13">
        <v>1634.67</v>
      </c>
      <c r="I2602" s="13">
        <f>' car_sales_data 1'!$G2602*0.2</f>
        <v>4303.4</v>
      </c>
      <c r="J2602" s="13" t="str">
        <f>TEXT(' car_sales_data 1'!$A2602,"mmmm")</f>
        <v>September</v>
      </c>
      <c r="K2602" s="13" t="str">
        <f>IF(' car_sales_data 1'!$G2602&gt;40000,"Premium",
 IF(' car_sales_data 1'!$G2602&gt;=20000,"Mid Range","Budget"))</f>
        <v>Mid Range</v>
      </c>
      <c r="L2602" s="13">
        <f>YEAR(TODAY())-' car_sales_data 1'!$F2602</f>
        <v>7</v>
      </c>
    </row>
    <row r="2603" ht="15.75" customHeight="1">
      <c r="A2603" s="16">
        <v>45029.0</v>
      </c>
      <c r="B2603" s="13" t="s">
        <v>5070</v>
      </c>
      <c r="C2603" s="13" t="s">
        <v>5071</v>
      </c>
      <c r="D2603" s="13" t="s">
        <v>10</v>
      </c>
      <c r="E2603" s="13" t="s">
        <v>51</v>
      </c>
      <c r="F2603" s="13">
        <v>2011.0</v>
      </c>
      <c r="G2603" s="13">
        <v>44854.0</v>
      </c>
      <c r="H2603" s="13">
        <v>5115.47</v>
      </c>
      <c r="I2603" s="13">
        <f>' car_sales_data 1'!$G2603*0.2</f>
        <v>8970.8</v>
      </c>
      <c r="J2603" s="13" t="str">
        <f>TEXT(' car_sales_data 1'!$A2603,"mmmm")</f>
        <v>April</v>
      </c>
      <c r="K2603" s="13" t="str">
        <f>IF(' car_sales_data 1'!$G2603&gt;40000,"Premium",
 IF(' car_sales_data 1'!$G2603&gt;=20000,"Mid Range","Budget"))</f>
        <v>Premium</v>
      </c>
      <c r="L2603" s="13">
        <f>YEAR(TODAY())-' car_sales_data 1'!$F2603</f>
        <v>14</v>
      </c>
    </row>
    <row r="2604" ht="15.75" customHeight="1">
      <c r="A2604" s="16">
        <v>44983.0</v>
      </c>
      <c r="B2604" s="13" t="s">
        <v>5072</v>
      </c>
      <c r="C2604" s="13" t="s">
        <v>5073</v>
      </c>
      <c r="D2604" s="13" t="s">
        <v>12</v>
      </c>
      <c r="E2604" s="13" t="s">
        <v>70</v>
      </c>
      <c r="F2604" s="13">
        <v>2013.0</v>
      </c>
      <c r="G2604" s="13">
        <v>46994.0</v>
      </c>
      <c r="H2604" s="13">
        <v>7000.12</v>
      </c>
      <c r="I2604" s="13">
        <f>' car_sales_data 1'!$G2604*0.2</f>
        <v>9398.8</v>
      </c>
      <c r="J2604" s="13" t="str">
        <f>TEXT(' car_sales_data 1'!$A2604,"mmmm")</f>
        <v>February</v>
      </c>
      <c r="K2604" s="13" t="str">
        <f>IF(' car_sales_data 1'!$G2604&gt;40000,"Premium",
 IF(' car_sales_data 1'!$G2604&gt;=20000,"Mid Range","Budget"))</f>
        <v>Premium</v>
      </c>
      <c r="L2604" s="13">
        <f>YEAR(TODAY())-' car_sales_data 1'!$F2604</f>
        <v>12</v>
      </c>
    </row>
    <row r="2605" ht="15.75" customHeight="1">
      <c r="A2605" s="16">
        <v>44770.0</v>
      </c>
      <c r="B2605" s="13" t="s">
        <v>5074</v>
      </c>
      <c r="C2605" s="13" t="s">
        <v>5075</v>
      </c>
      <c r="D2605" s="13" t="s">
        <v>6</v>
      </c>
      <c r="E2605" s="13" t="s">
        <v>62</v>
      </c>
      <c r="F2605" s="13">
        <v>2011.0</v>
      </c>
      <c r="G2605" s="13">
        <v>21444.0</v>
      </c>
      <c r="H2605" s="13">
        <v>2509.07</v>
      </c>
      <c r="I2605" s="13">
        <f>' car_sales_data 1'!$G2605*0.2</f>
        <v>4288.8</v>
      </c>
      <c r="J2605" s="13" t="str">
        <f>TEXT(' car_sales_data 1'!$A2605,"mmmm")</f>
        <v>July</v>
      </c>
      <c r="K2605" s="13" t="str">
        <f>IF(' car_sales_data 1'!$G2605&gt;40000,"Premium",
 IF(' car_sales_data 1'!$G2605&gt;=20000,"Mid Range","Budget"))</f>
        <v>Mid Range</v>
      </c>
      <c r="L2605" s="13">
        <f>YEAR(TODAY())-' car_sales_data 1'!$F2605</f>
        <v>14</v>
      </c>
    </row>
    <row r="2606" ht="15.75" customHeight="1">
      <c r="A2606" s="16">
        <v>44790.0</v>
      </c>
      <c r="B2606" s="13" t="s">
        <v>5076</v>
      </c>
      <c r="C2606" s="13" t="s">
        <v>5077</v>
      </c>
      <c r="D2606" s="13" t="s">
        <v>6</v>
      </c>
      <c r="E2606" s="13" t="s">
        <v>51</v>
      </c>
      <c r="F2606" s="13">
        <v>2014.0</v>
      </c>
      <c r="G2606" s="13">
        <v>31597.0</v>
      </c>
      <c r="H2606" s="13">
        <v>4364.18</v>
      </c>
      <c r="I2606" s="13">
        <f>' car_sales_data 1'!$G2606*0.2</f>
        <v>6319.4</v>
      </c>
      <c r="J2606" s="13" t="str">
        <f>TEXT(' car_sales_data 1'!$A2606,"mmmm")</f>
        <v>August</v>
      </c>
      <c r="K2606" s="13" t="str">
        <f>IF(' car_sales_data 1'!$G2606&gt;40000,"Premium",
 IF(' car_sales_data 1'!$G2606&gt;=20000,"Mid Range","Budget"))</f>
        <v>Mid Range</v>
      </c>
      <c r="L2606" s="13">
        <f>YEAR(TODAY())-' car_sales_data 1'!$F2606</f>
        <v>11</v>
      </c>
    </row>
    <row r="2607" ht="15.75" customHeight="1">
      <c r="A2607" s="16">
        <v>45014.0</v>
      </c>
      <c r="B2607" s="13" t="s">
        <v>5078</v>
      </c>
      <c r="C2607" s="13" t="s">
        <v>5079</v>
      </c>
      <c r="D2607" s="13" t="s">
        <v>8</v>
      </c>
      <c r="E2607" s="13" t="s">
        <v>51</v>
      </c>
      <c r="F2607" s="13">
        <v>2016.0</v>
      </c>
      <c r="G2607" s="13">
        <v>21772.0</v>
      </c>
      <c r="H2607" s="13">
        <v>2852.88</v>
      </c>
      <c r="I2607" s="13">
        <f>' car_sales_data 1'!$G2607*0.2</f>
        <v>4354.4</v>
      </c>
      <c r="J2607" s="13" t="str">
        <f>TEXT(' car_sales_data 1'!$A2607,"mmmm")</f>
        <v>March</v>
      </c>
      <c r="K2607" s="13" t="str">
        <f>IF(' car_sales_data 1'!$G2607&gt;40000,"Premium",
 IF(' car_sales_data 1'!$G2607&gt;=20000,"Mid Range","Budget"))</f>
        <v>Mid Range</v>
      </c>
      <c r="L2607" s="13">
        <f>YEAR(TODAY())-' car_sales_data 1'!$F2607</f>
        <v>9</v>
      </c>
    </row>
    <row r="2608" ht="15.75" customHeight="1">
      <c r="A2608" s="16">
        <v>44884.0</v>
      </c>
      <c r="B2608" s="13" t="s">
        <v>5080</v>
      </c>
      <c r="C2608" s="13" t="s">
        <v>5081</v>
      </c>
      <c r="D2608" s="13" t="s">
        <v>14</v>
      </c>
      <c r="E2608" s="13" t="s">
        <v>57</v>
      </c>
      <c r="F2608" s="13">
        <v>2011.0</v>
      </c>
      <c r="G2608" s="13">
        <v>45953.0</v>
      </c>
      <c r="H2608" s="13">
        <v>4281.44</v>
      </c>
      <c r="I2608" s="13">
        <f>' car_sales_data 1'!$G2608*0.2</f>
        <v>9190.6</v>
      </c>
      <c r="J2608" s="13" t="str">
        <f>TEXT(' car_sales_data 1'!$A2608,"mmmm")</f>
        <v>November</v>
      </c>
      <c r="K2608" s="13" t="str">
        <f>IF(' car_sales_data 1'!$G2608&gt;40000,"Premium",
 IF(' car_sales_data 1'!$G2608&gt;=20000,"Mid Range","Budget"))</f>
        <v>Premium</v>
      </c>
      <c r="L2608" s="13">
        <f>YEAR(TODAY())-' car_sales_data 1'!$F2608</f>
        <v>14</v>
      </c>
    </row>
    <row r="2609" ht="15.75" customHeight="1">
      <c r="A2609" s="16">
        <v>45028.0</v>
      </c>
      <c r="B2609" s="13" t="s">
        <v>3721</v>
      </c>
      <c r="C2609" s="13" t="s">
        <v>5082</v>
      </c>
      <c r="D2609" s="13" t="s">
        <v>8</v>
      </c>
      <c r="E2609" s="13" t="s">
        <v>54</v>
      </c>
      <c r="F2609" s="13">
        <v>2016.0</v>
      </c>
      <c r="G2609" s="13">
        <v>24155.0</v>
      </c>
      <c r="H2609" s="13">
        <v>3607.51</v>
      </c>
      <c r="I2609" s="13">
        <f>' car_sales_data 1'!$G2609*0.2</f>
        <v>4831</v>
      </c>
      <c r="J2609" s="13" t="str">
        <f>TEXT(' car_sales_data 1'!$A2609,"mmmm")</f>
        <v>April</v>
      </c>
      <c r="K2609" s="13" t="str">
        <f>IF(' car_sales_data 1'!$G2609&gt;40000,"Premium",
 IF(' car_sales_data 1'!$G2609&gt;=20000,"Mid Range","Budget"))</f>
        <v>Mid Range</v>
      </c>
      <c r="L2609" s="13">
        <f>YEAR(TODAY())-' car_sales_data 1'!$F2609</f>
        <v>9</v>
      </c>
    </row>
    <row r="2610" ht="15.75" customHeight="1">
      <c r="A2610" s="16">
        <v>44901.0</v>
      </c>
      <c r="B2610" s="13" t="s">
        <v>5083</v>
      </c>
      <c r="C2610" s="13" t="s">
        <v>5084</v>
      </c>
      <c r="D2610" s="13" t="s">
        <v>12</v>
      </c>
      <c r="E2610" s="13" t="s">
        <v>62</v>
      </c>
      <c r="F2610" s="13">
        <v>2022.0</v>
      </c>
      <c r="G2610" s="13">
        <v>46467.0</v>
      </c>
      <c r="H2610" s="13">
        <v>5222.39</v>
      </c>
      <c r="I2610" s="13">
        <f>' car_sales_data 1'!$G2610*0.2</f>
        <v>9293.4</v>
      </c>
      <c r="J2610" s="13" t="str">
        <f>TEXT(' car_sales_data 1'!$A2610,"mmmm")</f>
        <v>December</v>
      </c>
      <c r="K2610" s="13" t="str">
        <f>IF(' car_sales_data 1'!$G2610&gt;40000,"Premium",
 IF(' car_sales_data 1'!$G2610&gt;=20000,"Mid Range","Budget"))</f>
        <v>Premium</v>
      </c>
      <c r="L2610" s="13">
        <f>YEAR(TODAY())-' car_sales_data 1'!$F2610</f>
        <v>3</v>
      </c>
    </row>
    <row r="2611" ht="15.75" customHeight="1">
      <c r="A2611" s="16">
        <v>44694.0</v>
      </c>
      <c r="B2611" s="13" t="s">
        <v>5085</v>
      </c>
      <c r="C2611" s="13" t="s">
        <v>5086</v>
      </c>
      <c r="D2611" s="13" t="s">
        <v>8</v>
      </c>
      <c r="E2611" s="13" t="s">
        <v>51</v>
      </c>
      <c r="F2611" s="13">
        <v>2010.0</v>
      </c>
      <c r="G2611" s="13">
        <v>16012.0</v>
      </c>
      <c r="H2611" s="13">
        <v>1523.15</v>
      </c>
      <c r="I2611" s="13">
        <f>' car_sales_data 1'!$G2611*0.2</f>
        <v>3202.4</v>
      </c>
      <c r="J2611" s="13" t="str">
        <f>TEXT(' car_sales_data 1'!$A2611,"mmmm")</f>
        <v>May</v>
      </c>
      <c r="K2611" s="13" t="str">
        <f>IF(' car_sales_data 1'!$G2611&gt;40000,"Premium",
 IF(' car_sales_data 1'!$G2611&gt;=20000,"Mid Range","Budget"))</f>
        <v>Budget</v>
      </c>
      <c r="L2611" s="13">
        <f>YEAR(TODAY())-' car_sales_data 1'!$F2611</f>
        <v>15</v>
      </c>
    </row>
    <row r="2612" ht="15.75" customHeight="1">
      <c r="A2612" s="16">
        <v>44715.0</v>
      </c>
      <c r="B2612" s="13" t="s">
        <v>5087</v>
      </c>
      <c r="C2612" s="13" t="s">
        <v>5088</v>
      </c>
      <c r="D2612" s="13" t="s">
        <v>12</v>
      </c>
      <c r="E2612" s="13" t="s">
        <v>57</v>
      </c>
      <c r="F2612" s="13">
        <v>2014.0</v>
      </c>
      <c r="G2612" s="13">
        <v>14737.0</v>
      </c>
      <c r="H2612" s="13">
        <v>1987.11</v>
      </c>
      <c r="I2612" s="13">
        <f>' car_sales_data 1'!$G2612*0.2</f>
        <v>2947.4</v>
      </c>
      <c r="J2612" s="13" t="str">
        <f>TEXT(' car_sales_data 1'!$A2612,"mmmm")</f>
        <v>June</v>
      </c>
      <c r="K2612" s="13" t="str">
        <f>IF(' car_sales_data 1'!$G2612&gt;40000,"Premium",
 IF(' car_sales_data 1'!$G2612&gt;=20000,"Mid Range","Budget"))</f>
        <v>Budget</v>
      </c>
      <c r="L2612" s="13">
        <f>YEAR(TODAY())-' car_sales_data 1'!$F2612</f>
        <v>11</v>
      </c>
    </row>
    <row r="2613" ht="15.75" customHeight="1">
      <c r="A2613" s="16">
        <v>44793.0</v>
      </c>
      <c r="B2613" s="13" t="s">
        <v>5089</v>
      </c>
      <c r="C2613" s="13" t="s">
        <v>5090</v>
      </c>
      <c r="D2613" s="13" t="s">
        <v>10</v>
      </c>
      <c r="E2613" s="13" t="s">
        <v>62</v>
      </c>
      <c r="F2613" s="13">
        <v>2021.0</v>
      </c>
      <c r="G2613" s="13">
        <v>41851.0</v>
      </c>
      <c r="H2613" s="13">
        <v>2840.87</v>
      </c>
      <c r="I2613" s="13">
        <f>' car_sales_data 1'!$G2613*0.2</f>
        <v>8370.2</v>
      </c>
      <c r="J2613" s="13" t="str">
        <f>TEXT(' car_sales_data 1'!$A2613,"mmmm")</f>
        <v>August</v>
      </c>
      <c r="K2613" s="13" t="str">
        <f>IF(' car_sales_data 1'!$G2613&gt;40000,"Premium",
 IF(' car_sales_data 1'!$G2613&gt;=20000,"Mid Range","Budget"))</f>
        <v>Premium</v>
      </c>
      <c r="L2613" s="13">
        <f>YEAR(TODAY())-' car_sales_data 1'!$F2613</f>
        <v>4</v>
      </c>
    </row>
    <row r="2614" ht="15.75" customHeight="1">
      <c r="A2614" s="16">
        <v>44761.0</v>
      </c>
      <c r="B2614" s="13" t="s">
        <v>5091</v>
      </c>
      <c r="C2614" s="13" t="s">
        <v>5092</v>
      </c>
      <c r="D2614" s="13" t="s">
        <v>12</v>
      </c>
      <c r="E2614" s="13" t="s">
        <v>57</v>
      </c>
      <c r="F2614" s="13">
        <v>2012.0</v>
      </c>
      <c r="G2614" s="13">
        <v>27002.0</v>
      </c>
      <c r="H2614" s="13">
        <v>2104.82</v>
      </c>
      <c r="I2614" s="13">
        <f>' car_sales_data 1'!$G2614*0.2</f>
        <v>5400.4</v>
      </c>
      <c r="J2614" s="13" t="str">
        <f>TEXT(' car_sales_data 1'!$A2614,"mmmm")</f>
        <v>July</v>
      </c>
      <c r="K2614" s="13" t="str">
        <f>IF(' car_sales_data 1'!$G2614&gt;40000,"Premium",
 IF(' car_sales_data 1'!$G2614&gt;=20000,"Mid Range","Budget"))</f>
        <v>Mid Range</v>
      </c>
      <c r="L2614" s="13">
        <f>YEAR(TODAY())-' car_sales_data 1'!$F2614</f>
        <v>13</v>
      </c>
    </row>
    <row r="2615" ht="15.75" customHeight="1">
      <c r="A2615" s="16">
        <v>44776.0</v>
      </c>
      <c r="B2615" s="13" t="s">
        <v>5093</v>
      </c>
      <c r="C2615" s="13" t="s">
        <v>5094</v>
      </c>
      <c r="D2615" s="13" t="s">
        <v>6</v>
      </c>
      <c r="E2615" s="13" t="s">
        <v>57</v>
      </c>
      <c r="F2615" s="13">
        <v>2017.0</v>
      </c>
      <c r="G2615" s="13">
        <v>37976.0</v>
      </c>
      <c r="H2615" s="13">
        <v>4414.77</v>
      </c>
      <c r="I2615" s="13">
        <f>' car_sales_data 1'!$G2615*0.2</f>
        <v>7595.2</v>
      </c>
      <c r="J2615" s="13" t="str">
        <f>TEXT(' car_sales_data 1'!$A2615,"mmmm")</f>
        <v>August</v>
      </c>
      <c r="K2615" s="13" t="str">
        <f>IF(' car_sales_data 1'!$G2615&gt;40000,"Premium",
 IF(' car_sales_data 1'!$G2615&gt;=20000,"Mid Range","Budget"))</f>
        <v>Mid Range</v>
      </c>
      <c r="L2615" s="13">
        <f>YEAR(TODAY())-' car_sales_data 1'!$F2615</f>
        <v>8</v>
      </c>
    </row>
    <row r="2616" ht="15.75" customHeight="1">
      <c r="A2616" s="16">
        <v>44749.0</v>
      </c>
      <c r="B2616" s="13" t="s">
        <v>5095</v>
      </c>
      <c r="C2616" s="13" t="s">
        <v>5096</v>
      </c>
      <c r="D2616" s="13" t="s">
        <v>8</v>
      </c>
      <c r="E2616" s="13" t="s">
        <v>54</v>
      </c>
      <c r="F2616" s="13">
        <v>2010.0</v>
      </c>
      <c r="G2616" s="13">
        <v>38113.0</v>
      </c>
      <c r="H2616" s="13">
        <v>4311.67</v>
      </c>
      <c r="I2616" s="13">
        <f>' car_sales_data 1'!$G2616*0.2</f>
        <v>7622.6</v>
      </c>
      <c r="J2616" s="13" t="str">
        <f>TEXT(' car_sales_data 1'!$A2616,"mmmm")</f>
        <v>July</v>
      </c>
      <c r="K2616" s="13" t="str">
        <f>IF(' car_sales_data 1'!$G2616&gt;40000,"Premium",
 IF(' car_sales_data 1'!$G2616&gt;=20000,"Mid Range","Budget"))</f>
        <v>Mid Range</v>
      </c>
      <c r="L2616" s="13">
        <f>YEAR(TODAY())-' car_sales_data 1'!$F2616</f>
        <v>15</v>
      </c>
    </row>
    <row r="2617" ht="15.75" customHeight="1">
      <c r="A2617" s="16">
        <v>44931.0</v>
      </c>
      <c r="B2617" s="13" t="s">
        <v>5097</v>
      </c>
      <c r="C2617" s="13" t="s">
        <v>852</v>
      </c>
      <c r="D2617" s="13" t="s">
        <v>8</v>
      </c>
      <c r="E2617" s="13" t="s">
        <v>62</v>
      </c>
      <c r="F2617" s="13">
        <v>2011.0</v>
      </c>
      <c r="G2617" s="13">
        <v>27840.0</v>
      </c>
      <c r="H2617" s="13">
        <v>2755.57</v>
      </c>
      <c r="I2617" s="13">
        <f>' car_sales_data 1'!$G2617*0.2</f>
        <v>5568</v>
      </c>
      <c r="J2617" s="13" t="str">
        <f>TEXT(' car_sales_data 1'!$A2617,"mmmm")</f>
        <v>January</v>
      </c>
      <c r="K2617" s="13" t="str">
        <f>IF(' car_sales_data 1'!$G2617&gt;40000,"Premium",
 IF(' car_sales_data 1'!$G2617&gt;=20000,"Mid Range","Budget"))</f>
        <v>Mid Range</v>
      </c>
      <c r="L2617" s="13">
        <f>YEAR(TODAY())-' car_sales_data 1'!$F2617</f>
        <v>14</v>
      </c>
    </row>
    <row r="2618" ht="15.75" customHeight="1">
      <c r="A2618" s="16">
        <v>45020.0</v>
      </c>
      <c r="B2618" s="13" t="s">
        <v>5098</v>
      </c>
      <c r="C2618" s="13" t="s">
        <v>5099</v>
      </c>
      <c r="D2618" s="13" t="s">
        <v>10</v>
      </c>
      <c r="E2618" s="13" t="s">
        <v>57</v>
      </c>
      <c r="F2618" s="13">
        <v>2021.0</v>
      </c>
      <c r="G2618" s="13">
        <v>20672.0</v>
      </c>
      <c r="H2618" s="13">
        <v>1864.6</v>
      </c>
      <c r="I2618" s="13">
        <f>' car_sales_data 1'!$G2618*0.2</f>
        <v>4134.4</v>
      </c>
      <c r="J2618" s="13" t="str">
        <f>TEXT(' car_sales_data 1'!$A2618,"mmmm")</f>
        <v>April</v>
      </c>
      <c r="K2618" s="13" t="str">
        <f>IF(' car_sales_data 1'!$G2618&gt;40000,"Premium",
 IF(' car_sales_data 1'!$G2618&gt;=20000,"Mid Range","Budget"))</f>
        <v>Mid Range</v>
      </c>
      <c r="L2618" s="13">
        <f>YEAR(TODAY())-' car_sales_data 1'!$F2618</f>
        <v>4</v>
      </c>
    </row>
    <row r="2619" ht="15.75" customHeight="1">
      <c r="A2619" s="16">
        <v>44944.0</v>
      </c>
      <c r="B2619" s="13" t="s">
        <v>5100</v>
      </c>
      <c r="C2619" s="13" t="s">
        <v>5101</v>
      </c>
      <c r="D2619" s="13" t="s">
        <v>6</v>
      </c>
      <c r="E2619" s="13" t="s">
        <v>51</v>
      </c>
      <c r="F2619" s="13">
        <v>2019.0</v>
      </c>
      <c r="G2619" s="13">
        <v>15171.0</v>
      </c>
      <c r="H2619" s="13">
        <v>1777.05</v>
      </c>
      <c r="I2619" s="13">
        <f>' car_sales_data 1'!$G2619*0.2</f>
        <v>3034.2</v>
      </c>
      <c r="J2619" s="13" t="str">
        <f>TEXT(' car_sales_data 1'!$A2619,"mmmm")</f>
        <v>January</v>
      </c>
      <c r="K2619" s="13" t="str">
        <f>IF(' car_sales_data 1'!$G2619&gt;40000,"Premium",
 IF(' car_sales_data 1'!$G2619&gt;=20000,"Mid Range","Budget"))</f>
        <v>Budget</v>
      </c>
      <c r="L2619" s="13">
        <f>YEAR(TODAY())-' car_sales_data 1'!$F2619</f>
        <v>6</v>
      </c>
    </row>
    <row r="2620" ht="15.75" customHeight="1">
      <c r="A2620" s="16">
        <v>44938.0</v>
      </c>
      <c r="B2620" s="13" t="s">
        <v>5102</v>
      </c>
      <c r="C2620" s="13" t="s">
        <v>5103</v>
      </c>
      <c r="D2620" s="13" t="s">
        <v>10</v>
      </c>
      <c r="E2620" s="13" t="s">
        <v>62</v>
      </c>
      <c r="F2620" s="13">
        <v>2015.0</v>
      </c>
      <c r="G2620" s="13">
        <v>44702.0</v>
      </c>
      <c r="H2620" s="13">
        <v>4951.89</v>
      </c>
      <c r="I2620" s="13">
        <f>' car_sales_data 1'!$G2620*0.2</f>
        <v>8940.4</v>
      </c>
      <c r="J2620" s="13" t="str">
        <f>TEXT(' car_sales_data 1'!$A2620,"mmmm")</f>
        <v>January</v>
      </c>
      <c r="K2620" s="13" t="str">
        <f>IF(' car_sales_data 1'!$G2620&gt;40000,"Premium",
 IF(' car_sales_data 1'!$G2620&gt;=20000,"Mid Range","Budget"))</f>
        <v>Premium</v>
      </c>
      <c r="L2620" s="13">
        <f>YEAR(TODAY())-' car_sales_data 1'!$F2620</f>
        <v>10</v>
      </c>
    </row>
    <row r="2621" ht="15.75" customHeight="1">
      <c r="A2621" s="16">
        <v>44877.0</v>
      </c>
      <c r="B2621" s="13" t="s">
        <v>5104</v>
      </c>
      <c r="C2621" s="13" t="s">
        <v>5105</v>
      </c>
      <c r="D2621" s="13" t="s">
        <v>6</v>
      </c>
      <c r="E2621" s="13" t="s">
        <v>62</v>
      </c>
      <c r="F2621" s="13">
        <v>2020.0</v>
      </c>
      <c r="G2621" s="13">
        <v>43007.0</v>
      </c>
      <c r="H2621" s="13">
        <v>3153.25</v>
      </c>
      <c r="I2621" s="13">
        <f>' car_sales_data 1'!$G2621*0.2</f>
        <v>8601.4</v>
      </c>
      <c r="J2621" s="13" t="str">
        <f>TEXT(' car_sales_data 1'!$A2621,"mmmm")</f>
        <v>November</v>
      </c>
      <c r="K2621" s="13" t="str">
        <f>IF(' car_sales_data 1'!$G2621&gt;40000,"Premium",
 IF(' car_sales_data 1'!$G2621&gt;=20000,"Mid Range","Budget"))</f>
        <v>Premium</v>
      </c>
      <c r="L2621" s="13">
        <f>YEAR(TODAY())-' car_sales_data 1'!$F2621</f>
        <v>5</v>
      </c>
    </row>
    <row r="2622" ht="15.75" customHeight="1">
      <c r="A2622" s="16">
        <v>44843.0</v>
      </c>
      <c r="B2622" s="13" t="s">
        <v>5106</v>
      </c>
      <c r="C2622" s="13" t="s">
        <v>5107</v>
      </c>
      <c r="D2622" s="13" t="s">
        <v>14</v>
      </c>
      <c r="E2622" s="13" t="s">
        <v>54</v>
      </c>
      <c r="F2622" s="13">
        <v>2021.0</v>
      </c>
      <c r="G2622" s="13">
        <v>30572.0</v>
      </c>
      <c r="H2622" s="13">
        <v>1949.0</v>
      </c>
      <c r="I2622" s="13">
        <f>' car_sales_data 1'!$G2622*0.2</f>
        <v>6114.4</v>
      </c>
      <c r="J2622" s="13" t="str">
        <f>TEXT(' car_sales_data 1'!$A2622,"mmmm")</f>
        <v>October</v>
      </c>
      <c r="K2622" s="13" t="str">
        <f>IF(' car_sales_data 1'!$G2622&gt;40000,"Premium",
 IF(' car_sales_data 1'!$G2622&gt;=20000,"Mid Range","Budget"))</f>
        <v>Mid Range</v>
      </c>
      <c r="L2622" s="13">
        <f>YEAR(TODAY())-' car_sales_data 1'!$F2622</f>
        <v>4</v>
      </c>
    </row>
    <row r="2623" ht="15.75" customHeight="1">
      <c r="A2623" s="16">
        <v>44877.0</v>
      </c>
      <c r="B2623" s="13" t="s">
        <v>5108</v>
      </c>
      <c r="C2623" s="13" t="s">
        <v>5109</v>
      </c>
      <c r="D2623" s="13" t="s">
        <v>10</v>
      </c>
      <c r="E2623" s="13" t="s">
        <v>51</v>
      </c>
      <c r="F2623" s="13">
        <v>2017.0</v>
      </c>
      <c r="G2623" s="13">
        <v>19186.0</v>
      </c>
      <c r="H2623" s="13">
        <v>2632.54</v>
      </c>
      <c r="I2623" s="13">
        <f>' car_sales_data 1'!$G2623*0.2</f>
        <v>3837.2</v>
      </c>
      <c r="J2623" s="13" t="str">
        <f>TEXT(' car_sales_data 1'!$A2623,"mmmm")</f>
        <v>November</v>
      </c>
      <c r="K2623" s="13" t="str">
        <f>IF(' car_sales_data 1'!$G2623&gt;40000,"Premium",
 IF(' car_sales_data 1'!$G2623&gt;=20000,"Mid Range","Budget"))</f>
        <v>Budget</v>
      </c>
      <c r="L2623" s="13">
        <f>YEAR(TODAY())-' car_sales_data 1'!$F2623</f>
        <v>8</v>
      </c>
    </row>
    <row r="2624" ht="15.75" customHeight="1">
      <c r="A2624" s="16">
        <v>44993.0</v>
      </c>
      <c r="B2624" s="13" t="s">
        <v>5110</v>
      </c>
      <c r="C2624" s="13" t="s">
        <v>5111</v>
      </c>
      <c r="D2624" s="13" t="s">
        <v>6</v>
      </c>
      <c r="E2624" s="13" t="s">
        <v>54</v>
      </c>
      <c r="F2624" s="13">
        <v>2012.0</v>
      </c>
      <c r="G2624" s="13">
        <v>39625.0</v>
      </c>
      <c r="H2624" s="13">
        <v>4384.29</v>
      </c>
      <c r="I2624" s="13">
        <f>' car_sales_data 1'!$G2624*0.2</f>
        <v>7925</v>
      </c>
      <c r="J2624" s="13" t="str">
        <f>TEXT(' car_sales_data 1'!$A2624,"mmmm")</f>
        <v>March</v>
      </c>
      <c r="K2624" s="13" t="str">
        <f>IF(' car_sales_data 1'!$G2624&gt;40000,"Premium",
 IF(' car_sales_data 1'!$G2624&gt;=20000,"Mid Range","Budget"))</f>
        <v>Mid Range</v>
      </c>
      <c r="L2624" s="13">
        <f>YEAR(TODAY())-' car_sales_data 1'!$F2624</f>
        <v>13</v>
      </c>
    </row>
    <row r="2625" ht="15.75" customHeight="1">
      <c r="A2625" s="16">
        <v>44888.0</v>
      </c>
      <c r="B2625" s="13" t="s">
        <v>5112</v>
      </c>
      <c r="C2625" s="13" t="s">
        <v>5113</v>
      </c>
      <c r="D2625" s="13" t="s">
        <v>12</v>
      </c>
      <c r="E2625" s="13" t="s">
        <v>54</v>
      </c>
      <c r="F2625" s="13">
        <v>2014.0</v>
      </c>
      <c r="G2625" s="13">
        <v>35590.0</v>
      </c>
      <c r="H2625" s="13">
        <v>2002.67</v>
      </c>
      <c r="I2625" s="13">
        <f>' car_sales_data 1'!$G2625*0.2</f>
        <v>7118</v>
      </c>
      <c r="J2625" s="13" t="str">
        <f>TEXT(' car_sales_data 1'!$A2625,"mmmm")</f>
        <v>November</v>
      </c>
      <c r="K2625" s="13" t="str">
        <f>IF(' car_sales_data 1'!$G2625&gt;40000,"Premium",
 IF(' car_sales_data 1'!$G2625&gt;=20000,"Mid Range","Budget"))</f>
        <v>Mid Range</v>
      </c>
      <c r="L2625" s="13">
        <f>YEAR(TODAY())-' car_sales_data 1'!$F2625</f>
        <v>11</v>
      </c>
    </row>
    <row r="2626" ht="15.75" customHeight="1">
      <c r="A2626" s="16">
        <v>44891.0</v>
      </c>
      <c r="B2626" s="13" t="s">
        <v>5114</v>
      </c>
      <c r="C2626" s="13" t="s">
        <v>5115</v>
      </c>
      <c r="D2626" s="13" t="s">
        <v>8</v>
      </c>
      <c r="E2626" s="13" t="s">
        <v>62</v>
      </c>
      <c r="F2626" s="13">
        <v>2014.0</v>
      </c>
      <c r="G2626" s="13">
        <v>38351.0</v>
      </c>
      <c r="H2626" s="13">
        <v>3658.01</v>
      </c>
      <c r="I2626" s="13">
        <f>' car_sales_data 1'!$G2626*0.2</f>
        <v>7670.2</v>
      </c>
      <c r="J2626" s="13" t="str">
        <f>TEXT(' car_sales_data 1'!$A2626,"mmmm")</f>
        <v>November</v>
      </c>
      <c r="K2626" s="13" t="str">
        <f>IF(' car_sales_data 1'!$G2626&gt;40000,"Premium",
 IF(' car_sales_data 1'!$G2626&gt;=20000,"Mid Range","Budget"))</f>
        <v>Mid Range</v>
      </c>
      <c r="L2626" s="13">
        <f>YEAR(TODAY())-' car_sales_data 1'!$F2626</f>
        <v>11</v>
      </c>
    </row>
    <row r="2627" ht="15.75" customHeight="1">
      <c r="A2627" s="16">
        <v>45022.0</v>
      </c>
      <c r="B2627" s="13" t="s">
        <v>5116</v>
      </c>
      <c r="C2627" s="13" t="s">
        <v>5117</v>
      </c>
      <c r="D2627" s="13" t="s">
        <v>10</v>
      </c>
      <c r="E2627" s="13" t="s">
        <v>51</v>
      </c>
      <c r="F2627" s="13">
        <v>2017.0</v>
      </c>
      <c r="G2627" s="13">
        <v>11243.0</v>
      </c>
      <c r="H2627" s="13">
        <v>1317.83</v>
      </c>
      <c r="I2627" s="13">
        <f>' car_sales_data 1'!$G2627*0.2</f>
        <v>2248.6</v>
      </c>
      <c r="J2627" s="13" t="str">
        <f>TEXT(' car_sales_data 1'!$A2627,"mmmm")</f>
        <v>April</v>
      </c>
      <c r="K2627" s="13" t="str">
        <f>IF(' car_sales_data 1'!$G2627&gt;40000,"Premium",
 IF(' car_sales_data 1'!$G2627&gt;=20000,"Mid Range","Budget"))</f>
        <v>Budget</v>
      </c>
      <c r="L2627" s="13">
        <f>YEAR(TODAY())-' car_sales_data 1'!$F2627</f>
        <v>8</v>
      </c>
    </row>
    <row r="2628" ht="15.75" customHeight="1">
      <c r="A2628" s="16">
        <v>44860.0</v>
      </c>
      <c r="B2628" s="13" t="s">
        <v>5118</v>
      </c>
      <c r="C2628" s="13" t="s">
        <v>5119</v>
      </c>
      <c r="D2628" s="13" t="s">
        <v>12</v>
      </c>
      <c r="E2628" s="13" t="s">
        <v>51</v>
      </c>
      <c r="F2628" s="13">
        <v>2011.0</v>
      </c>
      <c r="G2628" s="13">
        <v>36988.0</v>
      </c>
      <c r="H2628" s="13">
        <v>4084.81</v>
      </c>
      <c r="I2628" s="13">
        <f>' car_sales_data 1'!$G2628*0.2</f>
        <v>7397.6</v>
      </c>
      <c r="J2628" s="13" t="str">
        <f>TEXT(' car_sales_data 1'!$A2628,"mmmm")</f>
        <v>October</v>
      </c>
      <c r="K2628" s="13" t="str">
        <f>IF(' car_sales_data 1'!$G2628&gt;40000,"Premium",
 IF(' car_sales_data 1'!$G2628&gt;=20000,"Mid Range","Budget"))</f>
        <v>Mid Range</v>
      </c>
      <c r="L2628" s="13">
        <f>YEAR(TODAY())-' car_sales_data 1'!$F2628</f>
        <v>14</v>
      </c>
    </row>
    <row r="2629" ht="15.75" customHeight="1">
      <c r="A2629" s="16">
        <v>44787.0</v>
      </c>
      <c r="B2629" s="13" t="s">
        <v>5120</v>
      </c>
      <c r="C2629" s="13" t="s">
        <v>5121</v>
      </c>
      <c r="D2629" s="13" t="s">
        <v>10</v>
      </c>
      <c r="E2629" s="13" t="s">
        <v>62</v>
      </c>
      <c r="F2629" s="13">
        <v>2019.0</v>
      </c>
      <c r="G2629" s="13">
        <v>15208.0</v>
      </c>
      <c r="H2629" s="13">
        <v>2012.51</v>
      </c>
      <c r="I2629" s="13">
        <f>' car_sales_data 1'!$G2629*0.2</f>
        <v>3041.6</v>
      </c>
      <c r="J2629" s="13" t="str">
        <f>TEXT(' car_sales_data 1'!$A2629,"mmmm")</f>
        <v>August</v>
      </c>
      <c r="K2629" s="13" t="str">
        <f>IF(' car_sales_data 1'!$G2629&gt;40000,"Premium",
 IF(' car_sales_data 1'!$G2629&gt;=20000,"Mid Range","Budget"))</f>
        <v>Budget</v>
      </c>
      <c r="L2629" s="13">
        <f>YEAR(TODAY())-' car_sales_data 1'!$F2629</f>
        <v>6</v>
      </c>
    </row>
    <row r="2630" ht="15.75" customHeight="1">
      <c r="A2630" s="16">
        <v>44771.0</v>
      </c>
      <c r="B2630" s="13" t="s">
        <v>5122</v>
      </c>
      <c r="C2630" s="13" t="s">
        <v>5123</v>
      </c>
      <c r="D2630" s="13" t="s">
        <v>6</v>
      </c>
      <c r="E2630" s="13" t="s">
        <v>51</v>
      </c>
      <c r="F2630" s="13">
        <v>2010.0</v>
      </c>
      <c r="G2630" s="13">
        <v>33507.0</v>
      </c>
      <c r="H2630" s="13">
        <v>2523.9</v>
      </c>
      <c r="I2630" s="13">
        <f>' car_sales_data 1'!$G2630*0.2</f>
        <v>6701.4</v>
      </c>
      <c r="J2630" s="13" t="str">
        <f>TEXT(' car_sales_data 1'!$A2630,"mmmm")</f>
        <v>July</v>
      </c>
      <c r="K2630" s="13" t="str">
        <f>IF(' car_sales_data 1'!$G2630&gt;40000,"Premium",
 IF(' car_sales_data 1'!$G2630&gt;=20000,"Mid Range","Budget"))</f>
        <v>Mid Range</v>
      </c>
      <c r="L2630" s="13">
        <f>YEAR(TODAY())-' car_sales_data 1'!$F2630</f>
        <v>15</v>
      </c>
    </row>
    <row r="2631" ht="15.75" customHeight="1">
      <c r="A2631" s="16">
        <v>44895.0</v>
      </c>
      <c r="B2631" s="13" t="s">
        <v>5124</v>
      </c>
      <c r="C2631" s="13" t="s">
        <v>5125</v>
      </c>
      <c r="D2631" s="13" t="s">
        <v>6</v>
      </c>
      <c r="E2631" s="13" t="s">
        <v>51</v>
      </c>
      <c r="F2631" s="13">
        <v>2012.0</v>
      </c>
      <c r="G2631" s="13">
        <v>29083.0</v>
      </c>
      <c r="H2631" s="13">
        <v>1905.96</v>
      </c>
      <c r="I2631" s="13">
        <f>' car_sales_data 1'!$G2631*0.2</f>
        <v>5816.6</v>
      </c>
      <c r="J2631" s="13" t="str">
        <f>TEXT(' car_sales_data 1'!$A2631,"mmmm")</f>
        <v>November</v>
      </c>
      <c r="K2631" s="13" t="str">
        <f>IF(' car_sales_data 1'!$G2631&gt;40000,"Premium",
 IF(' car_sales_data 1'!$G2631&gt;=20000,"Mid Range","Budget"))</f>
        <v>Mid Range</v>
      </c>
      <c r="L2631" s="13">
        <f>YEAR(TODAY())-' car_sales_data 1'!$F2631</f>
        <v>13</v>
      </c>
    </row>
    <row r="2632" ht="15.75" customHeight="1">
      <c r="A2632" s="16">
        <v>44951.0</v>
      </c>
      <c r="B2632" s="13" t="s">
        <v>5126</v>
      </c>
      <c r="C2632" s="13" t="s">
        <v>5127</v>
      </c>
      <c r="D2632" s="13" t="s">
        <v>8</v>
      </c>
      <c r="E2632" s="13" t="s">
        <v>62</v>
      </c>
      <c r="F2632" s="13">
        <v>2018.0</v>
      </c>
      <c r="G2632" s="13">
        <v>46276.0</v>
      </c>
      <c r="H2632" s="13">
        <v>5363.18</v>
      </c>
      <c r="I2632" s="13">
        <f>' car_sales_data 1'!$G2632*0.2</f>
        <v>9255.2</v>
      </c>
      <c r="J2632" s="13" t="str">
        <f>TEXT(' car_sales_data 1'!$A2632,"mmmm")</f>
        <v>January</v>
      </c>
      <c r="K2632" s="13" t="str">
        <f>IF(' car_sales_data 1'!$G2632&gt;40000,"Premium",
 IF(' car_sales_data 1'!$G2632&gt;=20000,"Mid Range","Budget"))</f>
        <v>Premium</v>
      </c>
      <c r="L2632" s="13">
        <f>YEAR(TODAY())-' car_sales_data 1'!$F2632</f>
        <v>7</v>
      </c>
    </row>
    <row r="2633" ht="15.75" customHeight="1">
      <c r="A2633" s="16">
        <v>44761.0</v>
      </c>
      <c r="B2633" s="13" t="s">
        <v>5128</v>
      </c>
      <c r="C2633" s="13" t="s">
        <v>5129</v>
      </c>
      <c r="D2633" s="13" t="s">
        <v>6</v>
      </c>
      <c r="E2633" s="13" t="s">
        <v>70</v>
      </c>
      <c r="F2633" s="13">
        <v>2015.0</v>
      </c>
      <c r="G2633" s="13">
        <v>33810.0</v>
      </c>
      <c r="H2633" s="13">
        <v>1843.63</v>
      </c>
      <c r="I2633" s="13">
        <f>' car_sales_data 1'!$G2633*0.2</f>
        <v>6762</v>
      </c>
      <c r="J2633" s="13" t="str">
        <f>TEXT(' car_sales_data 1'!$A2633,"mmmm")</f>
        <v>July</v>
      </c>
      <c r="K2633" s="13" t="str">
        <f>IF(' car_sales_data 1'!$G2633&gt;40000,"Premium",
 IF(' car_sales_data 1'!$G2633&gt;=20000,"Mid Range","Budget"))</f>
        <v>Mid Range</v>
      </c>
      <c r="L2633" s="13">
        <f>YEAR(TODAY())-' car_sales_data 1'!$F2633</f>
        <v>10</v>
      </c>
    </row>
    <row r="2634" ht="15.75" customHeight="1">
      <c r="A2634" s="16">
        <v>44830.0</v>
      </c>
      <c r="B2634" s="13" t="s">
        <v>5130</v>
      </c>
      <c r="C2634" s="13" t="s">
        <v>5131</v>
      </c>
      <c r="D2634" s="13" t="s">
        <v>8</v>
      </c>
      <c r="E2634" s="13" t="s">
        <v>62</v>
      </c>
      <c r="F2634" s="13">
        <v>2013.0</v>
      </c>
      <c r="G2634" s="13">
        <v>35598.0</v>
      </c>
      <c r="H2634" s="13">
        <v>3419.35</v>
      </c>
      <c r="I2634" s="13">
        <f>' car_sales_data 1'!$G2634*0.2</f>
        <v>7119.6</v>
      </c>
      <c r="J2634" s="13" t="str">
        <f>TEXT(' car_sales_data 1'!$A2634,"mmmm")</f>
        <v>September</v>
      </c>
      <c r="K2634" s="13" t="str">
        <f>IF(' car_sales_data 1'!$G2634&gt;40000,"Premium",
 IF(' car_sales_data 1'!$G2634&gt;=20000,"Mid Range","Budget"))</f>
        <v>Mid Range</v>
      </c>
      <c r="L2634" s="13">
        <f>YEAR(TODAY())-' car_sales_data 1'!$F2634</f>
        <v>12</v>
      </c>
    </row>
    <row r="2635" ht="15.75" customHeight="1">
      <c r="A2635" s="16">
        <v>44816.0</v>
      </c>
      <c r="B2635" s="13" t="s">
        <v>5132</v>
      </c>
      <c r="C2635" s="13" t="s">
        <v>5133</v>
      </c>
      <c r="D2635" s="13" t="s">
        <v>14</v>
      </c>
      <c r="E2635" s="13" t="s">
        <v>62</v>
      </c>
      <c r="F2635" s="13">
        <v>2014.0</v>
      </c>
      <c r="G2635" s="13">
        <v>27562.0</v>
      </c>
      <c r="H2635" s="13">
        <v>3482.1</v>
      </c>
      <c r="I2635" s="13">
        <f>' car_sales_data 1'!$G2635*0.2</f>
        <v>5512.4</v>
      </c>
      <c r="J2635" s="13" t="str">
        <f>TEXT(' car_sales_data 1'!$A2635,"mmmm")</f>
        <v>September</v>
      </c>
      <c r="K2635" s="13" t="str">
        <f>IF(' car_sales_data 1'!$G2635&gt;40000,"Premium",
 IF(' car_sales_data 1'!$G2635&gt;=20000,"Mid Range","Budget"))</f>
        <v>Mid Range</v>
      </c>
      <c r="L2635" s="13">
        <f>YEAR(TODAY())-' car_sales_data 1'!$F2635</f>
        <v>11</v>
      </c>
    </row>
    <row r="2636" ht="15.75" customHeight="1">
      <c r="A2636" s="16">
        <v>44891.0</v>
      </c>
      <c r="B2636" s="13" t="s">
        <v>5134</v>
      </c>
      <c r="C2636" s="13" t="s">
        <v>5135</v>
      </c>
      <c r="D2636" s="13" t="s">
        <v>14</v>
      </c>
      <c r="E2636" s="13" t="s">
        <v>51</v>
      </c>
      <c r="F2636" s="13">
        <v>2021.0</v>
      </c>
      <c r="G2636" s="13">
        <v>45680.0</v>
      </c>
      <c r="H2636" s="13">
        <v>5240.21</v>
      </c>
      <c r="I2636" s="13">
        <f>' car_sales_data 1'!$G2636*0.2</f>
        <v>9136</v>
      </c>
      <c r="J2636" s="13" t="str">
        <f>TEXT(' car_sales_data 1'!$A2636,"mmmm")</f>
        <v>November</v>
      </c>
      <c r="K2636" s="13" t="str">
        <f>IF(' car_sales_data 1'!$G2636&gt;40000,"Premium",
 IF(' car_sales_data 1'!$G2636&gt;=20000,"Mid Range","Budget"))</f>
        <v>Premium</v>
      </c>
      <c r="L2636" s="13">
        <f>YEAR(TODAY())-' car_sales_data 1'!$F2636</f>
        <v>4</v>
      </c>
    </row>
    <row r="2637" ht="15.75" customHeight="1">
      <c r="A2637" s="16">
        <v>44914.0</v>
      </c>
      <c r="B2637" s="13" t="s">
        <v>5136</v>
      </c>
      <c r="C2637" s="13" t="s">
        <v>5137</v>
      </c>
      <c r="D2637" s="13" t="s">
        <v>6</v>
      </c>
      <c r="E2637" s="13" t="s">
        <v>54</v>
      </c>
      <c r="F2637" s="13">
        <v>2015.0</v>
      </c>
      <c r="G2637" s="13">
        <v>25975.0</v>
      </c>
      <c r="H2637" s="13">
        <v>2312.56</v>
      </c>
      <c r="I2637" s="13">
        <f>' car_sales_data 1'!$G2637*0.2</f>
        <v>5195</v>
      </c>
      <c r="J2637" s="13" t="str">
        <f>TEXT(' car_sales_data 1'!$A2637,"mmmm")</f>
        <v>December</v>
      </c>
      <c r="K2637" s="13" t="str">
        <f>IF(' car_sales_data 1'!$G2637&gt;40000,"Premium",
 IF(' car_sales_data 1'!$G2637&gt;=20000,"Mid Range","Budget"))</f>
        <v>Mid Range</v>
      </c>
      <c r="L2637" s="13">
        <f>YEAR(TODAY())-' car_sales_data 1'!$F2637</f>
        <v>10</v>
      </c>
    </row>
    <row r="2638" ht="15.75" customHeight="1">
      <c r="A2638" s="16">
        <v>44761.0</v>
      </c>
      <c r="B2638" s="13" t="s">
        <v>5138</v>
      </c>
      <c r="C2638" s="13" t="s">
        <v>5139</v>
      </c>
      <c r="D2638" s="13" t="s">
        <v>12</v>
      </c>
      <c r="E2638" s="13" t="s">
        <v>62</v>
      </c>
      <c r="F2638" s="13">
        <v>2021.0</v>
      </c>
      <c r="G2638" s="13">
        <v>26722.0</v>
      </c>
      <c r="H2638" s="13">
        <v>3177.5</v>
      </c>
      <c r="I2638" s="13">
        <f>' car_sales_data 1'!$G2638*0.2</f>
        <v>5344.4</v>
      </c>
      <c r="J2638" s="13" t="str">
        <f>TEXT(' car_sales_data 1'!$A2638,"mmmm")</f>
        <v>July</v>
      </c>
      <c r="K2638" s="13" t="str">
        <f>IF(' car_sales_data 1'!$G2638&gt;40000,"Premium",
 IF(' car_sales_data 1'!$G2638&gt;=20000,"Mid Range","Budget"))</f>
        <v>Mid Range</v>
      </c>
      <c r="L2638" s="13">
        <f>YEAR(TODAY())-' car_sales_data 1'!$F2638</f>
        <v>4</v>
      </c>
    </row>
    <row r="2639" ht="15.75" customHeight="1">
      <c r="A2639" s="16">
        <v>45030.0</v>
      </c>
      <c r="B2639" s="13" t="s">
        <v>1944</v>
      </c>
      <c r="C2639" s="13" t="s">
        <v>5140</v>
      </c>
      <c r="D2639" s="13" t="s">
        <v>12</v>
      </c>
      <c r="E2639" s="13" t="s">
        <v>57</v>
      </c>
      <c r="F2639" s="13">
        <v>2010.0</v>
      </c>
      <c r="G2639" s="13">
        <v>37210.0</v>
      </c>
      <c r="H2639" s="13">
        <v>2559.14</v>
      </c>
      <c r="I2639" s="13">
        <f>' car_sales_data 1'!$G2639*0.2</f>
        <v>7442</v>
      </c>
      <c r="J2639" s="13" t="str">
        <f>TEXT(' car_sales_data 1'!$A2639,"mmmm")</f>
        <v>April</v>
      </c>
      <c r="K2639" s="13" t="str">
        <f>IF(' car_sales_data 1'!$G2639&gt;40000,"Premium",
 IF(' car_sales_data 1'!$G2639&gt;=20000,"Mid Range","Budget"))</f>
        <v>Mid Range</v>
      </c>
      <c r="L2639" s="13">
        <f>YEAR(TODAY())-' car_sales_data 1'!$F2639</f>
        <v>15</v>
      </c>
    </row>
    <row r="2640" ht="15.75" customHeight="1">
      <c r="A2640" s="16">
        <v>44689.0</v>
      </c>
      <c r="B2640" s="13" t="s">
        <v>5141</v>
      </c>
      <c r="C2640" s="13" t="s">
        <v>5142</v>
      </c>
      <c r="D2640" s="13" t="s">
        <v>8</v>
      </c>
      <c r="E2640" s="13" t="s">
        <v>62</v>
      </c>
      <c r="F2640" s="13">
        <v>2015.0</v>
      </c>
      <c r="G2640" s="13">
        <v>47748.0</v>
      </c>
      <c r="H2640" s="13">
        <v>3415.33</v>
      </c>
      <c r="I2640" s="13">
        <f>' car_sales_data 1'!$G2640*0.2</f>
        <v>9549.6</v>
      </c>
      <c r="J2640" s="13" t="str">
        <f>TEXT(' car_sales_data 1'!$A2640,"mmmm")</f>
        <v>May</v>
      </c>
      <c r="K2640" s="13" t="str">
        <f>IF(' car_sales_data 1'!$G2640&gt;40000,"Premium",
 IF(' car_sales_data 1'!$G2640&gt;=20000,"Mid Range","Budget"))</f>
        <v>Premium</v>
      </c>
      <c r="L2640" s="13">
        <f>YEAR(TODAY())-' car_sales_data 1'!$F2640</f>
        <v>10</v>
      </c>
    </row>
    <row r="2641" ht="15.75" customHeight="1">
      <c r="A2641" s="16">
        <v>44931.0</v>
      </c>
      <c r="B2641" s="13" t="s">
        <v>5143</v>
      </c>
      <c r="C2641" s="13" t="s">
        <v>5144</v>
      </c>
      <c r="D2641" s="13" t="s">
        <v>10</v>
      </c>
      <c r="E2641" s="13" t="s">
        <v>62</v>
      </c>
      <c r="F2641" s="13">
        <v>2011.0</v>
      </c>
      <c r="G2641" s="13">
        <v>12333.0</v>
      </c>
      <c r="H2641" s="13">
        <v>1227.39</v>
      </c>
      <c r="I2641" s="13">
        <f>' car_sales_data 1'!$G2641*0.2</f>
        <v>2466.6</v>
      </c>
      <c r="J2641" s="13" t="str">
        <f>TEXT(' car_sales_data 1'!$A2641,"mmmm")</f>
        <v>January</v>
      </c>
      <c r="K2641" s="13" t="str">
        <f>IF(' car_sales_data 1'!$G2641&gt;40000,"Premium",
 IF(' car_sales_data 1'!$G2641&gt;=20000,"Mid Range","Budget"))</f>
        <v>Budget</v>
      </c>
      <c r="L2641" s="13">
        <f>YEAR(TODAY())-' car_sales_data 1'!$F2641</f>
        <v>14</v>
      </c>
    </row>
    <row r="2642" ht="15.75" customHeight="1">
      <c r="A2642" s="16">
        <v>44854.0</v>
      </c>
      <c r="B2642" s="13" t="s">
        <v>5145</v>
      </c>
      <c r="C2642" s="13" t="s">
        <v>421</v>
      </c>
      <c r="D2642" s="13" t="s">
        <v>6</v>
      </c>
      <c r="E2642" s="13" t="s">
        <v>57</v>
      </c>
      <c r="F2642" s="13">
        <v>2011.0</v>
      </c>
      <c r="G2642" s="13">
        <v>38902.0</v>
      </c>
      <c r="H2642" s="13">
        <v>2131.06</v>
      </c>
      <c r="I2642" s="13">
        <f>' car_sales_data 1'!$G2642*0.2</f>
        <v>7780.4</v>
      </c>
      <c r="J2642" s="13" t="str">
        <f>TEXT(' car_sales_data 1'!$A2642,"mmmm")</f>
        <v>October</v>
      </c>
      <c r="K2642" s="13" t="str">
        <f>IF(' car_sales_data 1'!$G2642&gt;40000,"Premium",
 IF(' car_sales_data 1'!$G2642&gt;=20000,"Mid Range","Budget"))</f>
        <v>Mid Range</v>
      </c>
      <c r="L2642" s="13">
        <f>YEAR(TODAY())-' car_sales_data 1'!$F2642</f>
        <v>14</v>
      </c>
    </row>
    <row r="2643" ht="15.75" customHeight="1">
      <c r="A2643" s="16">
        <v>44919.0</v>
      </c>
      <c r="B2643" s="13" t="s">
        <v>5146</v>
      </c>
      <c r="C2643" s="13" t="s">
        <v>5147</v>
      </c>
      <c r="D2643" s="13" t="s">
        <v>8</v>
      </c>
      <c r="E2643" s="13" t="s">
        <v>51</v>
      </c>
      <c r="F2643" s="13">
        <v>2012.0</v>
      </c>
      <c r="G2643" s="13">
        <v>21381.0</v>
      </c>
      <c r="H2643" s="13">
        <v>1529.73</v>
      </c>
      <c r="I2643" s="13">
        <f>' car_sales_data 1'!$G2643*0.2</f>
        <v>4276.2</v>
      </c>
      <c r="J2643" s="13" t="str">
        <f>TEXT(' car_sales_data 1'!$A2643,"mmmm")</f>
        <v>December</v>
      </c>
      <c r="K2643" s="13" t="str">
        <f>IF(' car_sales_data 1'!$G2643&gt;40000,"Premium",
 IF(' car_sales_data 1'!$G2643&gt;=20000,"Mid Range","Budget"))</f>
        <v>Mid Range</v>
      </c>
      <c r="L2643" s="13">
        <f>YEAR(TODAY())-' car_sales_data 1'!$F2643</f>
        <v>13</v>
      </c>
    </row>
    <row r="2644" ht="15.75" customHeight="1">
      <c r="A2644" s="16">
        <v>44977.0</v>
      </c>
      <c r="B2644" s="13" t="s">
        <v>5148</v>
      </c>
      <c r="C2644" s="13" t="s">
        <v>5149</v>
      </c>
      <c r="D2644" s="13" t="s">
        <v>10</v>
      </c>
      <c r="E2644" s="13" t="s">
        <v>51</v>
      </c>
      <c r="F2644" s="13">
        <v>2020.0</v>
      </c>
      <c r="G2644" s="13">
        <v>22132.0</v>
      </c>
      <c r="H2644" s="13">
        <v>2875.81</v>
      </c>
      <c r="I2644" s="13">
        <f>' car_sales_data 1'!$G2644*0.2</f>
        <v>4426.4</v>
      </c>
      <c r="J2644" s="13" t="str">
        <f>TEXT(' car_sales_data 1'!$A2644,"mmmm")</f>
        <v>February</v>
      </c>
      <c r="K2644" s="13" t="str">
        <f>IF(' car_sales_data 1'!$G2644&gt;40000,"Premium",
 IF(' car_sales_data 1'!$G2644&gt;=20000,"Mid Range","Budget"))</f>
        <v>Mid Range</v>
      </c>
      <c r="L2644" s="13">
        <f>YEAR(TODAY())-' car_sales_data 1'!$F2644</f>
        <v>5</v>
      </c>
    </row>
    <row r="2645" ht="15.75" customHeight="1">
      <c r="A2645" s="16">
        <v>44961.0</v>
      </c>
      <c r="B2645" s="13" t="s">
        <v>5150</v>
      </c>
      <c r="C2645" s="13" t="s">
        <v>2729</v>
      </c>
      <c r="D2645" s="13" t="s">
        <v>10</v>
      </c>
      <c r="E2645" s="13" t="s">
        <v>70</v>
      </c>
      <c r="F2645" s="13">
        <v>2018.0</v>
      </c>
      <c r="G2645" s="13">
        <v>45066.0</v>
      </c>
      <c r="H2645" s="13">
        <v>5643.75</v>
      </c>
      <c r="I2645" s="13">
        <f>' car_sales_data 1'!$G2645*0.2</f>
        <v>9013.2</v>
      </c>
      <c r="J2645" s="13" t="str">
        <f>TEXT(' car_sales_data 1'!$A2645,"mmmm")</f>
        <v>February</v>
      </c>
      <c r="K2645" s="13" t="str">
        <f>IF(' car_sales_data 1'!$G2645&gt;40000,"Premium",
 IF(' car_sales_data 1'!$G2645&gt;=20000,"Mid Range","Budget"))</f>
        <v>Premium</v>
      </c>
      <c r="L2645" s="13">
        <f>YEAR(TODAY())-' car_sales_data 1'!$F2645</f>
        <v>7</v>
      </c>
    </row>
    <row r="2646" ht="15.75" customHeight="1">
      <c r="A2646" s="16">
        <v>44763.0</v>
      </c>
      <c r="B2646" s="13" t="s">
        <v>5151</v>
      </c>
      <c r="C2646" s="13" t="s">
        <v>5152</v>
      </c>
      <c r="D2646" s="13" t="s">
        <v>14</v>
      </c>
      <c r="E2646" s="13" t="s">
        <v>62</v>
      </c>
      <c r="F2646" s="13">
        <v>2012.0</v>
      </c>
      <c r="G2646" s="13">
        <v>43293.0</v>
      </c>
      <c r="H2646" s="13">
        <v>4851.49</v>
      </c>
      <c r="I2646" s="13">
        <f>' car_sales_data 1'!$G2646*0.2</f>
        <v>8658.6</v>
      </c>
      <c r="J2646" s="13" t="str">
        <f>TEXT(' car_sales_data 1'!$A2646,"mmmm")</f>
        <v>July</v>
      </c>
      <c r="K2646" s="13" t="str">
        <f>IF(' car_sales_data 1'!$G2646&gt;40000,"Premium",
 IF(' car_sales_data 1'!$G2646&gt;=20000,"Mid Range","Budget"))</f>
        <v>Premium</v>
      </c>
      <c r="L2646" s="13">
        <f>YEAR(TODAY())-' car_sales_data 1'!$F2646</f>
        <v>13</v>
      </c>
    </row>
    <row r="2647" ht="15.75" customHeight="1">
      <c r="A2647" s="16">
        <v>44883.0</v>
      </c>
      <c r="B2647" s="13" t="s">
        <v>5153</v>
      </c>
      <c r="C2647" s="13" t="s">
        <v>5154</v>
      </c>
      <c r="D2647" s="13" t="s">
        <v>6</v>
      </c>
      <c r="E2647" s="13" t="s">
        <v>54</v>
      </c>
      <c r="F2647" s="13">
        <v>2018.0</v>
      </c>
      <c r="G2647" s="13">
        <v>18848.0</v>
      </c>
      <c r="H2647" s="13">
        <v>1097.04</v>
      </c>
      <c r="I2647" s="13">
        <f>' car_sales_data 1'!$G2647*0.2</f>
        <v>3769.6</v>
      </c>
      <c r="J2647" s="13" t="str">
        <f>TEXT(' car_sales_data 1'!$A2647,"mmmm")</f>
        <v>November</v>
      </c>
      <c r="K2647" s="13" t="str">
        <f>IF(' car_sales_data 1'!$G2647&gt;40000,"Premium",
 IF(' car_sales_data 1'!$G2647&gt;=20000,"Mid Range","Budget"))</f>
        <v>Budget</v>
      </c>
      <c r="L2647" s="13">
        <f>YEAR(TODAY())-' car_sales_data 1'!$F2647</f>
        <v>7</v>
      </c>
    </row>
    <row r="2648" ht="15.75" customHeight="1">
      <c r="A2648" s="16">
        <v>45037.0</v>
      </c>
      <c r="B2648" s="13" t="s">
        <v>5155</v>
      </c>
      <c r="C2648" s="13" t="s">
        <v>4074</v>
      </c>
      <c r="D2648" s="13" t="s">
        <v>6</v>
      </c>
      <c r="E2648" s="13" t="s">
        <v>70</v>
      </c>
      <c r="F2648" s="13">
        <v>2012.0</v>
      </c>
      <c r="G2648" s="13">
        <v>10070.0</v>
      </c>
      <c r="H2648" s="13">
        <v>1099.41</v>
      </c>
      <c r="I2648" s="13">
        <f>' car_sales_data 1'!$G2648*0.2</f>
        <v>2014</v>
      </c>
      <c r="J2648" s="13" t="str">
        <f>TEXT(' car_sales_data 1'!$A2648,"mmmm")</f>
        <v>April</v>
      </c>
      <c r="K2648" s="13" t="str">
        <f>IF(' car_sales_data 1'!$G2648&gt;40000,"Premium",
 IF(' car_sales_data 1'!$G2648&gt;=20000,"Mid Range","Budget"))</f>
        <v>Budget</v>
      </c>
      <c r="L2648" s="13">
        <f>YEAR(TODAY())-' car_sales_data 1'!$F2648</f>
        <v>13</v>
      </c>
    </row>
    <row r="2649" ht="15.75" customHeight="1">
      <c r="A2649" s="16">
        <v>44734.0</v>
      </c>
      <c r="B2649" s="13" t="s">
        <v>5156</v>
      </c>
      <c r="C2649" s="13" t="s">
        <v>5157</v>
      </c>
      <c r="D2649" s="13" t="s">
        <v>12</v>
      </c>
      <c r="E2649" s="13" t="s">
        <v>54</v>
      </c>
      <c r="F2649" s="13">
        <v>2011.0</v>
      </c>
      <c r="G2649" s="13">
        <v>31151.0</v>
      </c>
      <c r="H2649" s="13">
        <v>4065.09</v>
      </c>
      <c r="I2649" s="13">
        <f>' car_sales_data 1'!$G2649*0.2</f>
        <v>6230.2</v>
      </c>
      <c r="J2649" s="13" t="str">
        <f>TEXT(' car_sales_data 1'!$A2649,"mmmm")</f>
        <v>June</v>
      </c>
      <c r="K2649" s="13" t="str">
        <f>IF(' car_sales_data 1'!$G2649&gt;40000,"Premium",
 IF(' car_sales_data 1'!$G2649&gt;=20000,"Mid Range","Budget"))</f>
        <v>Mid Range</v>
      </c>
      <c r="L2649" s="13">
        <f>YEAR(TODAY())-' car_sales_data 1'!$F2649</f>
        <v>14</v>
      </c>
    </row>
    <row r="2650" ht="15.75" customHeight="1">
      <c r="A2650" s="16">
        <v>44766.0</v>
      </c>
      <c r="B2650" s="13" t="s">
        <v>5158</v>
      </c>
      <c r="C2650" s="13" t="s">
        <v>5159</v>
      </c>
      <c r="D2650" s="13" t="s">
        <v>10</v>
      </c>
      <c r="E2650" s="13" t="s">
        <v>62</v>
      </c>
      <c r="F2650" s="13">
        <v>2017.0</v>
      </c>
      <c r="G2650" s="13">
        <v>34691.0</v>
      </c>
      <c r="H2650" s="13">
        <v>5064.53</v>
      </c>
      <c r="I2650" s="13">
        <f>' car_sales_data 1'!$G2650*0.2</f>
        <v>6938.2</v>
      </c>
      <c r="J2650" s="13" t="str">
        <f>TEXT(' car_sales_data 1'!$A2650,"mmmm")</f>
        <v>July</v>
      </c>
      <c r="K2650" s="13" t="str">
        <f>IF(' car_sales_data 1'!$G2650&gt;40000,"Premium",
 IF(' car_sales_data 1'!$G2650&gt;=20000,"Mid Range","Budget"))</f>
        <v>Mid Range</v>
      </c>
      <c r="L2650" s="13">
        <f>YEAR(TODAY())-' car_sales_data 1'!$F2650</f>
        <v>8</v>
      </c>
    </row>
    <row r="2651" ht="15.75" customHeight="1">
      <c r="A2651" s="16">
        <v>44880.0</v>
      </c>
      <c r="B2651" s="13" t="s">
        <v>5160</v>
      </c>
      <c r="C2651" s="13" t="s">
        <v>5161</v>
      </c>
      <c r="D2651" s="13" t="s">
        <v>6</v>
      </c>
      <c r="E2651" s="13" t="s">
        <v>57</v>
      </c>
      <c r="F2651" s="13">
        <v>2021.0</v>
      </c>
      <c r="G2651" s="13">
        <v>14101.0</v>
      </c>
      <c r="H2651" s="13">
        <v>885.44</v>
      </c>
      <c r="I2651" s="13">
        <f>' car_sales_data 1'!$G2651*0.2</f>
        <v>2820.2</v>
      </c>
      <c r="J2651" s="13" t="str">
        <f>TEXT(' car_sales_data 1'!$A2651,"mmmm")</f>
        <v>November</v>
      </c>
      <c r="K2651" s="13" t="str">
        <f>IF(' car_sales_data 1'!$G2651&gt;40000,"Premium",
 IF(' car_sales_data 1'!$G2651&gt;=20000,"Mid Range","Budget"))</f>
        <v>Budget</v>
      </c>
      <c r="L2651" s="13">
        <f>YEAR(TODAY())-' car_sales_data 1'!$F2651</f>
        <v>4</v>
      </c>
    </row>
    <row r="2652" ht="15.75" customHeight="1">
      <c r="A2652" s="16">
        <v>44775.0</v>
      </c>
      <c r="B2652" s="13" t="s">
        <v>5162</v>
      </c>
      <c r="C2652" s="13" t="s">
        <v>5163</v>
      </c>
      <c r="D2652" s="13" t="s">
        <v>14</v>
      </c>
      <c r="E2652" s="13" t="s">
        <v>51</v>
      </c>
      <c r="F2652" s="13">
        <v>2015.0</v>
      </c>
      <c r="G2652" s="13">
        <v>37321.0</v>
      </c>
      <c r="H2652" s="13">
        <v>3165.84</v>
      </c>
      <c r="I2652" s="13">
        <f>' car_sales_data 1'!$G2652*0.2</f>
        <v>7464.2</v>
      </c>
      <c r="J2652" s="13" t="str">
        <f>TEXT(' car_sales_data 1'!$A2652,"mmmm")</f>
        <v>August</v>
      </c>
      <c r="K2652" s="13" t="str">
        <f>IF(' car_sales_data 1'!$G2652&gt;40000,"Premium",
 IF(' car_sales_data 1'!$G2652&gt;=20000,"Mid Range","Budget"))</f>
        <v>Mid Range</v>
      </c>
      <c r="L2652" s="13">
        <f>YEAR(TODAY())-' car_sales_data 1'!$F2652</f>
        <v>10</v>
      </c>
    </row>
    <row r="2653" ht="15.75" customHeight="1">
      <c r="A2653" s="16">
        <v>44793.0</v>
      </c>
      <c r="B2653" s="13" t="s">
        <v>2440</v>
      </c>
      <c r="C2653" s="13" t="s">
        <v>5164</v>
      </c>
      <c r="D2653" s="13" t="s">
        <v>8</v>
      </c>
      <c r="E2653" s="13" t="s">
        <v>54</v>
      </c>
      <c r="F2653" s="13">
        <v>2016.0</v>
      </c>
      <c r="G2653" s="13">
        <v>42395.0</v>
      </c>
      <c r="H2653" s="13">
        <v>5120.6</v>
      </c>
      <c r="I2653" s="13">
        <f>' car_sales_data 1'!$G2653*0.2</f>
        <v>8479</v>
      </c>
      <c r="J2653" s="13" t="str">
        <f>TEXT(' car_sales_data 1'!$A2653,"mmmm")</f>
        <v>August</v>
      </c>
      <c r="K2653" s="13" t="str">
        <f>IF(' car_sales_data 1'!$G2653&gt;40000,"Premium",
 IF(' car_sales_data 1'!$G2653&gt;=20000,"Mid Range","Budget"))</f>
        <v>Premium</v>
      </c>
      <c r="L2653" s="13">
        <f>YEAR(TODAY())-' car_sales_data 1'!$F2653</f>
        <v>9</v>
      </c>
    </row>
    <row r="2654" ht="15.75" customHeight="1">
      <c r="A2654" s="16">
        <v>44930.0</v>
      </c>
      <c r="B2654" s="13" t="s">
        <v>5165</v>
      </c>
      <c r="C2654" s="13" t="s">
        <v>5166</v>
      </c>
      <c r="D2654" s="13" t="s">
        <v>10</v>
      </c>
      <c r="E2654" s="13" t="s">
        <v>70</v>
      </c>
      <c r="F2654" s="13">
        <v>2011.0</v>
      </c>
      <c r="G2654" s="13">
        <v>35728.0</v>
      </c>
      <c r="H2654" s="13">
        <v>3362.72</v>
      </c>
      <c r="I2654" s="13">
        <f>' car_sales_data 1'!$G2654*0.2</f>
        <v>7145.6</v>
      </c>
      <c r="J2654" s="13" t="str">
        <f>TEXT(' car_sales_data 1'!$A2654,"mmmm")</f>
        <v>January</v>
      </c>
      <c r="K2654" s="13" t="str">
        <f>IF(' car_sales_data 1'!$G2654&gt;40000,"Premium",
 IF(' car_sales_data 1'!$G2654&gt;=20000,"Mid Range","Budget"))</f>
        <v>Mid Range</v>
      </c>
      <c r="L2654" s="13">
        <f>YEAR(TODAY())-' car_sales_data 1'!$F2654</f>
        <v>14</v>
      </c>
    </row>
    <row r="2655" ht="15.75" customHeight="1">
      <c r="A2655" s="16">
        <v>44957.0</v>
      </c>
      <c r="B2655" s="13" t="s">
        <v>5167</v>
      </c>
      <c r="C2655" s="13" t="s">
        <v>5168</v>
      </c>
      <c r="D2655" s="13" t="s">
        <v>12</v>
      </c>
      <c r="E2655" s="13" t="s">
        <v>62</v>
      </c>
      <c r="F2655" s="13">
        <v>2013.0</v>
      </c>
      <c r="G2655" s="13">
        <v>42246.0</v>
      </c>
      <c r="H2655" s="13">
        <v>4362.56</v>
      </c>
      <c r="I2655" s="13">
        <f>' car_sales_data 1'!$G2655*0.2</f>
        <v>8449.2</v>
      </c>
      <c r="J2655" s="13" t="str">
        <f>TEXT(' car_sales_data 1'!$A2655,"mmmm")</f>
        <v>January</v>
      </c>
      <c r="K2655" s="13" t="str">
        <f>IF(' car_sales_data 1'!$G2655&gt;40000,"Premium",
 IF(' car_sales_data 1'!$G2655&gt;=20000,"Mid Range","Budget"))</f>
        <v>Premium</v>
      </c>
      <c r="L2655" s="13">
        <f>YEAR(TODAY())-' car_sales_data 1'!$F2655</f>
        <v>12</v>
      </c>
    </row>
    <row r="2656" ht="15.75" customHeight="1">
      <c r="A2656" s="16">
        <v>44865.0</v>
      </c>
      <c r="B2656" s="13" t="s">
        <v>5169</v>
      </c>
      <c r="C2656" s="13" t="s">
        <v>5170</v>
      </c>
      <c r="D2656" s="13" t="s">
        <v>14</v>
      </c>
      <c r="E2656" s="13" t="s">
        <v>62</v>
      </c>
      <c r="F2656" s="13">
        <v>2022.0</v>
      </c>
      <c r="G2656" s="13">
        <v>49947.0</v>
      </c>
      <c r="H2656" s="13">
        <v>4346.29</v>
      </c>
      <c r="I2656" s="13">
        <f>' car_sales_data 1'!$G2656*0.2</f>
        <v>9989.4</v>
      </c>
      <c r="J2656" s="13" t="str">
        <f>TEXT(' car_sales_data 1'!$A2656,"mmmm")</f>
        <v>October</v>
      </c>
      <c r="K2656" s="13" t="str">
        <f>IF(' car_sales_data 1'!$G2656&gt;40000,"Premium",
 IF(' car_sales_data 1'!$G2656&gt;=20000,"Mid Range","Budget"))</f>
        <v>Premium</v>
      </c>
      <c r="L2656" s="13">
        <f>YEAR(TODAY())-' car_sales_data 1'!$F2656</f>
        <v>3</v>
      </c>
    </row>
    <row r="2657" ht="15.75" customHeight="1">
      <c r="A2657" s="16">
        <v>44898.0</v>
      </c>
      <c r="B2657" s="13" t="s">
        <v>5171</v>
      </c>
      <c r="C2657" s="13" t="s">
        <v>5172</v>
      </c>
      <c r="D2657" s="13" t="s">
        <v>6</v>
      </c>
      <c r="E2657" s="13" t="s">
        <v>57</v>
      </c>
      <c r="F2657" s="13">
        <v>2022.0</v>
      </c>
      <c r="G2657" s="13">
        <v>37877.0</v>
      </c>
      <c r="H2657" s="13">
        <v>5250.74</v>
      </c>
      <c r="I2657" s="13">
        <f>' car_sales_data 1'!$G2657*0.2</f>
        <v>7575.4</v>
      </c>
      <c r="J2657" s="13" t="str">
        <f>TEXT(' car_sales_data 1'!$A2657,"mmmm")</f>
        <v>December</v>
      </c>
      <c r="K2657" s="13" t="str">
        <f>IF(' car_sales_data 1'!$G2657&gt;40000,"Premium",
 IF(' car_sales_data 1'!$G2657&gt;=20000,"Mid Range","Budget"))</f>
        <v>Mid Range</v>
      </c>
      <c r="L2657" s="13">
        <f>YEAR(TODAY())-' car_sales_data 1'!$F2657</f>
        <v>3</v>
      </c>
    </row>
    <row r="2658" ht="15.75" customHeight="1">
      <c r="A2658" s="16">
        <v>44800.0</v>
      </c>
      <c r="B2658" s="13" t="s">
        <v>3523</v>
      </c>
      <c r="C2658" s="13" t="s">
        <v>5173</v>
      </c>
      <c r="D2658" s="13" t="s">
        <v>14</v>
      </c>
      <c r="E2658" s="13" t="s">
        <v>57</v>
      </c>
      <c r="F2658" s="13">
        <v>2012.0</v>
      </c>
      <c r="G2658" s="13">
        <v>43691.0</v>
      </c>
      <c r="H2658" s="13">
        <v>6444.04</v>
      </c>
      <c r="I2658" s="13">
        <f>' car_sales_data 1'!$G2658*0.2</f>
        <v>8738.2</v>
      </c>
      <c r="J2658" s="13" t="str">
        <f>TEXT(' car_sales_data 1'!$A2658,"mmmm")</f>
        <v>August</v>
      </c>
      <c r="K2658" s="13" t="str">
        <f>IF(' car_sales_data 1'!$G2658&gt;40000,"Premium",
 IF(' car_sales_data 1'!$G2658&gt;=20000,"Mid Range","Budget"))</f>
        <v>Premium</v>
      </c>
      <c r="L2658" s="13">
        <f>YEAR(TODAY())-' car_sales_data 1'!$F2658</f>
        <v>13</v>
      </c>
    </row>
    <row r="2659" ht="15.75" customHeight="1">
      <c r="A2659" s="16">
        <v>45029.0</v>
      </c>
      <c r="B2659" s="13" t="s">
        <v>5174</v>
      </c>
      <c r="C2659" s="13" t="s">
        <v>5175</v>
      </c>
      <c r="D2659" s="13" t="s">
        <v>10</v>
      </c>
      <c r="E2659" s="13" t="s">
        <v>62</v>
      </c>
      <c r="F2659" s="13">
        <v>2011.0</v>
      </c>
      <c r="G2659" s="13">
        <v>35562.0</v>
      </c>
      <c r="H2659" s="13">
        <v>3705.47</v>
      </c>
      <c r="I2659" s="13">
        <f>' car_sales_data 1'!$G2659*0.2</f>
        <v>7112.4</v>
      </c>
      <c r="J2659" s="13" t="str">
        <f>TEXT(' car_sales_data 1'!$A2659,"mmmm")</f>
        <v>April</v>
      </c>
      <c r="K2659" s="13" t="str">
        <f>IF(' car_sales_data 1'!$G2659&gt;40000,"Premium",
 IF(' car_sales_data 1'!$G2659&gt;=20000,"Mid Range","Budget"))</f>
        <v>Mid Range</v>
      </c>
      <c r="L2659" s="13">
        <f>YEAR(TODAY())-' car_sales_data 1'!$F2659</f>
        <v>14</v>
      </c>
    </row>
    <row r="2660" ht="15.75" customHeight="1">
      <c r="A2660" s="16">
        <v>44749.0</v>
      </c>
      <c r="B2660" s="13" t="s">
        <v>5176</v>
      </c>
      <c r="C2660" s="13" t="s">
        <v>5177</v>
      </c>
      <c r="D2660" s="13" t="s">
        <v>6</v>
      </c>
      <c r="E2660" s="13" t="s">
        <v>57</v>
      </c>
      <c r="F2660" s="13">
        <v>2021.0</v>
      </c>
      <c r="G2660" s="13">
        <v>10274.0</v>
      </c>
      <c r="H2660" s="13">
        <v>739.68</v>
      </c>
      <c r="I2660" s="13">
        <f>' car_sales_data 1'!$G2660*0.2</f>
        <v>2054.8</v>
      </c>
      <c r="J2660" s="13" t="str">
        <f>TEXT(' car_sales_data 1'!$A2660,"mmmm")</f>
        <v>July</v>
      </c>
      <c r="K2660" s="13" t="str">
        <f>IF(' car_sales_data 1'!$G2660&gt;40000,"Premium",
 IF(' car_sales_data 1'!$G2660&gt;=20000,"Mid Range","Budget"))</f>
        <v>Budget</v>
      </c>
      <c r="L2660" s="13">
        <f>YEAR(TODAY())-' car_sales_data 1'!$F2660</f>
        <v>4</v>
      </c>
    </row>
    <row r="2661" ht="15.75" customHeight="1">
      <c r="A2661" s="16">
        <v>44947.0</v>
      </c>
      <c r="B2661" s="13" t="s">
        <v>5178</v>
      </c>
      <c r="C2661" s="13" t="s">
        <v>5179</v>
      </c>
      <c r="D2661" s="13" t="s">
        <v>12</v>
      </c>
      <c r="E2661" s="13" t="s">
        <v>54</v>
      </c>
      <c r="F2661" s="13">
        <v>2014.0</v>
      </c>
      <c r="G2661" s="13">
        <v>41931.0</v>
      </c>
      <c r="H2661" s="13">
        <v>2493.66</v>
      </c>
      <c r="I2661" s="13">
        <f>' car_sales_data 1'!$G2661*0.2</f>
        <v>8386.2</v>
      </c>
      <c r="J2661" s="13" t="str">
        <f>TEXT(' car_sales_data 1'!$A2661,"mmmm")</f>
        <v>January</v>
      </c>
      <c r="K2661" s="13" t="str">
        <f>IF(' car_sales_data 1'!$G2661&gt;40000,"Premium",
 IF(' car_sales_data 1'!$G2661&gt;=20000,"Mid Range","Budget"))</f>
        <v>Premium</v>
      </c>
      <c r="L2661" s="13">
        <f>YEAR(TODAY())-' car_sales_data 1'!$F2661</f>
        <v>11</v>
      </c>
    </row>
    <row r="2662" ht="15.75" customHeight="1">
      <c r="A2662" s="16">
        <v>45042.0</v>
      </c>
      <c r="B2662" s="13" t="s">
        <v>5180</v>
      </c>
      <c r="C2662" s="13" t="s">
        <v>5181</v>
      </c>
      <c r="D2662" s="13" t="s">
        <v>14</v>
      </c>
      <c r="E2662" s="13" t="s">
        <v>57</v>
      </c>
      <c r="F2662" s="13">
        <v>2020.0</v>
      </c>
      <c r="G2662" s="13">
        <v>43320.0</v>
      </c>
      <c r="H2662" s="13">
        <v>2360.41</v>
      </c>
      <c r="I2662" s="13">
        <f>' car_sales_data 1'!$G2662*0.2</f>
        <v>8664</v>
      </c>
      <c r="J2662" s="13" t="str">
        <f>TEXT(' car_sales_data 1'!$A2662,"mmmm")</f>
        <v>April</v>
      </c>
      <c r="K2662" s="13" t="str">
        <f>IF(' car_sales_data 1'!$G2662&gt;40000,"Premium",
 IF(' car_sales_data 1'!$G2662&gt;=20000,"Mid Range","Budget"))</f>
        <v>Premium</v>
      </c>
      <c r="L2662" s="13">
        <f>YEAR(TODAY())-' car_sales_data 1'!$F2662</f>
        <v>5</v>
      </c>
    </row>
    <row r="2663" ht="15.75" customHeight="1">
      <c r="A2663" s="16">
        <v>44767.0</v>
      </c>
      <c r="B2663" s="13" t="s">
        <v>5182</v>
      </c>
      <c r="C2663" s="13" t="s">
        <v>5183</v>
      </c>
      <c r="D2663" s="13" t="s">
        <v>6</v>
      </c>
      <c r="E2663" s="13" t="s">
        <v>62</v>
      </c>
      <c r="F2663" s="13">
        <v>2011.0</v>
      </c>
      <c r="G2663" s="13">
        <v>14374.0</v>
      </c>
      <c r="H2663" s="13">
        <v>960.07</v>
      </c>
      <c r="I2663" s="13">
        <f>' car_sales_data 1'!$G2663*0.2</f>
        <v>2874.8</v>
      </c>
      <c r="J2663" s="13" t="str">
        <f>TEXT(' car_sales_data 1'!$A2663,"mmmm")</f>
        <v>July</v>
      </c>
      <c r="K2663" s="13" t="str">
        <f>IF(' car_sales_data 1'!$G2663&gt;40000,"Premium",
 IF(' car_sales_data 1'!$G2663&gt;=20000,"Mid Range","Budget"))</f>
        <v>Budget</v>
      </c>
      <c r="L2663" s="13">
        <f>YEAR(TODAY())-' car_sales_data 1'!$F2663</f>
        <v>14</v>
      </c>
    </row>
    <row r="2664" ht="15.75" customHeight="1">
      <c r="A2664" s="16">
        <v>44779.0</v>
      </c>
      <c r="B2664" s="13" t="s">
        <v>5184</v>
      </c>
      <c r="C2664" s="13" t="s">
        <v>5185</v>
      </c>
      <c r="D2664" s="13" t="s">
        <v>10</v>
      </c>
      <c r="E2664" s="13" t="s">
        <v>62</v>
      </c>
      <c r="F2664" s="13">
        <v>2022.0</v>
      </c>
      <c r="G2664" s="13">
        <v>30082.0</v>
      </c>
      <c r="H2664" s="13">
        <v>4131.83</v>
      </c>
      <c r="I2664" s="13">
        <f>' car_sales_data 1'!$G2664*0.2</f>
        <v>6016.4</v>
      </c>
      <c r="J2664" s="13" t="str">
        <f>TEXT(' car_sales_data 1'!$A2664,"mmmm")</f>
        <v>August</v>
      </c>
      <c r="K2664" s="13" t="str">
        <f>IF(' car_sales_data 1'!$G2664&gt;40000,"Premium",
 IF(' car_sales_data 1'!$G2664&gt;=20000,"Mid Range","Budget"))</f>
        <v>Mid Range</v>
      </c>
      <c r="L2664" s="13">
        <f>YEAR(TODAY())-' car_sales_data 1'!$F2664</f>
        <v>3</v>
      </c>
    </row>
    <row r="2665" ht="15.75" customHeight="1">
      <c r="A2665" s="16">
        <v>45004.0</v>
      </c>
      <c r="B2665" s="13" t="s">
        <v>5186</v>
      </c>
      <c r="C2665" s="13" t="s">
        <v>5187</v>
      </c>
      <c r="D2665" s="13" t="s">
        <v>8</v>
      </c>
      <c r="E2665" s="13" t="s">
        <v>70</v>
      </c>
      <c r="F2665" s="13">
        <v>2010.0</v>
      </c>
      <c r="G2665" s="13">
        <v>18026.0</v>
      </c>
      <c r="H2665" s="13">
        <v>1495.35</v>
      </c>
      <c r="I2665" s="13">
        <f>' car_sales_data 1'!$G2665*0.2</f>
        <v>3605.2</v>
      </c>
      <c r="J2665" s="13" t="str">
        <f>TEXT(' car_sales_data 1'!$A2665,"mmmm")</f>
        <v>March</v>
      </c>
      <c r="K2665" s="13" t="str">
        <f>IF(' car_sales_data 1'!$G2665&gt;40000,"Premium",
 IF(' car_sales_data 1'!$G2665&gt;=20000,"Mid Range","Budget"))</f>
        <v>Budget</v>
      </c>
      <c r="L2665" s="13">
        <f>YEAR(TODAY())-' car_sales_data 1'!$F2665</f>
        <v>15</v>
      </c>
    </row>
    <row r="2666" ht="15.75" customHeight="1">
      <c r="A2666" s="16">
        <v>44961.0</v>
      </c>
      <c r="B2666" s="13" t="s">
        <v>5188</v>
      </c>
      <c r="C2666" s="13" t="s">
        <v>5189</v>
      </c>
      <c r="D2666" s="13" t="s">
        <v>14</v>
      </c>
      <c r="E2666" s="13" t="s">
        <v>62</v>
      </c>
      <c r="F2666" s="13">
        <v>2017.0</v>
      </c>
      <c r="G2666" s="13">
        <v>46044.0</v>
      </c>
      <c r="H2666" s="13">
        <v>2416.93</v>
      </c>
      <c r="I2666" s="13">
        <f>' car_sales_data 1'!$G2666*0.2</f>
        <v>9208.8</v>
      </c>
      <c r="J2666" s="13" t="str">
        <f>TEXT(' car_sales_data 1'!$A2666,"mmmm")</f>
        <v>February</v>
      </c>
      <c r="K2666" s="13" t="str">
        <f>IF(' car_sales_data 1'!$G2666&gt;40000,"Premium",
 IF(' car_sales_data 1'!$G2666&gt;=20000,"Mid Range","Budget"))</f>
        <v>Premium</v>
      </c>
      <c r="L2666" s="13">
        <f>YEAR(TODAY())-' car_sales_data 1'!$F2666</f>
        <v>8</v>
      </c>
    </row>
    <row r="2667" ht="15.75" customHeight="1">
      <c r="A2667" s="16">
        <v>44937.0</v>
      </c>
      <c r="B2667" s="13" t="s">
        <v>5190</v>
      </c>
      <c r="C2667" s="13" t="s">
        <v>5191</v>
      </c>
      <c r="D2667" s="13" t="s">
        <v>6</v>
      </c>
      <c r="E2667" s="13" t="s">
        <v>70</v>
      </c>
      <c r="F2667" s="13">
        <v>2016.0</v>
      </c>
      <c r="G2667" s="13">
        <v>39609.0</v>
      </c>
      <c r="H2667" s="13">
        <v>4650.23</v>
      </c>
      <c r="I2667" s="13">
        <f>' car_sales_data 1'!$G2667*0.2</f>
        <v>7921.8</v>
      </c>
      <c r="J2667" s="13" t="str">
        <f>TEXT(' car_sales_data 1'!$A2667,"mmmm")</f>
        <v>January</v>
      </c>
      <c r="K2667" s="13" t="str">
        <f>IF(' car_sales_data 1'!$G2667&gt;40000,"Premium",
 IF(' car_sales_data 1'!$G2667&gt;=20000,"Mid Range","Budget"))</f>
        <v>Mid Range</v>
      </c>
      <c r="L2667" s="13">
        <f>YEAR(TODAY())-' car_sales_data 1'!$F2667</f>
        <v>9</v>
      </c>
    </row>
    <row r="2668" ht="15.75" customHeight="1">
      <c r="A2668" s="16">
        <v>44882.0</v>
      </c>
      <c r="B2668" s="13" t="s">
        <v>5192</v>
      </c>
      <c r="C2668" s="13" t="s">
        <v>3184</v>
      </c>
      <c r="D2668" s="13" t="s">
        <v>14</v>
      </c>
      <c r="E2668" s="13" t="s">
        <v>54</v>
      </c>
      <c r="F2668" s="13">
        <v>2018.0</v>
      </c>
      <c r="G2668" s="13">
        <v>42224.0</v>
      </c>
      <c r="H2668" s="13">
        <v>5447.91</v>
      </c>
      <c r="I2668" s="13">
        <f>' car_sales_data 1'!$G2668*0.2</f>
        <v>8444.8</v>
      </c>
      <c r="J2668" s="13" t="str">
        <f>TEXT(' car_sales_data 1'!$A2668,"mmmm")</f>
        <v>November</v>
      </c>
      <c r="K2668" s="13" t="str">
        <f>IF(' car_sales_data 1'!$G2668&gt;40000,"Premium",
 IF(' car_sales_data 1'!$G2668&gt;=20000,"Mid Range","Budget"))</f>
        <v>Premium</v>
      </c>
      <c r="L2668" s="13">
        <f>YEAR(TODAY())-' car_sales_data 1'!$F2668</f>
        <v>7</v>
      </c>
    </row>
    <row r="2669" ht="15.75" customHeight="1">
      <c r="A2669" s="16">
        <v>44896.0</v>
      </c>
      <c r="B2669" s="13" t="s">
        <v>5193</v>
      </c>
      <c r="C2669" s="13" t="s">
        <v>5194</v>
      </c>
      <c r="D2669" s="13" t="s">
        <v>10</v>
      </c>
      <c r="E2669" s="13" t="s">
        <v>57</v>
      </c>
      <c r="F2669" s="13">
        <v>2020.0</v>
      </c>
      <c r="G2669" s="13">
        <v>12345.0</v>
      </c>
      <c r="H2669" s="13">
        <v>888.1</v>
      </c>
      <c r="I2669" s="13">
        <f>' car_sales_data 1'!$G2669*0.2</f>
        <v>2469</v>
      </c>
      <c r="J2669" s="13" t="str">
        <f>TEXT(' car_sales_data 1'!$A2669,"mmmm")</f>
        <v>December</v>
      </c>
      <c r="K2669" s="13" t="str">
        <f>IF(' car_sales_data 1'!$G2669&gt;40000,"Premium",
 IF(' car_sales_data 1'!$G2669&gt;=20000,"Mid Range","Budget"))</f>
        <v>Budget</v>
      </c>
      <c r="L2669" s="13">
        <f>YEAR(TODAY())-' car_sales_data 1'!$F2669</f>
        <v>5</v>
      </c>
    </row>
    <row r="2670" ht="15.75" customHeight="1">
      <c r="A2670" s="16">
        <v>44687.0</v>
      </c>
      <c r="B2670" s="13" t="s">
        <v>5195</v>
      </c>
      <c r="C2670" s="13" t="s">
        <v>5196</v>
      </c>
      <c r="D2670" s="13" t="s">
        <v>10</v>
      </c>
      <c r="E2670" s="13" t="s">
        <v>51</v>
      </c>
      <c r="F2670" s="13">
        <v>2019.0</v>
      </c>
      <c r="G2670" s="13">
        <v>45207.0</v>
      </c>
      <c r="H2670" s="13">
        <v>5122.11</v>
      </c>
      <c r="I2670" s="13">
        <f>' car_sales_data 1'!$G2670*0.2</f>
        <v>9041.4</v>
      </c>
      <c r="J2670" s="13" t="str">
        <f>TEXT(' car_sales_data 1'!$A2670,"mmmm")</f>
        <v>May</v>
      </c>
      <c r="K2670" s="13" t="str">
        <f>IF(' car_sales_data 1'!$G2670&gt;40000,"Premium",
 IF(' car_sales_data 1'!$G2670&gt;=20000,"Mid Range","Budget"))</f>
        <v>Premium</v>
      </c>
      <c r="L2670" s="13">
        <f>YEAR(TODAY())-' car_sales_data 1'!$F2670</f>
        <v>6</v>
      </c>
    </row>
    <row r="2671" ht="15.75" customHeight="1">
      <c r="A2671" s="16">
        <v>44915.0</v>
      </c>
      <c r="B2671" s="13" t="s">
        <v>5197</v>
      </c>
      <c r="C2671" s="13" t="s">
        <v>2653</v>
      </c>
      <c r="D2671" s="13" t="s">
        <v>14</v>
      </c>
      <c r="E2671" s="13" t="s">
        <v>51</v>
      </c>
      <c r="F2671" s="13">
        <v>2013.0</v>
      </c>
      <c r="G2671" s="13">
        <v>27332.0</v>
      </c>
      <c r="H2671" s="13">
        <v>2512.53</v>
      </c>
      <c r="I2671" s="13">
        <f>' car_sales_data 1'!$G2671*0.2</f>
        <v>5466.4</v>
      </c>
      <c r="J2671" s="13" t="str">
        <f>TEXT(' car_sales_data 1'!$A2671,"mmmm")</f>
        <v>December</v>
      </c>
      <c r="K2671" s="13" t="str">
        <f>IF(' car_sales_data 1'!$G2671&gt;40000,"Premium",
 IF(' car_sales_data 1'!$G2671&gt;=20000,"Mid Range","Budget"))</f>
        <v>Mid Range</v>
      </c>
      <c r="L2671" s="13">
        <f>YEAR(TODAY())-' car_sales_data 1'!$F2671</f>
        <v>12</v>
      </c>
    </row>
    <row r="2672" ht="15.75" customHeight="1">
      <c r="A2672" s="16">
        <v>44846.0</v>
      </c>
      <c r="B2672" s="13" t="s">
        <v>5198</v>
      </c>
      <c r="C2672" s="13" t="s">
        <v>5199</v>
      </c>
      <c r="D2672" s="13" t="s">
        <v>8</v>
      </c>
      <c r="E2672" s="13" t="s">
        <v>51</v>
      </c>
      <c r="F2672" s="13">
        <v>2016.0</v>
      </c>
      <c r="G2672" s="13">
        <v>30085.0</v>
      </c>
      <c r="H2672" s="13">
        <v>1723.38</v>
      </c>
      <c r="I2672" s="13">
        <f>' car_sales_data 1'!$G2672*0.2</f>
        <v>6017</v>
      </c>
      <c r="J2672" s="13" t="str">
        <f>TEXT(' car_sales_data 1'!$A2672,"mmmm")</f>
        <v>October</v>
      </c>
      <c r="K2672" s="13" t="str">
        <f>IF(' car_sales_data 1'!$G2672&gt;40000,"Premium",
 IF(' car_sales_data 1'!$G2672&gt;=20000,"Mid Range","Budget"))</f>
        <v>Mid Range</v>
      </c>
      <c r="L2672" s="13">
        <f>YEAR(TODAY())-' car_sales_data 1'!$F2672</f>
        <v>9</v>
      </c>
    </row>
    <row r="2673" ht="15.75" customHeight="1">
      <c r="A2673" s="16">
        <v>44954.0</v>
      </c>
      <c r="B2673" s="13" t="s">
        <v>5200</v>
      </c>
      <c r="C2673" s="13" t="s">
        <v>5201</v>
      </c>
      <c r="D2673" s="13" t="s">
        <v>6</v>
      </c>
      <c r="E2673" s="13" t="s">
        <v>54</v>
      </c>
      <c r="F2673" s="13">
        <v>2021.0</v>
      </c>
      <c r="G2673" s="13">
        <v>21933.0</v>
      </c>
      <c r="H2673" s="13">
        <v>3183.26</v>
      </c>
      <c r="I2673" s="13">
        <f>' car_sales_data 1'!$G2673*0.2</f>
        <v>4386.6</v>
      </c>
      <c r="J2673" s="13" t="str">
        <f>TEXT(' car_sales_data 1'!$A2673,"mmmm")</f>
        <v>January</v>
      </c>
      <c r="K2673" s="13" t="str">
        <f>IF(' car_sales_data 1'!$G2673&gt;40000,"Premium",
 IF(' car_sales_data 1'!$G2673&gt;=20000,"Mid Range","Budget"))</f>
        <v>Mid Range</v>
      </c>
      <c r="L2673" s="13">
        <f>YEAR(TODAY())-' car_sales_data 1'!$F2673</f>
        <v>4</v>
      </c>
    </row>
    <row r="2674" ht="15.75" customHeight="1">
      <c r="A2674" s="16">
        <v>44742.0</v>
      </c>
      <c r="B2674" s="13" t="s">
        <v>5202</v>
      </c>
      <c r="C2674" s="13" t="s">
        <v>5203</v>
      </c>
      <c r="D2674" s="13" t="s">
        <v>12</v>
      </c>
      <c r="E2674" s="13" t="s">
        <v>57</v>
      </c>
      <c r="F2674" s="13">
        <v>2010.0</v>
      </c>
      <c r="G2674" s="13">
        <v>35478.0</v>
      </c>
      <c r="H2674" s="13">
        <v>3997.23</v>
      </c>
      <c r="I2674" s="13">
        <f>' car_sales_data 1'!$G2674*0.2</f>
        <v>7095.6</v>
      </c>
      <c r="J2674" s="13" t="str">
        <f>TEXT(' car_sales_data 1'!$A2674,"mmmm")</f>
        <v>June</v>
      </c>
      <c r="K2674" s="13" t="str">
        <f>IF(' car_sales_data 1'!$G2674&gt;40000,"Premium",
 IF(' car_sales_data 1'!$G2674&gt;=20000,"Mid Range","Budget"))</f>
        <v>Mid Range</v>
      </c>
      <c r="L2674" s="13">
        <f>YEAR(TODAY())-' car_sales_data 1'!$F2674</f>
        <v>15</v>
      </c>
    </row>
    <row r="2675" ht="15.75" customHeight="1">
      <c r="A2675" s="16">
        <v>45042.0</v>
      </c>
      <c r="B2675" s="13" t="s">
        <v>5204</v>
      </c>
      <c r="C2675" s="13" t="s">
        <v>5205</v>
      </c>
      <c r="D2675" s="13" t="s">
        <v>10</v>
      </c>
      <c r="E2675" s="13" t="s">
        <v>54</v>
      </c>
      <c r="F2675" s="13">
        <v>2019.0</v>
      </c>
      <c r="G2675" s="13">
        <v>16917.0</v>
      </c>
      <c r="H2675" s="13">
        <v>865.57</v>
      </c>
      <c r="I2675" s="13">
        <f>' car_sales_data 1'!$G2675*0.2</f>
        <v>3383.4</v>
      </c>
      <c r="J2675" s="13" t="str">
        <f>TEXT(' car_sales_data 1'!$A2675,"mmmm")</f>
        <v>April</v>
      </c>
      <c r="K2675" s="13" t="str">
        <f>IF(' car_sales_data 1'!$G2675&gt;40000,"Premium",
 IF(' car_sales_data 1'!$G2675&gt;=20000,"Mid Range","Budget"))</f>
        <v>Budget</v>
      </c>
      <c r="L2675" s="13">
        <f>YEAR(TODAY())-' car_sales_data 1'!$F2675</f>
        <v>6</v>
      </c>
    </row>
    <row r="2676" ht="15.75" customHeight="1">
      <c r="A2676" s="16">
        <v>44715.0</v>
      </c>
      <c r="B2676" s="13" t="s">
        <v>5206</v>
      </c>
      <c r="C2676" s="13" t="s">
        <v>5207</v>
      </c>
      <c r="D2676" s="13" t="s">
        <v>10</v>
      </c>
      <c r="E2676" s="13" t="s">
        <v>57</v>
      </c>
      <c r="F2676" s="13">
        <v>2022.0</v>
      </c>
      <c r="G2676" s="13">
        <v>46745.0</v>
      </c>
      <c r="H2676" s="13">
        <v>4109.65</v>
      </c>
      <c r="I2676" s="13">
        <f>' car_sales_data 1'!$G2676*0.2</f>
        <v>9349</v>
      </c>
      <c r="J2676" s="13" t="str">
        <f>TEXT(' car_sales_data 1'!$A2676,"mmmm")</f>
        <v>June</v>
      </c>
      <c r="K2676" s="13" t="str">
        <f>IF(' car_sales_data 1'!$G2676&gt;40000,"Premium",
 IF(' car_sales_data 1'!$G2676&gt;=20000,"Mid Range","Budget"))</f>
        <v>Premium</v>
      </c>
      <c r="L2676" s="13">
        <f>YEAR(TODAY())-' car_sales_data 1'!$F2676</f>
        <v>3</v>
      </c>
    </row>
    <row r="2677" ht="15.75" customHeight="1">
      <c r="A2677" s="16">
        <v>44913.0</v>
      </c>
      <c r="B2677" s="13" t="s">
        <v>5208</v>
      </c>
      <c r="C2677" s="13" t="s">
        <v>5209</v>
      </c>
      <c r="D2677" s="13" t="s">
        <v>8</v>
      </c>
      <c r="E2677" s="13" t="s">
        <v>70</v>
      </c>
      <c r="F2677" s="13">
        <v>2017.0</v>
      </c>
      <c r="G2677" s="13">
        <v>41335.0</v>
      </c>
      <c r="H2677" s="13">
        <v>3813.8</v>
      </c>
      <c r="I2677" s="13">
        <f>' car_sales_data 1'!$G2677*0.2</f>
        <v>8267</v>
      </c>
      <c r="J2677" s="13" t="str">
        <f>TEXT(' car_sales_data 1'!$A2677,"mmmm")</f>
        <v>December</v>
      </c>
      <c r="K2677" s="13" t="str">
        <f>IF(' car_sales_data 1'!$G2677&gt;40000,"Premium",
 IF(' car_sales_data 1'!$G2677&gt;=20000,"Mid Range","Budget"))</f>
        <v>Premium</v>
      </c>
      <c r="L2677" s="13">
        <f>YEAR(TODAY())-' car_sales_data 1'!$F2677</f>
        <v>8</v>
      </c>
    </row>
    <row r="2678" ht="15.75" customHeight="1">
      <c r="A2678" s="16">
        <v>44812.0</v>
      </c>
      <c r="B2678" s="13" t="s">
        <v>5210</v>
      </c>
      <c r="C2678" s="13" t="s">
        <v>5211</v>
      </c>
      <c r="D2678" s="13" t="s">
        <v>6</v>
      </c>
      <c r="E2678" s="13" t="s">
        <v>54</v>
      </c>
      <c r="F2678" s="13">
        <v>2012.0</v>
      </c>
      <c r="G2678" s="13">
        <v>45041.0</v>
      </c>
      <c r="H2678" s="13">
        <v>4027.59</v>
      </c>
      <c r="I2678" s="13">
        <f>' car_sales_data 1'!$G2678*0.2</f>
        <v>9008.2</v>
      </c>
      <c r="J2678" s="13" t="str">
        <f>TEXT(' car_sales_data 1'!$A2678,"mmmm")</f>
        <v>September</v>
      </c>
      <c r="K2678" s="13" t="str">
        <f>IF(' car_sales_data 1'!$G2678&gt;40000,"Premium",
 IF(' car_sales_data 1'!$G2678&gt;=20000,"Mid Range","Budget"))</f>
        <v>Premium</v>
      </c>
      <c r="L2678" s="13">
        <f>YEAR(TODAY())-' car_sales_data 1'!$F2678</f>
        <v>13</v>
      </c>
    </row>
    <row r="2679" ht="15.75" customHeight="1">
      <c r="A2679" s="16">
        <v>45040.0</v>
      </c>
      <c r="B2679" s="13" t="s">
        <v>5212</v>
      </c>
      <c r="C2679" s="13" t="s">
        <v>3990</v>
      </c>
      <c r="D2679" s="13" t="s">
        <v>10</v>
      </c>
      <c r="E2679" s="13" t="s">
        <v>57</v>
      </c>
      <c r="F2679" s="13">
        <v>2016.0</v>
      </c>
      <c r="G2679" s="13">
        <v>22668.0</v>
      </c>
      <c r="H2679" s="13">
        <v>2050.79</v>
      </c>
      <c r="I2679" s="13">
        <f>' car_sales_data 1'!$G2679*0.2</f>
        <v>4533.6</v>
      </c>
      <c r="J2679" s="13" t="str">
        <f>TEXT(' car_sales_data 1'!$A2679,"mmmm")</f>
        <v>April</v>
      </c>
      <c r="K2679" s="13" t="str">
        <f>IF(' car_sales_data 1'!$G2679&gt;40000,"Premium",
 IF(' car_sales_data 1'!$G2679&gt;=20000,"Mid Range","Budget"))</f>
        <v>Mid Range</v>
      </c>
      <c r="L2679" s="13">
        <f>YEAR(TODAY())-' car_sales_data 1'!$F2679</f>
        <v>9</v>
      </c>
    </row>
    <row r="2680" ht="15.75" customHeight="1">
      <c r="A2680" s="16">
        <v>44765.0</v>
      </c>
      <c r="B2680" s="13" t="s">
        <v>5213</v>
      </c>
      <c r="C2680" s="13" t="s">
        <v>5214</v>
      </c>
      <c r="D2680" s="13" t="s">
        <v>12</v>
      </c>
      <c r="E2680" s="13" t="s">
        <v>70</v>
      </c>
      <c r="F2680" s="13">
        <v>2016.0</v>
      </c>
      <c r="G2680" s="13">
        <v>33710.0</v>
      </c>
      <c r="H2680" s="13">
        <v>3462.92</v>
      </c>
      <c r="I2680" s="13">
        <f>' car_sales_data 1'!$G2680*0.2</f>
        <v>6742</v>
      </c>
      <c r="J2680" s="13" t="str">
        <f>TEXT(' car_sales_data 1'!$A2680,"mmmm")</f>
        <v>July</v>
      </c>
      <c r="K2680" s="13" t="str">
        <f>IF(' car_sales_data 1'!$G2680&gt;40000,"Premium",
 IF(' car_sales_data 1'!$G2680&gt;=20000,"Mid Range","Budget"))</f>
        <v>Mid Range</v>
      </c>
      <c r="L2680" s="13">
        <f>YEAR(TODAY())-' car_sales_data 1'!$F2680</f>
        <v>9</v>
      </c>
    </row>
    <row r="2681" ht="15.75" customHeight="1">
      <c r="A2681" s="16">
        <v>44799.0</v>
      </c>
      <c r="B2681" s="13" t="s">
        <v>5215</v>
      </c>
      <c r="C2681" s="13" t="s">
        <v>5216</v>
      </c>
      <c r="D2681" s="13" t="s">
        <v>10</v>
      </c>
      <c r="E2681" s="13" t="s">
        <v>57</v>
      </c>
      <c r="F2681" s="13">
        <v>2020.0</v>
      </c>
      <c r="G2681" s="13">
        <v>31914.0</v>
      </c>
      <c r="H2681" s="13">
        <v>1689.4</v>
      </c>
      <c r="I2681" s="13">
        <f>' car_sales_data 1'!$G2681*0.2</f>
        <v>6382.8</v>
      </c>
      <c r="J2681" s="13" t="str">
        <f>TEXT(' car_sales_data 1'!$A2681,"mmmm")</f>
        <v>August</v>
      </c>
      <c r="K2681" s="13" t="str">
        <f>IF(' car_sales_data 1'!$G2681&gt;40000,"Premium",
 IF(' car_sales_data 1'!$G2681&gt;=20000,"Mid Range","Budget"))</f>
        <v>Mid Range</v>
      </c>
      <c r="L2681" s="13">
        <f>YEAR(TODAY())-' car_sales_data 1'!$F2681</f>
        <v>5</v>
      </c>
    </row>
    <row r="2682" ht="15.75" customHeight="1">
      <c r="A2682" s="16">
        <v>44927.0</v>
      </c>
      <c r="B2682" s="13" t="s">
        <v>5217</v>
      </c>
      <c r="C2682" s="13" t="s">
        <v>5218</v>
      </c>
      <c r="D2682" s="13" t="s">
        <v>10</v>
      </c>
      <c r="E2682" s="13" t="s">
        <v>54</v>
      </c>
      <c r="F2682" s="13">
        <v>2021.0</v>
      </c>
      <c r="G2682" s="13">
        <v>10078.0</v>
      </c>
      <c r="H2682" s="13">
        <v>894.47</v>
      </c>
      <c r="I2682" s="13">
        <f>' car_sales_data 1'!$G2682*0.2</f>
        <v>2015.6</v>
      </c>
      <c r="J2682" s="13" t="str">
        <f>TEXT(' car_sales_data 1'!$A2682,"mmmm")</f>
        <v>January</v>
      </c>
      <c r="K2682" s="13" t="str">
        <f>IF(' car_sales_data 1'!$G2682&gt;40000,"Premium",
 IF(' car_sales_data 1'!$G2682&gt;=20000,"Mid Range","Budget"))</f>
        <v>Budget</v>
      </c>
      <c r="L2682" s="13">
        <f>YEAR(TODAY())-' car_sales_data 1'!$F2682</f>
        <v>4</v>
      </c>
    </row>
    <row r="2683" ht="15.75" customHeight="1">
      <c r="A2683" s="16">
        <v>44861.0</v>
      </c>
      <c r="B2683" s="13" t="s">
        <v>5219</v>
      </c>
      <c r="C2683" s="13" t="s">
        <v>5220</v>
      </c>
      <c r="D2683" s="13" t="s">
        <v>10</v>
      </c>
      <c r="E2683" s="13" t="s">
        <v>57</v>
      </c>
      <c r="F2683" s="13">
        <v>2020.0</v>
      </c>
      <c r="G2683" s="13">
        <v>33111.0</v>
      </c>
      <c r="H2683" s="13">
        <v>1808.39</v>
      </c>
      <c r="I2683" s="13">
        <f>' car_sales_data 1'!$G2683*0.2</f>
        <v>6622.2</v>
      </c>
      <c r="J2683" s="13" t="str">
        <f>TEXT(' car_sales_data 1'!$A2683,"mmmm")</f>
        <v>October</v>
      </c>
      <c r="K2683" s="13" t="str">
        <f>IF(' car_sales_data 1'!$G2683&gt;40000,"Premium",
 IF(' car_sales_data 1'!$G2683&gt;=20000,"Mid Range","Budget"))</f>
        <v>Mid Range</v>
      </c>
      <c r="L2683" s="13">
        <f>YEAR(TODAY())-' car_sales_data 1'!$F2683</f>
        <v>5</v>
      </c>
    </row>
    <row r="2684" ht="15.75" customHeight="1">
      <c r="A2684" s="16">
        <v>44927.0</v>
      </c>
      <c r="B2684" s="13" t="s">
        <v>5221</v>
      </c>
      <c r="C2684" s="13" t="s">
        <v>4310</v>
      </c>
      <c r="D2684" s="13" t="s">
        <v>12</v>
      </c>
      <c r="E2684" s="13" t="s">
        <v>54</v>
      </c>
      <c r="F2684" s="13">
        <v>2022.0</v>
      </c>
      <c r="G2684" s="13">
        <v>19039.0</v>
      </c>
      <c r="H2684" s="13">
        <v>1807.94</v>
      </c>
      <c r="I2684" s="13">
        <f>' car_sales_data 1'!$G2684*0.2</f>
        <v>3807.8</v>
      </c>
      <c r="J2684" s="13" t="str">
        <f>TEXT(' car_sales_data 1'!$A2684,"mmmm")</f>
        <v>January</v>
      </c>
      <c r="K2684" s="13" t="str">
        <f>IF(' car_sales_data 1'!$G2684&gt;40000,"Premium",
 IF(' car_sales_data 1'!$G2684&gt;=20000,"Mid Range","Budget"))</f>
        <v>Budget</v>
      </c>
      <c r="L2684" s="13">
        <f>YEAR(TODAY())-' car_sales_data 1'!$F2684</f>
        <v>3</v>
      </c>
    </row>
    <row r="2685" ht="15.75" customHeight="1">
      <c r="A2685" s="16">
        <v>44971.0</v>
      </c>
      <c r="B2685" s="13" t="s">
        <v>5222</v>
      </c>
      <c r="C2685" s="13" t="s">
        <v>5223</v>
      </c>
      <c r="D2685" s="13" t="s">
        <v>6</v>
      </c>
      <c r="E2685" s="13" t="s">
        <v>62</v>
      </c>
      <c r="F2685" s="13">
        <v>2017.0</v>
      </c>
      <c r="G2685" s="13">
        <v>17495.0</v>
      </c>
      <c r="H2685" s="13">
        <v>1959.93</v>
      </c>
      <c r="I2685" s="13">
        <f>' car_sales_data 1'!$G2685*0.2</f>
        <v>3499</v>
      </c>
      <c r="J2685" s="13" t="str">
        <f>TEXT(' car_sales_data 1'!$A2685,"mmmm")</f>
        <v>February</v>
      </c>
      <c r="K2685" s="13" t="str">
        <f>IF(' car_sales_data 1'!$G2685&gt;40000,"Premium",
 IF(' car_sales_data 1'!$G2685&gt;=20000,"Mid Range","Budget"))</f>
        <v>Budget</v>
      </c>
      <c r="L2685" s="13">
        <f>YEAR(TODAY())-' car_sales_data 1'!$F2685</f>
        <v>8</v>
      </c>
    </row>
    <row r="2686" ht="15.75" customHeight="1">
      <c r="A2686" s="16">
        <v>44923.0</v>
      </c>
      <c r="B2686" s="13" t="s">
        <v>5224</v>
      </c>
      <c r="C2686" s="13" t="s">
        <v>5225</v>
      </c>
      <c r="D2686" s="13" t="s">
        <v>8</v>
      </c>
      <c r="E2686" s="13" t="s">
        <v>70</v>
      </c>
      <c r="F2686" s="13">
        <v>2017.0</v>
      </c>
      <c r="G2686" s="13">
        <v>35113.0</v>
      </c>
      <c r="H2686" s="13">
        <v>4673.12</v>
      </c>
      <c r="I2686" s="13">
        <f>' car_sales_data 1'!$G2686*0.2</f>
        <v>7022.6</v>
      </c>
      <c r="J2686" s="13" t="str">
        <f>TEXT(' car_sales_data 1'!$A2686,"mmmm")</f>
        <v>December</v>
      </c>
      <c r="K2686" s="13" t="str">
        <f>IF(' car_sales_data 1'!$G2686&gt;40000,"Premium",
 IF(' car_sales_data 1'!$G2686&gt;=20000,"Mid Range","Budget"))</f>
        <v>Mid Range</v>
      </c>
      <c r="L2686" s="13">
        <f>YEAR(TODAY())-' car_sales_data 1'!$F2686</f>
        <v>8</v>
      </c>
    </row>
    <row r="2687" ht="15.75" customHeight="1">
      <c r="A2687" s="16">
        <v>44687.0</v>
      </c>
      <c r="B2687" s="13" t="s">
        <v>5226</v>
      </c>
      <c r="C2687" s="13" t="s">
        <v>5227</v>
      </c>
      <c r="D2687" s="13" t="s">
        <v>6</v>
      </c>
      <c r="E2687" s="13" t="s">
        <v>51</v>
      </c>
      <c r="F2687" s="13">
        <v>2013.0</v>
      </c>
      <c r="G2687" s="13">
        <v>26201.0</v>
      </c>
      <c r="H2687" s="13">
        <v>2365.36</v>
      </c>
      <c r="I2687" s="13">
        <f>' car_sales_data 1'!$G2687*0.2</f>
        <v>5240.2</v>
      </c>
      <c r="J2687" s="13" t="str">
        <f>TEXT(' car_sales_data 1'!$A2687,"mmmm")</f>
        <v>May</v>
      </c>
      <c r="K2687" s="13" t="str">
        <f>IF(' car_sales_data 1'!$G2687&gt;40000,"Premium",
 IF(' car_sales_data 1'!$G2687&gt;=20000,"Mid Range","Budget"))</f>
        <v>Mid Range</v>
      </c>
      <c r="L2687" s="13">
        <f>YEAR(TODAY())-' car_sales_data 1'!$F2687</f>
        <v>12</v>
      </c>
    </row>
    <row r="2688" ht="15.75" customHeight="1">
      <c r="A2688" s="16">
        <v>44755.0</v>
      </c>
      <c r="B2688" s="13" t="s">
        <v>5228</v>
      </c>
      <c r="C2688" s="13" t="s">
        <v>5229</v>
      </c>
      <c r="D2688" s="13" t="s">
        <v>10</v>
      </c>
      <c r="E2688" s="13" t="s">
        <v>54</v>
      </c>
      <c r="F2688" s="13">
        <v>2016.0</v>
      </c>
      <c r="G2688" s="13">
        <v>38727.0</v>
      </c>
      <c r="H2688" s="13">
        <v>2966.92</v>
      </c>
      <c r="I2688" s="13">
        <f>' car_sales_data 1'!$G2688*0.2</f>
        <v>7745.4</v>
      </c>
      <c r="J2688" s="13" t="str">
        <f>TEXT(' car_sales_data 1'!$A2688,"mmmm")</f>
        <v>July</v>
      </c>
      <c r="K2688" s="13" t="str">
        <f>IF(' car_sales_data 1'!$G2688&gt;40000,"Premium",
 IF(' car_sales_data 1'!$G2688&gt;=20000,"Mid Range","Budget"))</f>
        <v>Mid Range</v>
      </c>
      <c r="L2688" s="13">
        <f>YEAR(TODAY())-' car_sales_data 1'!$F2688</f>
        <v>9</v>
      </c>
    </row>
    <row r="2689" ht="15.75" customHeight="1">
      <c r="A2689" s="16">
        <v>44749.0</v>
      </c>
      <c r="B2689" s="13" t="s">
        <v>5230</v>
      </c>
      <c r="C2689" s="13" t="s">
        <v>5231</v>
      </c>
      <c r="D2689" s="13" t="s">
        <v>8</v>
      </c>
      <c r="E2689" s="13" t="s">
        <v>62</v>
      </c>
      <c r="F2689" s="13">
        <v>2020.0</v>
      </c>
      <c r="G2689" s="13">
        <v>22770.0</v>
      </c>
      <c r="H2689" s="13">
        <v>2049.25</v>
      </c>
      <c r="I2689" s="13">
        <f>' car_sales_data 1'!$G2689*0.2</f>
        <v>4554</v>
      </c>
      <c r="J2689" s="13" t="str">
        <f>TEXT(' car_sales_data 1'!$A2689,"mmmm")</f>
        <v>July</v>
      </c>
      <c r="K2689" s="13" t="str">
        <f>IF(' car_sales_data 1'!$G2689&gt;40000,"Premium",
 IF(' car_sales_data 1'!$G2689&gt;=20000,"Mid Range","Budget"))</f>
        <v>Mid Range</v>
      </c>
      <c r="L2689" s="13">
        <f>YEAR(TODAY())-' car_sales_data 1'!$F2689</f>
        <v>5</v>
      </c>
    </row>
    <row r="2690" ht="15.75" customHeight="1">
      <c r="A2690" s="16">
        <v>44723.0</v>
      </c>
      <c r="B2690" s="13" t="s">
        <v>5232</v>
      </c>
      <c r="C2690" s="13" t="s">
        <v>5233</v>
      </c>
      <c r="D2690" s="13" t="s">
        <v>12</v>
      </c>
      <c r="E2690" s="13" t="s">
        <v>70</v>
      </c>
      <c r="F2690" s="13">
        <v>2022.0</v>
      </c>
      <c r="G2690" s="13">
        <v>38017.0</v>
      </c>
      <c r="H2690" s="13">
        <v>3429.96</v>
      </c>
      <c r="I2690" s="13">
        <f>' car_sales_data 1'!$G2690*0.2</f>
        <v>7603.4</v>
      </c>
      <c r="J2690" s="13" t="str">
        <f>TEXT(' car_sales_data 1'!$A2690,"mmmm")</f>
        <v>June</v>
      </c>
      <c r="K2690" s="13" t="str">
        <f>IF(' car_sales_data 1'!$G2690&gt;40000,"Premium",
 IF(' car_sales_data 1'!$G2690&gt;=20000,"Mid Range","Budget"))</f>
        <v>Mid Range</v>
      </c>
      <c r="L2690" s="13">
        <f>YEAR(TODAY())-' car_sales_data 1'!$F2690</f>
        <v>3</v>
      </c>
    </row>
    <row r="2691" ht="15.75" customHeight="1">
      <c r="A2691" s="16">
        <v>45017.0</v>
      </c>
      <c r="B2691" s="13" t="s">
        <v>5234</v>
      </c>
      <c r="C2691" s="13" t="s">
        <v>5235</v>
      </c>
      <c r="D2691" s="13" t="s">
        <v>8</v>
      </c>
      <c r="E2691" s="13" t="s">
        <v>57</v>
      </c>
      <c r="F2691" s="13">
        <v>2017.0</v>
      </c>
      <c r="G2691" s="13">
        <v>27093.0</v>
      </c>
      <c r="H2691" s="13">
        <v>3430.03</v>
      </c>
      <c r="I2691" s="13">
        <f>' car_sales_data 1'!$G2691*0.2</f>
        <v>5418.6</v>
      </c>
      <c r="J2691" s="13" t="str">
        <f>TEXT(' car_sales_data 1'!$A2691,"mmmm")</f>
        <v>April</v>
      </c>
      <c r="K2691" s="13" t="str">
        <f>IF(' car_sales_data 1'!$G2691&gt;40000,"Premium",
 IF(' car_sales_data 1'!$G2691&gt;=20000,"Mid Range","Budget"))</f>
        <v>Mid Range</v>
      </c>
      <c r="L2691" s="13">
        <f>YEAR(TODAY())-' car_sales_data 1'!$F2691</f>
        <v>8</v>
      </c>
    </row>
    <row r="2692" ht="15.75" customHeight="1">
      <c r="A2692" s="16">
        <v>45046.0</v>
      </c>
      <c r="B2692" s="13" t="s">
        <v>5236</v>
      </c>
      <c r="C2692" s="13" t="s">
        <v>5237</v>
      </c>
      <c r="D2692" s="13" t="s">
        <v>10</v>
      </c>
      <c r="E2692" s="13" t="s">
        <v>54</v>
      </c>
      <c r="F2692" s="13">
        <v>2021.0</v>
      </c>
      <c r="G2692" s="13">
        <v>10319.0</v>
      </c>
      <c r="H2692" s="13">
        <v>935.23</v>
      </c>
      <c r="I2692" s="13">
        <f>' car_sales_data 1'!$G2692*0.2</f>
        <v>2063.8</v>
      </c>
      <c r="J2692" s="13" t="str">
        <f>TEXT(' car_sales_data 1'!$A2692,"mmmm")</f>
        <v>April</v>
      </c>
      <c r="K2692" s="13" t="str">
        <f>IF(' car_sales_data 1'!$G2692&gt;40000,"Premium",
 IF(' car_sales_data 1'!$G2692&gt;=20000,"Mid Range","Budget"))</f>
        <v>Budget</v>
      </c>
      <c r="L2692" s="13">
        <f>YEAR(TODAY())-' car_sales_data 1'!$F2692</f>
        <v>4</v>
      </c>
    </row>
    <row r="2693" ht="15.75" customHeight="1">
      <c r="A2693" s="16">
        <v>45045.0</v>
      </c>
      <c r="B2693" s="13" t="s">
        <v>5238</v>
      </c>
      <c r="C2693" s="13" t="s">
        <v>5239</v>
      </c>
      <c r="D2693" s="13" t="s">
        <v>12</v>
      </c>
      <c r="E2693" s="13" t="s">
        <v>57</v>
      </c>
      <c r="F2693" s="13">
        <v>2018.0</v>
      </c>
      <c r="G2693" s="13">
        <v>27450.0</v>
      </c>
      <c r="H2693" s="13">
        <v>2430.95</v>
      </c>
      <c r="I2693" s="13">
        <f>' car_sales_data 1'!$G2693*0.2</f>
        <v>5490</v>
      </c>
      <c r="J2693" s="13" t="str">
        <f>TEXT(' car_sales_data 1'!$A2693,"mmmm")</f>
        <v>April</v>
      </c>
      <c r="K2693" s="13" t="str">
        <f>IF(' car_sales_data 1'!$G2693&gt;40000,"Premium",
 IF(' car_sales_data 1'!$G2693&gt;=20000,"Mid Range","Budget"))</f>
        <v>Mid Range</v>
      </c>
      <c r="L2693" s="13">
        <f>YEAR(TODAY())-' car_sales_data 1'!$F2693</f>
        <v>7</v>
      </c>
    </row>
    <row r="2694" ht="15.75" customHeight="1">
      <c r="A2694" s="16">
        <v>45001.0</v>
      </c>
      <c r="B2694" s="13" t="s">
        <v>5240</v>
      </c>
      <c r="C2694" s="13" t="s">
        <v>5241</v>
      </c>
      <c r="D2694" s="13" t="s">
        <v>12</v>
      </c>
      <c r="E2694" s="13" t="s">
        <v>70</v>
      </c>
      <c r="F2694" s="13">
        <v>2011.0</v>
      </c>
      <c r="G2694" s="13">
        <v>43338.0</v>
      </c>
      <c r="H2694" s="13">
        <v>5715.67</v>
      </c>
      <c r="I2694" s="13">
        <f>' car_sales_data 1'!$G2694*0.2</f>
        <v>8667.6</v>
      </c>
      <c r="J2694" s="13" t="str">
        <f>TEXT(' car_sales_data 1'!$A2694,"mmmm")</f>
        <v>March</v>
      </c>
      <c r="K2694" s="13" t="str">
        <f>IF(' car_sales_data 1'!$G2694&gt;40000,"Premium",
 IF(' car_sales_data 1'!$G2694&gt;=20000,"Mid Range","Budget"))</f>
        <v>Premium</v>
      </c>
      <c r="L2694" s="13">
        <f>YEAR(TODAY())-' car_sales_data 1'!$F2694</f>
        <v>14</v>
      </c>
    </row>
    <row r="2695" ht="15.75" customHeight="1">
      <c r="A2695" s="16">
        <v>44706.0</v>
      </c>
      <c r="B2695" s="13" t="s">
        <v>5242</v>
      </c>
      <c r="C2695" s="13" t="s">
        <v>5243</v>
      </c>
      <c r="D2695" s="13" t="s">
        <v>6</v>
      </c>
      <c r="E2695" s="13" t="s">
        <v>62</v>
      </c>
      <c r="F2695" s="13">
        <v>2014.0</v>
      </c>
      <c r="G2695" s="13">
        <v>41353.0</v>
      </c>
      <c r="H2695" s="13">
        <v>2288.08</v>
      </c>
      <c r="I2695" s="13">
        <f>' car_sales_data 1'!$G2695*0.2</f>
        <v>8270.6</v>
      </c>
      <c r="J2695" s="13" t="str">
        <f>TEXT(' car_sales_data 1'!$A2695,"mmmm")</f>
        <v>May</v>
      </c>
      <c r="K2695" s="13" t="str">
        <f>IF(' car_sales_data 1'!$G2695&gt;40000,"Premium",
 IF(' car_sales_data 1'!$G2695&gt;=20000,"Mid Range","Budget"))</f>
        <v>Premium</v>
      </c>
      <c r="L2695" s="13">
        <f>YEAR(TODAY())-' car_sales_data 1'!$F2695</f>
        <v>11</v>
      </c>
    </row>
    <row r="2696" ht="15.75" customHeight="1">
      <c r="A2696" s="16">
        <v>44878.0</v>
      </c>
      <c r="B2696" s="13" t="s">
        <v>5244</v>
      </c>
      <c r="C2696" s="13" t="s">
        <v>5245</v>
      </c>
      <c r="D2696" s="13" t="s">
        <v>14</v>
      </c>
      <c r="E2696" s="13" t="s">
        <v>70</v>
      </c>
      <c r="F2696" s="13">
        <v>2020.0</v>
      </c>
      <c r="G2696" s="13">
        <v>34129.0</v>
      </c>
      <c r="H2696" s="13">
        <v>2289.11</v>
      </c>
      <c r="I2696" s="13">
        <f>' car_sales_data 1'!$G2696*0.2</f>
        <v>6825.8</v>
      </c>
      <c r="J2696" s="13" t="str">
        <f>TEXT(' car_sales_data 1'!$A2696,"mmmm")</f>
        <v>November</v>
      </c>
      <c r="K2696" s="13" t="str">
        <f>IF(' car_sales_data 1'!$G2696&gt;40000,"Premium",
 IF(' car_sales_data 1'!$G2696&gt;=20000,"Mid Range","Budget"))</f>
        <v>Mid Range</v>
      </c>
      <c r="L2696" s="13">
        <f>YEAR(TODAY())-' car_sales_data 1'!$F2696</f>
        <v>5</v>
      </c>
    </row>
    <row r="2697" ht="15.75" customHeight="1">
      <c r="A2697" s="16">
        <v>44952.0</v>
      </c>
      <c r="B2697" s="13" t="s">
        <v>5246</v>
      </c>
      <c r="C2697" s="13" t="s">
        <v>5247</v>
      </c>
      <c r="D2697" s="13" t="s">
        <v>14</v>
      </c>
      <c r="E2697" s="13" t="s">
        <v>70</v>
      </c>
      <c r="F2697" s="13">
        <v>2015.0</v>
      </c>
      <c r="G2697" s="13">
        <v>22328.0</v>
      </c>
      <c r="H2697" s="13">
        <v>2201.74</v>
      </c>
      <c r="I2697" s="13">
        <f>' car_sales_data 1'!$G2697*0.2</f>
        <v>4465.6</v>
      </c>
      <c r="J2697" s="13" t="str">
        <f>TEXT(' car_sales_data 1'!$A2697,"mmmm")</f>
        <v>January</v>
      </c>
      <c r="K2697" s="13" t="str">
        <f>IF(' car_sales_data 1'!$G2697&gt;40000,"Premium",
 IF(' car_sales_data 1'!$G2697&gt;=20000,"Mid Range","Budget"))</f>
        <v>Mid Range</v>
      </c>
      <c r="L2697" s="13">
        <f>YEAR(TODAY())-' car_sales_data 1'!$F2697</f>
        <v>10</v>
      </c>
    </row>
    <row r="2698" ht="15.75" customHeight="1">
      <c r="A2698" s="16">
        <v>44707.0</v>
      </c>
      <c r="B2698" s="13" t="s">
        <v>5248</v>
      </c>
      <c r="C2698" s="13" t="s">
        <v>5249</v>
      </c>
      <c r="D2698" s="13" t="s">
        <v>6</v>
      </c>
      <c r="E2698" s="13" t="s">
        <v>62</v>
      </c>
      <c r="F2698" s="13">
        <v>2015.0</v>
      </c>
      <c r="G2698" s="13">
        <v>40277.0</v>
      </c>
      <c r="H2698" s="13">
        <v>5986.9</v>
      </c>
      <c r="I2698" s="13">
        <f>' car_sales_data 1'!$G2698*0.2</f>
        <v>8055.4</v>
      </c>
      <c r="J2698" s="13" t="str">
        <f>TEXT(' car_sales_data 1'!$A2698,"mmmm")</f>
        <v>May</v>
      </c>
      <c r="K2698" s="13" t="str">
        <f>IF(' car_sales_data 1'!$G2698&gt;40000,"Premium",
 IF(' car_sales_data 1'!$G2698&gt;=20000,"Mid Range","Budget"))</f>
        <v>Premium</v>
      </c>
      <c r="L2698" s="13">
        <f>YEAR(TODAY())-' car_sales_data 1'!$F2698</f>
        <v>10</v>
      </c>
    </row>
    <row r="2699" ht="15.75" customHeight="1">
      <c r="A2699" s="16">
        <v>44817.0</v>
      </c>
      <c r="B2699" s="13" t="s">
        <v>5250</v>
      </c>
      <c r="C2699" s="13" t="s">
        <v>5251</v>
      </c>
      <c r="D2699" s="13" t="s">
        <v>8</v>
      </c>
      <c r="E2699" s="13" t="s">
        <v>51</v>
      </c>
      <c r="F2699" s="13">
        <v>2019.0</v>
      </c>
      <c r="G2699" s="13">
        <v>24391.0</v>
      </c>
      <c r="H2699" s="13">
        <v>1288.66</v>
      </c>
      <c r="I2699" s="13">
        <f>' car_sales_data 1'!$G2699*0.2</f>
        <v>4878.2</v>
      </c>
      <c r="J2699" s="13" t="str">
        <f>TEXT(' car_sales_data 1'!$A2699,"mmmm")</f>
        <v>September</v>
      </c>
      <c r="K2699" s="13" t="str">
        <f>IF(' car_sales_data 1'!$G2699&gt;40000,"Premium",
 IF(' car_sales_data 1'!$G2699&gt;=20000,"Mid Range","Budget"))</f>
        <v>Mid Range</v>
      </c>
      <c r="L2699" s="13">
        <f>YEAR(TODAY())-' car_sales_data 1'!$F2699</f>
        <v>6</v>
      </c>
    </row>
    <row r="2700" ht="15.75" customHeight="1">
      <c r="A2700" s="16">
        <v>44696.0</v>
      </c>
      <c r="B2700" s="13" t="s">
        <v>5252</v>
      </c>
      <c r="C2700" s="13" t="s">
        <v>5253</v>
      </c>
      <c r="D2700" s="13" t="s">
        <v>6</v>
      </c>
      <c r="E2700" s="13" t="s">
        <v>70</v>
      </c>
      <c r="F2700" s="13">
        <v>2010.0</v>
      </c>
      <c r="G2700" s="13">
        <v>21118.0</v>
      </c>
      <c r="H2700" s="13">
        <v>3154.07</v>
      </c>
      <c r="I2700" s="13">
        <f>' car_sales_data 1'!$G2700*0.2</f>
        <v>4223.6</v>
      </c>
      <c r="J2700" s="13" t="str">
        <f>TEXT(' car_sales_data 1'!$A2700,"mmmm")</f>
        <v>May</v>
      </c>
      <c r="K2700" s="13" t="str">
        <f>IF(' car_sales_data 1'!$G2700&gt;40000,"Premium",
 IF(' car_sales_data 1'!$G2700&gt;=20000,"Mid Range","Budget"))</f>
        <v>Mid Range</v>
      </c>
      <c r="L2700" s="13">
        <f>YEAR(TODAY())-' car_sales_data 1'!$F2700</f>
        <v>15</v>
      </c>
    </row>
    <row r="2701" ht="15.75" customHeight="1">
      <c r="A2701" s="16">
        <v>44969.0</v>
      </c>
      <c r="B2701" s="13" t="s">
        <v>5254</v>
      </c>
      <c r="C2701" s="13" t="s">
        <v>5255</v>
      </c>
      <c r="D2701" s="13" t="s">
        <v>8</v>
      </c>
      <c r="E2701" s="13" t="s">
        <v>62</v>
      </c>
      <c r="F2701" s="13">
        <v>2019.0</v>
      </c>
      <c r="G2701" s="13">
        <v>13428.0</v>
      </c>
      <c r="H2701" s="13">
        <v>709.1</v>
      </c>
      <c r="I2701" s="13">
        <f>' car_sales_data 1'!$G2701*0.2</f>
        <v>2685.6</v>
      </c>
      <c r="J2701" s="13" t="str">
        <f>TEXT(' car_sales_data 1'!$A2701,"mmmm")</f>
        <v>February</v>
      </c>
      <c r="K2701" s="13" t="str">
        <f>IF(' car_sales_data 1'!$G2701&gt;40000,"Premium",
 IF(' car_sales_data 1'!$G2701&gt;=20000,"Mid Range","Budget"))</f>
        <v>Budget</v>
      </c>
      <c r="L2701" s="13">
        <f>YEAR(TODAY())-' car_sales_data 1'!$F2701</f>
        <v>6</v>
      </c>
    </row>
    <row r="2702" ht="15.75" customHeight="1">
      <c r="A2702" s="16">
        <v>44682.0</v>
      </c>
      <c r="B2702" s="13" t="s">
        <v>5256</v>
      </c>
      <c r="C2702" s="13" t="s">
        <v>89</v>
      </c>
      <c r="D2702" s="13" t="s">
        <v>6</v>
      </c>
      <c r="E2702" s="13" t="s">
        <v>57</v>
      </c>
      <c r="F2702" s="13">
        <v>2013.0</v>
      </c>
      <c r="G2702" s="13">
        <v>20592.0</v>
      </c>
      <c r="H2702" s="13">
        <v>1371.77</v>
      </c>
      <c r="I2702" s="13">
        <f>' car_sales_data 1'!$G2702*0.2</f>
        <v>4118.4</v>
      </c>
      <c r="J2702" s="13" t="str">
        <f>TEXT(' car_sales_data 1'!$A2702,"mmmm")</f>
        <v>May</v>
      </c>
      <c r="K2702" s="13" t="str">
        <f>IF(' car_sales_data 1'!$G2702&gt;40000,"Premium",
 IF(' car_sales_data 1'!$G2702&gt;=20000,"Mid Range","Budget"))</f>
        <v>Mid Range</v>
      </c>
      <c r="L2702" s="13">
        <f>YEAR(TODAY())-' car_sales_data 1'!$F2702</f>
        <v>12</v>
      </c>
    </row>
    <row r="2703" ht="15.75" customHeight="1">
      <c r="A2703" s="16">
        <v>44749.0</v>
      </c>
      <c r="B2703" s="13" t="s">
        <v>5257</v>
      </c>
      <c r="C2703" s="13" t="s">
        <v>5258</v>
      </c>
      <c r="D2703" s="13" t="s">
        <v>8</v>
      </c>
      <c r="E2703" s="13" t="s">
        <v>62</v>
      </c>
      <c r="F2703" s="13">
        <v>2012.0</v>
      </c>
      <c r="G2703" s="13">
        <v>23153.0</v>
      </c>
      <c r="H2703" s="13">
        <v>2522.76</v>
      </c>
      <c r="I2703" s="13">
        <f>' car_sales_data 1'!$G2703*0.2</f>
        <v>4630.6</v>
      </c>
      <c r="J2703" s="13" t="str">
        <f>TEXT(' car_sales_data 1'!$A2703,"mmmm")</f>
        <v>July</v>
      </c>
      <c r="K2703" s="13" t="str">
        <f>IF(' car_sales_data 1'!$G2703&gt;40000,"Premium",
 IF(' car_sales_data 1'!$G2703&gt;=20000,"Mid Range","Budget"))</f>
        <v>Mid Range</v>
      </c>
      <c r="L2703" s="13">
        <f>YEAR(TODAY())-' car_sales_data 1'!$F2703</f>
        <v>13</v>
      </c>
    </row>
    <row r="2704" ht="15.75" customHeight="1">
      <c r="A2704" s="16">
        <v>44931.0</v>
      </c>
      <c r="B2704" s="13" t="s">
        <v>5259</v>
      </c>
      <c r="C2704" s="13" t="s">
        <v>5260</v>
      </c>
      <c r="D2704" s="13" t="s">
        <v>6</v>
      </c>
      <c r="E2704" s="13" t="s">
        <v>62</v>
      </c>
      <c r="F2704" s="13">
        <v>2014.0</v>
      </c>
      <c r="G2704" s="13">
        <v>28949.0</v>
      </c>
      <c r="H2704" s="13">
        <v>3104.98</v>
      </c>
      <c r="I2704" s="13">
        <f>' car_sales_data 1'!$G2704*0.2</f>
        <v>5789.8</v>
      </c>
      <c r="J2704" s="13" t="str">
        <f>TEXT(' car_sales_data 1'!$A2704,"mmmm")</f>
        <v>January</v>
      </c>
      <c r="K2704" s="13" t="str">
        <f>IF(' car_sales_data 1'!$G2704&gt;40000,"Premium",
 IF(' car_sales_data 1'!$G2704&gt;=20000,"Mid Range","Budget"))</f>
        <v>Mid Range</v>
      </c>
      <c r="L2704" s="13">
        <f>YEAR(TODAY())-' car_sales_data 1'!$F2704</f>
        <v>11</v>
      </c>
    </row>
    <row r="2705" ht="15.75" customHeight="1">
      <c r="A2705" s="16">
        <v>44904.0</v>
      </c>
      <c r="B2705" s="13" t="s">
        <v>5261</v>
      </c>
      <c r="C2705" s="13" t="s">
        <v>5262</v>
      </c>
      <c r="D2705" s="13" t="s">
        <v>14</v>
      </c>
      <c r="E2705" s="13" t="s">
        <v>54</v>
      </c>
      <c r="F2705" s="13">
        <v>2022.0</v>
      </c>
      <c r="G2705" s="13">
        <v>28950.0</v>
      </c>
      <c r="H2705" s="13">
        <v>2550.72</v>
      </c>
      <c r="I2705" s="13">
        <f>' car_sales_data 1'!$G2705*0.2</f>
        <v>5790</v>
      </c>
      <c r="J2705" s="13" t="str">
        <f>TEXT(' car_sales_data 1'!$A2705,"mmmm")</f>
        <v>December</v>
      </c>
      <c r="K2705" s="13" t="str">
        <f>IF(' car_sales_data 1'!$G2705&gt;40000,"Premium",
 IF(' car_sales_data 1'!$G2705&gt;=20000,"Mid Range","Budget"))</f>
        <v>Mid Range</v>
      </c>
      <c r="L2705" s="13">
        <f>YEAR(TODAY())-' car_sales_data 1'!$F2705</f>
        <v>3</v>
      </c>
    </row>
    <row r="2706" ht="15.75" customHeight="1">
      <c r="A2706" s="16">
        <v>44820.0</v>
      </c>
      <c r="B2706" s="13" t="s">
        <v>5263</v>
      </c>
      <c r="C2706" s="13" t="s">
        <v>5264</v>
      </c>
      <c r="D2706" s="13" t="s">
        <v>8</v>
      </c>
      <c r="E2706" s="13" t="s">
        <v>57</v>
      </c>
      <c r="F2706" s="13">
        <v>2021.0</v>
      </c>
      <c r="G2706" s="13">
        <v>41896.0</v>
      </c>
      <c r="H2706" s="13">
        <v>2354.47</v>
      </c>
      <c r="I2706" s="13">
        <f>' car_sales_data 1'!$G2706*0.2</f>
        <v>8379.2</v>
      </c>
      <c r="J2706" s="13" t="str">
        <f>TEXT(' car_sales_data 1'!$A2706,"mmmm")</f>
        <v>September</v>
      </c>
      <c r="K2706" s="13" t="str">
        <f>IF(' car_sales_data 1'!$G2706&gt;40000,"Premium",
 IF(' car_sales_data 1'!$G2706&gt;=20000,"Mid Range","Budget"))</f>
        <v>Premium</v>
      </c>
      <c r="L2706" s="13">
        <f>YEAR(TODAY())-' car_sales_data 1'!$F2706</f>
        <v>4</v>
      </c>
    </row>
    <row r="2707" ht="15.75" customHeight="1">
      <c r="A2707" s="16">
        <v>44748.0</v>
      </c>
      <c r="B2707" s="13" t="s">
        <v>5265</v>
      </c>
      <c r="C2707" s="13" t="s">
        <v>5266</v>
      </c>
      <c r="D2707" s="13" t="s">
        <v>8</v>
      </c>
      <c r="E2707" s="13" t="s">
        <v>57</v>
      </c>
      <c r="F2707" s="13">
        <v>2018.0</v>
      </c>
      <c r="G2707" s="13">
        <v>32674.0</v>
      </c>
      <c r="H2707" s="13">
        <v>4489.86</v>
      </c>
      <c r="I2707" s="13">
        <f>' car_sales_data 1'!$G2707*0.2</f>
        <v>6534.8</v>
      </c>
      <c r="J2707" s="13" t="str">
        <f>TEXT(' car_sales_data 1'!$A2707,"mmmm")</f>
        <v>July</v>
      </c>
      <c r="K2707" s="13" t="str">
        <f>IF(' car_sales_data 1'!$G2707&gt;40000,"Premium",
 IF(' car_sales_data 1'!$G2707&gt;=20000,"Mid Range","Budget"))</f>
        <v>Mid Range</v>
      </c>
      <c r="L2707" s="13">
        <f>YEAR(TODAY())-' car_sales_data 1'!$F2707</f>
        <v>7</v>
      </c>
    </row>
    <row r="2708" ht="15.75" customHeight="1">
      <c r="A2708" s="16">
        <v>44796.0</v>
      </c>
      <c r="B2708" s="13" t="s">
        <v>5267</v>
      </c>
      <c r="C2708" s="13" t="s">
        <v>5268</v>
      </c>
      <c r="D2708" s="13" t="s">
        <v>10</v>
      </c>
      <c r="E2708" s="13" t="s">
        <v>70</v>
      </c>
      <c r="F2708" s="13">
        <v>2016.0</v>
      </c>
      <c r="G2708" s="13">
        <v>33373.0</v>
      </c>
      <c r="H2708" s="13">
        <v>2595.33</v>
      </c>
      <c r="I2708" s="13">
        <f>' car_sales_data 1'!$G2708*0.2</f>
        <v>6674.6</v>
      </c>
      <c r="J2708" s="13" t="str">
        <f>TEXT(' car_sales_data 1'!$A2708,"mmmm")</f>
        <v>August</v>
      </c>
      <c r="K2708" s="13" t="str">
        <f>IF(' car_sales_data 1'!$G2708&gt;40000,"Premium",
 IF(' car_sales_data 1'!$G2708&gt;=20000,"Mid Range","Budget"))</f>
        <v>Mid Range</v>
      </c>
      <c r="L2708" s="13">
        <f>YEAR(TODAY())-' car_sales_data 1'!$F2708</f>
        <v>9</v>
      </c>
    </row>
    <row r="2709" ht="15.75" customHeight="1">
      <c r="A2709" s="16">
        <v>44890.0</v>
      </c>
      <c r="B2709" s="13" t="s">
        <v>5269</v>
      </c>
      <c r="C2709" s="13" t="s">
        <v>5270</v>
      </c>
      <c r="D2709" s="13" t="s">
        <v>10</v>
      </c>
      <c r="E2709" s="13" t="s">
        <v>62</v>
      </c>
      <c r="F2709" s="13">
        <v>2022.0</v>
      </c>
      <c r="G2709" s="13">
        <v>35388.0</v>
      </c>
      <c r="H2709" s="13">
        <v>2395.53</v>
      </c>
      <c r="I2709" s="13">
        <f>' car_sales_data 1'!$G2709*0.2</f>
        <v>7077.6</v>
      </c>
      <c r="J2709" s="13" t="str">
        <f>TEXT(' car_sales_data 1'!$A2709,"mmmm")</f>
        <v>November</v>
      </c>
      <c r="K2709" s="13" t="str">
        <f>IF(' car_sales_data 1'!$G2709&gt;40000,"Premium",
 IF(' car_sales_data 1'!$G2709&gt;=20000,"Mid Range","Budget"))</f>
        <v>Mid Range</v>
      </c>
      <c r="L2709" s="13">
        <f>YEAR(TODAY())-' car_sales_data 1'!$F2709</f>
        <v>3</v>
      </c>
    </row>
    <row r="2710" ht="15.75" customHeight="1">
      <c r="A2710" s="16">
        <v>44894.0</v>
      </c>
      <c r="B2710" s="13" t="s">
        <v>5271</v>
      </c>
      <c r="C2710" s="13" t="s">
        <v>5272</v>
      </c>
      <c r="D2710" s="13" t="s">
        <v>12</v>
      </c>
      <c r="E2710" s="13" t="s">
        <v>51</v>
      </c>
      <c r="F2710" s="13">
        <v>2012.0</v>
      </c>
      <c r="G2710" s="13">
        <v>46340.0</v>
      </c>
      <c r="H2710" s="13">
        <v>6199.64</v>
      </c>
      <c r="I2710" s="13">
        <f>' car_sales_data 1'!$G2710*0.2</f>
        <v>9268</v>
      </c>
      <c r="J2710" s="13" t="str">
        <f>TEXT(' car_sales_data 1'!$A2710,"mmmm")</f>
        <v>November</v>
      </c>
      <c r="K2710" s="13" t="str">
        <f>IF(' car_sales_data 1'!$G2710&gt;40000,"Premium",
 IF(' car_sales_data 1'!$G2710&gt;=20000,"Mid Range","Budget"))</f>
        <v>Premium</v>
      </c>
      <c r="L2710" s="13">
        <f>YEAR(TODAY())-' car_sales_data 1'!$F2710</f>
        <v>13</v>
      </c>
    </row>
    <row r="2711" ht="15.75" customHeight="1">
      <c r="A2711" s="16">
        <v>45018.0</v>
      </c>
      <c r="B2711" s="13" t="s">
        <v>5273</v>
      </c>
      <c r="C2711" s="13" t="s">
        <v>5274</v>
      </c>
      <c r="D2711" s="13" t="s">
        <v>8</v>
      </c>
      <c r="E2711" s="13" t="s">
        <v>70</v>
      </c>
      <c r="F2711" s="13">
        <v>2015.0</v>
      </c>
      <c r="G2711" s="13">
        <v>34970.0</v>
      </c>
      <c r="H2711" s="13">
        <v>2487.2</v>
      </c>
      <c r="I2711" s="13">
        <f>' car_sales_data 1'!$G2711*0.2</f>
        <v>6994</v>
      </c>
      <c r="J2711" s="13" t="str">
        <f>TEXT(' car_sales_data 1'!$A2711,"mmmm")</f>
        <v>April</v>
      </c>
      <c r="K2711" s="13" t="str">
        <f>IF(' car_sales_data 1'!$G2711&gt;40000,"Premium",
 IF(' car_sales_data 1'!$G2711&gt;=20000,"Mid Range","Budget"))</f>
        <v>Mid Range</v>
      </c>
      <c r="L2711" s="13">
        <f>YEAR(TODAY())-' car_sales_data 1'!$F2711</f>
        <v>10</v>
      </c>
    </row>
    <row r="2712" ht="15.75" customHeight="1">
      <c r="A2712" s="16">
        <v>44970.0</v>
      </c>
      <c r="B2712" s="13" t="s">
        <v>5275</v>
      </c>
      <c r="C2712" s="13" t="s">
        <v>5276</v>
      </c>
      <c r="D2712" s="13" t="s">
        <v>14</v>
      </c>
      <c r="E2712" s="13" t="s">
        <v>62</v>
      </c>
      <c r="F2712" s="13">
        <v>2019.0</v>
      </c>
      <c r="G2712" s="13">
        <v>28858.0</v>
      </c>
      <c r="H2712" s="13">
        <v>3886.95</v>
      </c>
      <c r="I2712" s="13">
        <f>' car_sales_data 1'!$G2712*0.2</f>
        <v>5771.6</v>
      </c>
      <c r="J2712" s="13" t="str">
        <f>TEXT(' car_sales_data 1'!$A2712,"mmmm")</f>
        <v>February</v>
      </c>
      <c r="K2712" s="13" t="str">
        <f>IF(' car_sales_data 1'!$G2712&gt;40000,"Premium",
 IF(' car_sales_data 1'!$G2712&gt;=20000,"Mid Range","Budget"))</f>
        <v>Mid Range</v>
      </c>
      <c r="L2712" s="13">
        <f>YEAR(TODAY())-' car_sales_data 1'!$F2712</f>
        <v>6</v>
      </c>
    </row>
    <row r="2713" ht="15.75" customHeight="1">
      <c r="A2713" s="16">
        <v>44819.0</v>
      </c>
      <c r="B2713" s="13" t="s">
        <v>5277</v>
      </c>
      <c r="C2713" s="13" t="s">
        <v>5278</v>
      </c>
      <c r="D2713" s="13" t="s">
        <v>6</v>
      </c>
      <c r="E2713" s="13" t="s">
        <v>70</v>
      </c>
      <c r="F2713" s="13">
        <v>2021.0</v>
      </c>
      <c r="G2713" s="13">
        <v>16041.0</v>
      </c>
      <c r="H2713" s="13">
        <v>2143.39</v>
      </c>
      <c r="I2713" s="13">
        <f>' car_sales_data 1'!$G2713*0.2</f>
        <v>3208.2</v>
      </c>
      <c r="J2713" s="13" t="str">
        <f>TEXT(' car_sales_data 1'!$A2713,"mmmm")</f>
        <v>September</v>
      </c>
      <c r="K2713" s="13" t="str">
        <f>IF(' car_sales_data 1'!$G2713&gt;40000,"Premium",
 IF(' car_sales_data 1'!$G2713&gt;=20000,"Mid Range","Budget"))</f>
        <v>Budget</v>
      </c>
      <c r="L2713" s="13">
        <f>YEAR(TODAY())-' car_sales_data 1'!$F2713</f>
        <v>4</v>
      </c>
    </row>
    <row r="2714" ht="15.75" customHeight="1">
      <c r="A2714" s="16">
        <v>44880.0</v>
      </c>
      <c r="B2714" s="13" t="s">
        <v>5279</v>
      </c>
      <c r="C2714" s="13" t="s">
        <v>5280</v>
      </c>
      <c r="D2714" s="13" t="s">
        <v>12</v>
      </c>
      <c r="E2714" s="13" t="s">
        <v>57</v>
      </c>
      <c r="F2714" s="13">
        <v>2012.0</v>
      </c>
      <c r="G2714" s="13">
        <v>15087.0</v>
      </c>
      <c r="H2714" s="13">
        <v>2122.73</v>
      </c>
      <c r="I2714" s="13">
        <f>' car_sales_data 1'!$G2714*0.2</f>
        <v>3017.4</v>
      </c>
      <c r="J2714" s="13" t="str">
        <f>TEXT(' car_sales_data 1'!$A2714,"mmmm")</f>
        <v>November</v>
      </c>
      <c r="K2714" s="13" t="str">
        <f>IF(' car_sales_data 1'!$G2714&gt;40000,"Premium",
 IF(' car_sales_data 1'!$G2714&gt;=20000,"Mid Range","Budget"))</f>
        <v>Budget</v>
      </c>
      <c r="L2714" s="13">
        <f>YEAR(TODAY())-' car_sales_data 1'!$F2714</f>
        <v>13</v>
      </c>
    </row>
    <row r="2715" ht="15.75" customHeight="1">
      <c r="A2715" s="16">
        <v>44794.0</v>
      </c>
      <c r="B2715" s="13" t="s">
        <v>4896</v>
      </c>
      <c r="C2715" s="13" t="s">
        <v>5281</v>
      </c>
      <c r="D2715" s="13" t="s">
        <v>6</v>
      </c>
      <c r="E2715" s="13" t="s">
        <v>51</v>
      </c>
      <c r="F2715" s="13">
        <v>2015.0</v>
      </c>
      <c r="G2715" s="13">
        <v>30503.0</v>
      </c>
      <c r="H2715" s="13">
        <v>1879.11</v>
      </c>
      <c r="I2715" s="13">
        <f>' car_sales_data 1'!$G2715*0.2</f>
        <v>6100.6</v>
      </c>
      <c r="J2715" s="13" t="str">
        <f>TEXT(' car_sales_data 1'!$A2715,"mmmm")</f>
        <v>August</v>
      </c>
      <c r="K2715" s="13" t="str">
        <f>IF(' car_sales_data 1'!$G2715&gt;40000,"Premium",
 IF(' car_sales_data 1'!$G2715&gt;=20000,"Mid Range","Budget"))</f>
        <v>Mid Range</v>
      </c>
      <c r="L2715" s="13">
        <f>YEAR(TODAY())-' car_sales_data 1'!$F2715</f>
        <v>10</v>
      </c>
    </row>
    <row r="2716" ht="15.75" customHeight="1">
      <c r="A2716" s="16">
        <v>44910.0</v>
      </c>
      <c r="B2716" s="13" t="s">
        <v>5282</v>
      </c>
      <c r="C2716" s="13" t="s">
        <v>3026</v>
      </c>
      <c r="D2716" s="13" t="s">
        <v>10</v>
      </c>
      <c r="E2716" s="13" t="s">
        <v>70</v>
      </c>
      <c r="F2716" s="13">
        <v>2020.0</v>
      </c>
      <c r="G2716" s="13">
        <v>40993.0</v>
      </c>
      <c r="H2716" s="13">
        <v>2402.2</v>
      </c>
      <c r="I2716" s="13">
        <f>' car_sales_data 1'!$G2716*0.2</f>
        <v>8198.6</v>
      </c>
      <c r="J2716" s="13" t="str">
        <f>TEXT(' car_sales_data 1'!$A2716,"mmmm")</f>
        <v>December</v>
      </c>
      <c r="K2716" s="13" t="str">
        <f>IF(' car_sales_data 1'!$G2716&gt;40000,"Premium",
 IF(' car_sales_data 1'!$G2716&gt;=20000,"Mid Range","Budget"))</f>
        <v>Premium</v>
      </c>
      <c r="L2716" s="13">
        <f>YEAR(TODAY())-' car_sales_data 1'!$F2716</f>
        <v>5</v>
      </c>
    </row>
    <row r="2717" ht="15.75" customHeight="1">
      <c r="A2717" s="16">
        <v>44933.0</v>
      </c>
      <c r="B2717" s="13" t="s">
        <v>5283</v>
      </c>
      <c r="C2717" s="13" t="s">
        <v>5284</v>
      </c>
      <c r="D2717" s="13" t="s">
        <v>8</v>
      </c>
      <c r="E2717" s="13" t="s">
        <v>57</v>
      </c>
      <c r="F2717" s="13">
        <v>2015.0</v>
      </c>
      <c r="G2717" s="13">
        <v>10569.0</v>
      </c>
      <c r="H2717" s="13">
        <v>872.36</v>
      </c>
      <c r="I2717" s="13">
        <f>' car_sales_data 1'!$G2717*0.2</f>
        <v>2113.8</v>
      </c>
      <c r="J2717" s="13" t="str">
        <f>TEXT(' car_sales_data 1'!$A2717,"mmmm")</f>
        <v>January</v>
      </c>
      <c r="K2717" s="13" t="str">
        <f>IF(' car_sales_data 1'!$G2717&gt;40000,"Premium",
 IF(' car_sales_data 1'!$G2717&gt;=20000,"Mid Range","Budget"))</f>
        <v>Budget</v>
      </c>
      <c r="L2717" s="13">
        <f>YEAR(TODAY())-' car_sales_data 1'!$F2717</f>
        <v>10</v>
      </c>
    </row>
    <row r="2718" ht="15.75" customHeight="1">
      <c r="A2718" s="16">
        <v>44931.0</v>
      </c>
      <c r="B2718" s="13" t="s">
        <v>5285</v>
      </c>
      <c r="C2718" s="13" t="s">
        <v>5286</v>
      </c>
      <c r="D2718" s="13" t="s">
        <v>14</v>
      </c>
      <c r="E2718" s="13" t="s">
        <v>51</v>
      </c>
      <c r="F2718" s="13">
        <v>2018.0</v>
      </c>
      <c r="G2718" s="13">
        <v>24515.0</v>
      </c>
      <c r="H2718" s="13">
        <v>2044.83</v>
      </c>
      <c r="I2718" s="13">
        <f>' car_sales_data 1'!$G2718*0.2</f>
        <v>4903</v>
      </c>
      <c r="J2718" s="13" t="str">
        <f>TEXT(' car_sales_data 1'!$A2718,"mmmm")</f>
        <v>January</v>
      </c>
      <c r="K2718" s="13" t="str">
        <f>IF(' car_sales_data 1'!$G2718&gt;40000,"Premium",
 IF(' car_sales_data 1'!$G2718&gt;=20000,"Mid Range","Budget"))</f>
        <v>Mid Range</v>
      </c>
      <c r="L2718" s="13">
        <f>YEAR(TODAY())-' car_sales_data 1'!$F2718</f>
        <v>7</v>
      </c>
    </row>
    <row r="2719" ht="15.75" customHeight="1">
      <c r="A2719" s="16">
        <v>44798.0</v>
      </c>
      <c r="B2719" s="13" t="s">
        <v>5287</v>
      </c>
      <c r="C2719" s="13" t="s">
        <v>5288</v>
      </c>
      <c r="D2719" s="13" t="s">
        <v>10</v>
      </c>
      <c r="E2719" s="13" t="s">
        <v>51</v>
      </c>
      <c r="F2719" s="13">
        <v>2011.0</v>
      </c>
      <c r="G2719" s="13">
        <v>22388.0</v>
      </c>
      <c r="H2719" s="13">
        <v>2855.98</v>
      </c>
      <c r="I2719" s="13">
        <f>' car_sales_data 1'!$G2719*0.2</f>
        <v>4477.6</v>
      </c>
      <c r="J2719" s="13" t="str">
        <f>TEXT(' car_sales_data 1'!$A2719,"mmmm")</f>
        <v>August</v>
      </c>
      <c r="K2719" s="13" t="str">
        <f>IF(' car_sales_data 1'!$G2719&gt;40000,"Premium",
 IF(' car_sales_data 1'!$G2719&gt;=20000,"Mid Range","Budget"))</f>
        <v>Mid Range</v>
      </c>
      <c r="L2719" s="13">
        <f>YEAR(TODAY())-' car_sales_data 1'!$F2719</f>
        <v>14</v>
      </c>
    </row>
    <row r="2720" ht="15.75" customHeight="1">
      <c r="A2720" s="16">
        <v>44822.0</v>
      </c>
      <c r="B2720" s="13" t="s">
        <v>5289</v>
      </c>
      <c r="C2720" s="13" t="s">
        <v>5290</v>
      </c>
      <c r="D2720" s="13" t="s">
        <v>6</v>
      </c>
      <c r="E2720" s="13" t="s">
        <v>70</v>
      </c>
      <c r="F2720" s="13">
        <v>2014.0</v>
      </c>
      <c r="G2720" s="13">
        <v>48556.0</v>
      </c>
      <c r="H2720" s="13">
        <v>4347.42</v>
      </c>
      <c r="I2720" s="13">
        <f>' car_sales_data 1'!$G2720*0.2</f>
        <v>9711.2</v>
      </c>
      <c r="J2720" s="13" t="str">
        <f>TEXT(' car_sales_data 1'!$A2720,"mmmm")</f>
        <v>September</v>
      </c>
      <c r="K2720" s="13" t="str">
        <f>IF(' car_sales_data 1'!$G2720&gt;40000,"Premium",
 IF(' car_sales_data 1'!$G2720&gt;=20000,"Mid Range","Budget"))</f>
        <v>Premium</v>
      </c>
      <c r="L2720" s="13">
        <f>YEAR(TODAY())-' car_sales_data 1'!$F2720</f>
        <v>11</v>
      </c>
    </row>
    <row r="2721" ht="15.75" customHeight="1">
      <c r="A2721" s="16">
        <v>44997.0</v>
      </c>
      <c r="B2721" s="13" t="s">
        <v>5291</v>
      </c>
      <c r="C2721" s="13" t="s">
        <v>5292</v>
      </c>
      <c r="D2721" s="13" t="s">
        <v>12</v>
      </c>
      <c r="E2721" s="13" t="s">
        <v>62</v>
      </c>
      <c r="F2721" s="13">
        <v>2011.0</v>
      </c>
      <c r="G2721" s="13">
        <v>28045.0</v>
      </c>
      <c r="H2721" s="13">
        <v>3533.45</v>
      </c>
      <c r="I2721" s="13">
        <f>' car_sales_data 1'!$G2721*0.2</f>
        <v>5609</v>
      </c>
      <c r="J2721" s="13" t="str">
        <f>TEXT(' car_sales_data 1'!$A2721,"mmmm")</f>
        <v>March</v>
      </c>
      <c r="K2721" s="13" t="str">
        <f>IF(' car_sales_data 1'!$G2721&gt;40000,"Premium",
 IF(' car_sales_data 1'!$G2721&gt;=20000,"Mid Range","Budget"))</f>
        <v>Mid Range</v>
      </c>
      <c r="L2721" s="13">
        <f>YEAR(TODAY())-' car_sales_data 1'!$F2721</f>
        <v>14</v>
      </c>
    </row>
    <row r="2722" ht="15.75" customHeight="1">
      <c r="A2722" s="16">
        <v>44851.0</v>
      </c>
      <c r="B2722" s="13" t="s">
        <v>5293</v>
      </c>
      <c r="C2722" s="13" t="s">
        <v>5294</v>
      </c>
      <c r="D2722" s="13" t="s">
        <v>14</v>
      </c>
      <c r="E2722" s="13" t="s">
        <v>51</v>
      </c>
      <c r="F2722" s="13">
        <v>2019.0</v>
      </c>
      <c r="G2722" s="13">
        <v>49035.0</v>
      </c>
      <c r="H2722" s="13">
        <v>4478.06</v>
      </c>
      <c r="I2722" s="13">
        <f>' car_sales_data 1'!$G2722*0.2</f>
        <v>9807</v>
      </c>
      <c r="J2722" s="13" t="str">
        <f>TEXT(' car_sales_data 1'!$A2722,"mmmm")</f>
        <v>October</v>
      </c>
      <c r="K2722" s="13" t="str">
        <f>IF(' car_sales_data 1'!$G2722&gt;40000,"Premium",
 IF(' car_sales_data 1'!$G2722&gt;=20000,"Mid Range","Budget"))</f>
        <v>Premium</v>
      </c>
      <c r="L2722" s="13">
        <f>YEAR(TODAY())-' car_sales_data 1'!$F2722</f>
        <v>6</v>
      </c>
    </row>
    <row r="2723" ht="15.75" customHeight="1">
      <c r="A2723" s="16">
        <v>44971.0</v>
      </c>
      <c r="B2723" s="13" t="s">
        <v>5295</v>
      </c>
      <c r="C2723" s="13" t="s">
        <v>5296</v>
      </c>
      <c r="D2723" s="13" t="s">
        <v>12</v>
      </c>
      <c r="E2723" s="13" t="s">
        <v>51</v>
      </c>
      <c r="F2723" s="13">
        <v>2019.0</v>
      </c>
      <c r="G2723" s="13">
        <v>17078.0</v>
      </c>
      <c r="H2723" s="13">
        <v>1121.19</v>
      </c>
      <c r="I2723" s="13">
        <f>' car_sales_data 1'!$G2723*0.2</f>
        <v>3415.6</v>
      </c>
      <c r="J2723" s="13" t="str">
        <f>TEXT(' car_sales_data 1'!$A2723,"mmmm")</f>
        <v>February</v>
      </c>
      <c r="K2723" s="13" t="str">
        <f>IF(' car_sales_data 1'!$G2723&gt;40000,"Premium",
 IF(' car_sales_data 1'!$G2723&gt;=20000,"Mid Range","Budget"))</f>
        <v>Budget</v>
      </c>
      <c r="L2723" s="13">
        <f>YEAR(TODAY())-' car_sales_data 1'!$F2723</f>
        <v>6</v>
      </c>
    </row>
    <row r="2724" ht="15.75" customHeight="1">
      <c r="A2724" s="16">
        <v>44818.0</v>
      </c>
      <c r="B2724" s="13" t="s">
        <v>5297</v>
      </c>
      <c r="C2724" s="13" t="s">
        <v>2538</v>
      </c>
      <c r="D2724" s="13" t="s">
        <v>12</v>
      </c>
      <c r="E2724" s="13" t="s">
        <v>62</v>
      </c>
      <c r="F2724" s="13">
        <v>2018.0</v>
      </c>
      <c r="G2724" s="13">
        <v>23907.0</v>
      </c>
      <c r="H2724" s="13">
        <v>2715.27</v>
      </c>
      <c r="I2724" s="13">
        <f>' car_sales_data 1'!$G2724*0.2</f>
        <v>4781.4</v>
      </c>
      <c r="J2724" s="13" t="str">
        <f>TEXT(' car_sales_data 1'!$A2724,"mmmm")</f>
        <v>September</v>
      </c>
      <c r="K2724" s="13" t="str">
        <f>IF(' car_sales_data 1'!$G2724&gt;40000,"Premium",
 IF(' car_sales_data 1'!$G2724&gt;=20000,"Mid Range","Budget"))</f>
        <v>Mid Range</v>
      </c>
      <c r="L2724" s="13">
        <f>YEAR(TODAY())-' car_sales_data 1'!$F2724</f>
        <v>7</v>
      </c>
    </row>
    <row r="2725" ht="15.75" customHeight="1">
      <c r="A2725" s="16">
        <v>44967.0</v>
      </c>
      <c r="B2725" s="13" t="s">
        <v>5298</v>
      </c>
      <c r="C2725" s="13" t="s">
        <v>5299</v>
      </c>
      <c r="D2725" s="13" t="s">
        <v>10</v>
      </c>
      <c r="E2725" s="13" t="s">
        <v>70</v>
      </c>
      <c r="F2725" s="13">
        <v>2017.0</v>
      </c>
      <c r="G2725" s="13">
        <v>30598.0</v>
      </c>
      <c r="H2725" s="13">
        <v>3953.9</v>
      </c>
      <c r="I2725" s="13">
        <f>' car_sales_data 1'!$G2725*0.2</f>
        <v>6119.6</v>
      </c>
      <c r="J2725" s="13" t="str">
        <f>TEXT(' car_sales_data 1'!$A2725,"mmmm")</f>
        <v>February</v>
      </c>
      <c r="K2725" s="13" t="str">
        <f>IF(' car_sales_data 1'!$G2725&gt;40000,"Premium",
 IF(' car_sales_data 1'!$G2725&gt;=20000,"Mid Range","Budget"))</f>
        <v>Mid Range</v>
      </c>
      <c r="L2725" s="13">
        <f>YEAR(TODAY())-' car_sales_data 1'!$F2725</f>
        <v>8</v>
      </c>
    </row>
    <row r="2726" ht="15.75" customHeight="1">
      <c r="A2726" s="16">
        <v>44961.0</v>
      </c>
      <c r="B2726" s="13" t="s">
        <v>5300</v>
      </c>
      <c r="C2726" s="13" t="s">
        <v>5301</v>
      </c>
      <c r="D2726" s="13" t="s">
        <v>14</v>
      </c>
      <c r="E2726" s="13" t="s">
        <v>62</v>
      </c>
      <c r="F2726" s="13">
        <v>2022.0</v>
      </c>
      <c r="G2726" s="13">
        <v>31018.0</v>
      </c>
      <c r="H2726" s="13">
        <v>1829.2</v>
      </c>
      <c r="I2726" s="13">
        <f>' car_sales_data 1'!$G2726*0.2</f>
        <v>6203.6</v>
      </c>
      <c r="J2726" s="13" t="str">
        <f>TEXT(' car_sales_data 1'!$A2726,"mmmm")</f>
        <v>February</v>
      </c>
      <c r="K2726" s="13" t="str">
        <f>IF(' car_sales_data 1'!$G2726&gt;40000,"Premium",
 IF(' car_sales_data 1'!$G2726&gt;=20000,"Mid Range","Budget"))</f>
        <v>Mid Range</v>
      </c>
      <c r="L2726" s="13">
        <f>YEAR(TODAY())-' car_sales_data 1'!$F2726</f>
        <v>3</v>
      </c>
    </row>
    <row r="2727" ht="15.75" customHeight="1">
      <c r="A2727" s="16">
        <v>44865.0</v>
      </c>
      <c r="B2727" s="13" t="s">
        <v>5302</v>
      </c>
      <c r="C2727" s="13" t="s">
        <v>5303</v>
      </c>
      <c r="D2727" s="13" t="s">
        <v>14</v>
      </c>
      <c r="E2727" s="13" t="s">
        <v>70</v>
      </c>
      <c r="F2727" s="13">
        <v>2010.0</v>
      </c>
      <c r="G2727" s="13">
        <v>30413.0</v>
      </c>
      <c r="H2727" s="13">
        <v>4139.63</v>
      </c>
      <c r="I2727" s="13">
        <f>' car_sales_data 1'!$G2727*0.2</f>
        <v>6082.6</v>
      </c>
      <c r="J2727" s="13" t="str">
        <f>TEXT(' car_sales_data 1'!$A2727,"mmmm")</f>
        <v>October</v>
      </c>
      <c r="K2727" s="13" t="str">
        <f>IF(' car_sales_data 1'!$G2727&gt;40000,"Premium",
 IF(' car_sales_data 1'!$G2727&gt;=20000,"Mid Range","Budget"))</f>
        <v>Mid Range</v>
      </c>
      <c r="L2727" s="13">
        <f>YEAR(TODAY())-' car_sales_data 1'!$F2727</f>
        <v>15</v>
      </c>
    </row>
    <row r="2728" ht="15.75" customHeight="1">
      <c r="A2728" s="16">
        <v>44718.0</v>
      </c>
      <c r="B2728" s="13" t="s">
        <v>5304</v>
      </c>
      <c r="C2728" s="13" t="s">
        <v>5305</v>
      </c>
      <c r="D2728" s="13" t="s">
        <v>10</v>
      </c>
      <c r="E2728" s="13" t="s">
        <v>57</v>
      </c>
      <c r="F2728" s="13">
        <v>2022.0</v>
      </c>
      <c r="G2728" s="13">
        <v>35896.0</v>
      </c>
      <c r="H2728" s="13">
        <v>3600.3</v>
      </c>
      <c r="I2728" s="13">
        <f>' car_sales_data 1'!$G2728*0.2</f>
        <v>7179.2</v>
      </c>
      <c r="J2728" s="13" t="str">
        <f>TEXT(' car_sales_data 1'!$A2728,"mmmm")</f>
        <v>June</v>
      </c>
      <c r="K2728" s="13" t="str">
        <f>IF(' car_sales_data 1'!$G2728&gt;40000,"Premium",
 IF(' car_sales_data 1'!$G2728&gt;=20000,"Mid Range","Budget"))</f>
        <v>Mid Range</v>
      </c>
      <c r="L2728" s="13">
        <f>YEAR(TODAY())-' car_sales_data 1'!$F2728</f>
        <v>3</v>
      </c>
    </row>
    <row r="2729" ht="15.75" customHeight="1">
      <c r="A2729" s="16">
        <v>45044.0</v>
      </c>
      <c r="B2729" s="13" t="s">
        <v>5306</v>
      </c>
      <c r="C2729" s="13" t="s">
        <v>5307</v>
      </c>
      <c r="D2729" s="13" t="s">
        <v>8</v>
      </c>
      <c r="E2729" s="13" t="s">
        <v>62</v>
      </c>
      <c r="F2729" s="13">
        <v>2021.0</v>
      </c>
      <c r="G2729" s="13">
        <v>38197.0</v>
      </c>
      <c r="H2729" s="13">
        <v>3982.82</v>
      </c>
      <c r="I2729" s="13">
        <f>' car_sales_data 1'!$G2729*0.2</f>
        <v>7639.4</v>
      </c>
      <c r="J2729" s="13" t="str">
        <f>TEXT(' car_sales_data 1'!$A2729,"mmmm")</f>
        <v>April</v>
      </c>
      <c r="K2729" s="13" t="str">
        <f>IF(' car_sales_data 1'!$G2729&gt;40000,"Premium",
 IF(' car_sales_data 1'!$G2729&gt;=20000,"Mid Range","Budget"))</f>
        <v>Mid Range</v>
      </c>
      <c r="L2729" s="13">
        <f>YEAR(TODAY())-' car_sales_data 1'!$F2729</f>
        <v>4</v>
      </c>
    </row>
    <row r="2730" ht="15.75" customHeight="1">
      <c r="A2730" s="16">
        <v>45019.0</v>
      </c>
      <c r="B2730" s="13" t="s">
        <v>5308</v>
      </c>
      <c r="C2730" s="13" t="s">
        <v>5309</v>
      </c>
      <c r="D2730" s="13" t="s">
        <v>12</v>
      </c>
      <c r="E2730" s="13" t="s">
        <v>54</v>
      </c>
      <c r="F2730" s="13">
        <v>2019.0</v>
      </c>
      <c r="G2730" s="13">
        <v>20137.0</v>
      </c>
      <c r="H2730" s="13">
        <v>1749.67</v>
      </c>
      <c r="I2730" s="13">
        <f>' car_sales_data 1'!$G2730*0.2</f>
        <v>4027.4</v>
      </c>
      <c r="J2730" s="13" t="str">
        <f>TEXT(' car_sales_data 1'!$A2730,"mmmm")</f>
        <v>April</v>
      </c>
      <c r="K2730" s="13" t="str">
        <f>IF(' car_sales_data 1'!$G2730&gt;40000,"Premium",
 IF(' car_sales_data 1'!$G2730&gt;=20000,"Mid Range","Budget"))</f>
        <v>Mid Range</v>
      </c>
      <c r="L2730" s="13">
        <f>YEAR(TODAY())-' car_sales_data 1'!$F2730</f>
        <v>6</v>
      </c>
    </row>
    <row r="2731" ht="15.75" customHeight="1">
      <c r="A2731" s="16">
        <v>44844.0</v>
      </c>
      <c r="B2731" s="13" t="s">
        <v>1074</v>
      </c>
      <c r="C2731" s="13" t="s">
        <v>5310</v>
      </c>
      <c r="D2731" s="13" t="s">
        <v>10</v>
      </c>
      <c r="E2731" s="13" t="s">
        <v>51</v>
      </c>
      <c r="F2731" s="13">
        <v>2022.0</v>
      </c>
      <c r="G2731" s="13">
        <v>48507.0</v>
      </c>
      <c r="H2731" s="13">
        <v>2973.91</v>
      </c>
      <c r="I2731" s="13">
        <f>' car_sales_data 1'!$G2731*0.2</f>
        <v>9701.4</v>
      </c>
      <c r="J2731" s="13" t="str">
        <f>TEXT(' car_sales_data 1'!$A2731,"mmmm")</f>
        <v>October</v>
      </c>
      <c r="K2731" s="13" t="str">
        <f>IF(' car_sales_data 1'!$G2731&gt;40000,"Premium",
 IF(' car_sales_data 1'!$G2731&gt;=20000,"Mid Range","Budget"))</f>
        <v>Premium</v>
      </c>
      <c r="L2731" s="13">
        <f>YEAR(TODAY())-' car_sales_data 1'!$F2731</f>
        <v>3</v>
      </c>
    </row>
    <row r="2732" ht="15.75" customHeight="1">
      <c r="A2732" s="16">
        <v>44909.0</v>
      </c>
      <c r="B2732" s="13" t="s">
        <v>5311</v>
      </c>
      <c r="C2732" s="13" t="s">
        <v>5312</v>
      </c>
      <c r="D2732" s="13" t="s">
        <v>6</v>
      </c>
      <c r="E2732" s="13" t="s">
        <v>51</v>
      </c>
      <c r="F2732" s="13">
        <v>2020.0</v>
      </c>
      <c r="G2732" s="13">
        <v>24901.0</v>
      </c>
      <c r="H2732" s="13">
        <v>3654.36</v>
      </c>
      <c r="I2732" s="13">
        <f>' car_sales_data 1'!$G2732*0.2</f>
        <v>4980.2</v>
      </c>
      <c r="J2732" s="13" t="str">
        <f>TEXT(' car_sales_data 1'!$A2732,"mmmm")</f>
        <v>December</v>
      </c>
      <c r="K2732" s="13" t="str">
        <f>IF(' car_sales_data 1'!$G2732&gt;40000,"Premium",
 IF(' car_sales_data 1'!$G2732&gt;=20000,"Mid Range","Budget"))</f>
        <v>Mid Range</v>
      </c>
      <c r="L2732" s="13">
        <f>YEAR(TODAY())-' car_sales_data 1'!$F2732</f>
        <v>5</v>
      </c>
    </row>
    <row r="2733" ht="15.75" customHeight="1">
      <c r="A2733" s="16">
        <v>44806.0</v>
      </c>
      <c r="B2733" s="13" t="s">
        <v>5313</v>
      </c>
      <c r="C2733" s="13" t="s">
        <v>5314</v>
      </c>
      <c r="D2733" s="13" t="s">
        <v>10</v>
      </c>
      <c r="E2733" s="13" t="s">
        <v>57</v>
      </c>
      <c r="F2733" s="13">
        <v>2022.0</v>
      </c>
      <c r="G2733" s="13">
        <v>32305.0</v>
      </c>
      <c r="H2733" s="13">
        <v>2609.99</v>
      </c>
      <c r="I2733" s="13">
        <f>' car_sales_data 1'!$G2733*0.2</f>
        <v>6461</v>
      </c>
      <c r="J2733" s="13" t="str">
        <f>TEXT(' car_sales_data 1'!$A2733,"mmmm")</f>
        <v>September</v>
      </c>
      <c r="K2733" s="13" t="str">
        <f>IF(' car_sales_data 1'!$G2733&gt;40000,"Premium",
 IF(' car_sales_data 1'!$G2733&gt;=20000,"Mid Range","Budget"))</f>
        <v>Mid Range</v>
      </c>
      <c r="L2733" s="13">
        <f>YEAR(TODAY())-' car_sales_data 1'!$F2733</f>
        <v>3</v>
      </c>
    </row>
    <row r="2734" ht="15.75" customHeight="1">
      <c r="A2734" s="16">
        <v>45035.0</v>
      </c>
      <c r="B2734" s="13" t="s">
        <v>5315</v>
      </c>
      <c r="C2734" s="13" t="s">
        <v>5316</v>
      </c>
      <c r="D2734" s="13" t="s">
        <v>8</v>
      </c>
      <c r="E2734" s="13" t="s">
        <v>51</v>
      </c>
      <c r="F2734" s="13">
        <v>2019.0</v>
      </c>
      <c r="G2734" s="13">
        <v>21508.0</v>
      </c>
      <c r="H2734" s="13">
        <v>3121.06</v>
      </c>
      <c r="I2734" s="13">
        <f>' car_sales_data 1'!$G2734*0.2</f>
        <v>4301.6</v>
      </c>
      <c r="J2734" s="13" t="str">
        <f>TEXT(' car_sales_data 1'!$A2734,"mmmm")</f>
        <v>April</v>
      </c>
      <c r="K2734" s="13" t="str">
        <f>IF(' car_sales_data 1'!$G2734&gt;40000,"Premium",
 IF(' car_sales_data 1'!$G2734&gt;=20000,"Mid Range","Budget"))</f>
        <v>Mid Range</v>
      </c>
      <c r="L2734" s="13">
        <f>YEAR(TODAY())-' car_sales_data 1'!$F2734</f>
        <v>6</v>
      </c>
    </row>
    <row r="2735" ht="15.75" customHeight="1">
      <c r="A2735" s="16">
        <v>44929.0</v>
      </c>
      <c r="B2735" s="13" t="s">
        <v>5317</v>
      </c>
      <c r="C2735" s="13" t="s">
        <v>4499</v>
      </c>
      <c r="D2735" s="13" t="s">
        <v>8</v>
      </c>
      <c r="E2735" s="13" t="s">
        <v>70</v>
      </c>
      <c r="F2735" s="13">
        <v>2016.0</v>
      </c>
      <c r="G2735" s="13">
        <v>37295.0</v>
      </c>
      <c r="H2735" s="13">
        <v>3262.3</v>
      </c>
      <c r="I2735" s="13">
        <f>' car_sales_data 1'!$G2735*0.2</f>
        <v>7459</v>
      </c>
      <c r="J2735" s="13" t="str">
        <f>TEXT(' car_sales_data 1'!$A2735,"mmmm")</f>
        <v>January</v>
      </c>
      <c r="K2735" s="13" t="str">
        <f>IF(' car_sales_data 1'!$G2735&gt;40000,"Premium",
 IF(' car_sales_data 1'!$G2735&gt;=20000,"Mid Range","Budget"))</f>
        <v>Mid Range</v>
      </c>
      <c r="L2735" s="13">
        <f>YEAR(TODAY())-' car_sales_data 1'!$F2735</f>
        <v>9</v>
      </c>
    </row>
    <row r="2736" ht="15.75" customHeight="1">
      <c r="A2736" s="16">
        <v>44914.0</v>
      </c>
      <c r="B2736" s="13" t="s">
        <v>5318</v>
      </c>
      <c r="C2736" s="13" t="s">
        <v>794</v>
      </c>
      <c r="D2736" s="13" t="s">
        <v>8</v>
      </c>
      <c r="E2736" s="13" t="s">
        <v>62</v>
      </c>
      <c r="F2736" s="13">
        <v>2011.0</v>
      </c>
      <c r="G2736" s="13">
        <v>38438.0</v>
      </c>
      <c r="H2736" s="13">
        <v>1923.41</v>
      </c>
      <c r="I2736" s="13">
        <f>' car_sales_data 1'!$G2736*0.2</f>
        <v>7687.6</v>
      </c>
      <c r="J2736" s="13" t="str">
        <f>TEXT(' car_sales_data 1'!$A2736,"mmmm")</f>
        <v>December</v>
      </c>
      <c r="K2736" s="13" t="str">
        <f>IF(' car_sales_data 1'!$G2736&gt;40000,"Premium",
 IF(' car_sales_data 1'!$G2736&gt;=20000,"Mid Range","Budget"))</f>
        <v>Mid Range</v>
      </c>
      <c r="L2736" s="13">
        <f>YEAR(TODAY())-' car_sales_data 1'!$F2736</f>
        <v>14</v>
      </c>
    </row>
    <row r="2737" ht="15.75" customHeight="1">
      <c r="A2737" s="16">
        <v>44823.0</v>
      </c>
      <c r="B2737" s="13" t="s">
        <v>5319</v>
      </c>
      <c r="C2737" s="13" t="s">
        <v>5320</v>
      </c>
      <c r="D2737" s="13" t="s">
        <v>14</v>
      </c>
      <c r="E2737" s="13" t="s">
        <v>70</v>
      </c>
      <c r="F2737" s="13">
        <v>2018.0</v>
      </c>
      <c r="G2737" s="13">
        <v>45191.0</v>
      </c>
      <c r="H2737" s="13">
        <v>3125.88</v>
      </c>
      <c r="I2737" s="13">
        <f>' car_sales_data 1'!$G2737*0.2</f>
        <v>9038.2</v>
      </c>
      <c r="J2737" s="13" t="str">
        <f>TEXT(' car_sales_data 1'!$A2737,"mmmm")</f>
        <v>September</v>
      </c>
      <c r="K2737" s="13" t="str">
        <f>IF(' car_sales_data 1'!$G2737&gt;40000,"Premium",
 IF(' car_sales_data 1'!$G2737&gt;=20000,"Mid Range","Budget"))</f>
        <v>Premium</v>
      </c>
      <c r="L2737" s="13">
        <f>YEAR(TODAY())-' car_sales_data 1'!$F2737</f>
        <v>7</v>
      </c>
    </row>
    <row r="2738" ht="15.75" customHeight="1">
      <c r="A2738" s="16">
        <v>45021.0</v>
      </c>
      <c r="B2738" s="13" t="s">
        <v>5321</v>
      </c>
      <c r="C2738" s="13" t="s">
        <v>5322</v>
      </c>
      <c r="D2738" s="13" t="s">
        <v>10</v>
      </c>
      <c r="E2738" s="13" t="s">
        <v>62</v>
      </c>
      <c r="F2738" s="13">
        <v>2015.0</v>
      </c>
      <c r="G2738" s="13">
        <v>32359.0</v>
      </c>
      <c r="H2738" s="13">
        <v>3944.68</v>
      </c>
      <c r="I2738" s="13">
        <f>' car_sales_data 1'!$G2738*0.2</f>
        <v>6471.8</v>
      </c>
      <c r="J2738" s="13" t="str">
        <f>TEXT(' car_sales_data 1'!$A2738,"mmmm")</f>
        <v>April</v>
      </c>
      <c r="K2738" s="13" t="str">
        <f>IF(' car_sales_data 1'!$G2738&gt;40000,"Premium",
 IF(' car_sales_data 1'!$G2738&gt;=20000,"Mid Range","Budget"))</f>
        <v>Mid Range</v>
      </c>
      <c r="L2738" s="13">
        <f>YEAR(TODAY())-' car_sales_data 1'!$F2738</f>
        <v>10</v>
      </c>
    </row>
    <row r="2739" ht="15.75" customHeight="1">
      <c r="A2739" s="16">
        <v>44864.0</v>
      </c>
      <c r="B2739" s="13" t="s">
        <v>5323</v>
      </c>
      <c r="C2739" s="13" t="s">
        <v>5324</v>
      </c>
      <c r="D2739" s="13" t="s">
        <v>8</v>
      </c>
      <c r="E2739" s="13" t="s">
        <v>57</v>
      </c>
      <c r="F2739" s="13">
        <v>2019.0</v>
      </c>
      <c r="G2739" s="13">
        <v>33855.0</v>
      </c>
      <c r="H2739" s="13">
        <v>1724.89</v>
      </c>
      <c r="I2739" s="13">
        <f>' car_sales_data 1'!$G2739*0.2</f>
        <v>6771</v>
      </c>
      <c r="J2739" s="13" t="str">
        <f>TEXT(' car_sales_data 1'!$A2739,"mmmm")</f>
        <v>October</v>
      </c>
      <c r="K2739" s="13" t="str">
        <f>IF(' car_sales_data 1'!$G2739&gt;40000,"Premium",
 IF(' car_sales_data 1'!$G2739&gt;=20000,"Mid Range","Budget"))</f>
        <v>Mid Range</v>
      </c>
      <c r="L2739" s="13">
        <f>YEAR(TODAY())-' car_sales_data 1'!$F2739</f>
        <v>6</v>
      </c>
    </row>
    <row r="2740" ht="15.75" customHeight="1">
      <c r="A2740" s="16">
        <v>44930.0</v>
      </c>
      <c r="B2740" s="13" t="s">
        <v>462</v>
      </c>
      <c r="C2740" s="13" t="s">
        <v>5325</v>
      </c>
      <c r="D2740" s="13" t="s">
        <v>8</v>
      </c>
      <c r="E2740" s="13" t="s">
        <v>51</v>
      </c>
      <c r="F2740" s="13">
        <v>2014.0</v>
      </c>
      <c r="G2740" s="13">
        <v>34324.0</v>
      </c>
      <c r="H2740" s="13">
        <v>2285.14</v>
      </c>
      <c r="I2740" s="13">
        <f>' car_sales_data 1'!$G2740*0.2</f>
        <v>6864.8</v>
      </c>
      <c r="J2740" s="13" t="str">
        <f>TEXT(' car_sales_data 1'!$A2740,"mmmm")</f>
        <v>January</v>
      </c>
      <c r="K2740" s="13" t="str">
        <f>IF(' car_sales_data 1'!$G2740&gt;40000,"Premium",
 IF(' car_sales_data 1'!$G2740&gt;=20000,"Mid Range","Budget"))</f>
        <v>Mid Range</v>
      </c>
      <c r="L2740" s="13">
        <f>YEAR(TODAY())-' car_sales_data 1'!$F2740</f>
        <v>11</v>
      </c>
    </row>
    <row r="2741" ht="15.75" customHeight="1">
      <c r="A2741" s="16">
        <v>44852.0</v>
      </c>
      <c r="B2741" s="13" t="s">
        <v>5326</v>
      </c>
      <c r="C2741" s="13" t="s">
        <v>5327</v>
      </c>
      <c r="D2741" s="13" t="s">
        <v>12</v>
      </c>
      <c r="E2741" s="13" t="s">
        <v>57</v>
      </c>
      <c r="F2741" s="13">
        <v>2011.0</v>
      </c>
      <c r="G2741" s="13">
        <v>32397.0</v>
      </c>
      <c r="H2741" s="13">
        <v>2371.38</v>
      </c>
      <c r="I2741" s="13">
        <f>' car_sales_data 1'!$G2741*0.2</f>
        <v>6479.4</v>
      </c>
      <c r="J2741" s="13" t="str">
        <f>TEXT(' car_sales_data 1'!$A2741,"mmmm")</f>
        <v>October</v>
      </c>
      <c r="K2741" s="13" t="str">
        <f>IF(' car_sales_data 1'!$G2741&gt;40000,"Premium",
 IF(' car_sales_data 1'!$G2741&gt;=20000,"Mid Range","Budget"))</f>
        <v>Mid Range</v>
      </c>
      <c r="L2741" s="13">
        <f>YEAR(TODAY())-' car_sales_data 1'!$F2741</f>
        <v>14</v>
      </c>
    </row>
    <row r="2742" ht="15.75" customHeight="1">
      <c r="A2742" s="16">
        <v>44706.0</v>
      </c>
      <c r="B2742" s="13" t="s">
        <v>5328</v>
      </c>
      <c r="C2742" s="13" t="s">
        <v>5329</v>
      </c>
      <c r="D2742" s="13" t="s">
        <v>6</v>
      </c>
      <c r="E2742" s="13" t="s">
        <v>57</v>
      </c>
      <c r="F2742" s="13">
        <v>2010.0</v>
      </c>
      <c r="G2742" s="13">
        <v>48366.0</v>
      </c>
      <c r="H2742" s="13">
        <v>5852.97</v>
      </c>
      <c r="I2742" s="13">
        <f>' car_sales_data 1'!$G2742*0.2</f>
        <v>9673.2</v>
      </c>
      <c r="J2742" s="13" t="str">
        <f>TEXT(' car_sales_data 1'!$A2742,"mmmm")</f>
        <v>May</v>
      </c>
      <c r="K2742" s="13" t="str">
        <f>IF(' car_sales_data 1'!$G2742&gt;40000,"Premium",
 IF(' car_sales_data 1'!$G2742&gt;=20000,"Mid Range","Budget"))</f>
        <v>Premium</v>
      </c>
      <c r="L2742" s="13">
        <f>YEAR(TODAY())-' car_sales_data 1'!$F2742</f>
        <v>15</v>
      </c>
    </row>
    <row r="2743" ht="15.75" customHeight="1">
      <c r="A2743" s="16">
        <v>44907.0</v>
      </c>
      <c r="B2743" s="13" t="s">
        <v>5330</v>
      </c>
      <c r="C2743" s="13" t="s">
        <v>5331</v>
      </c>
      <c r="D2743" s="13" t="s">
        <v>14</v>
      </c>
      <c r="E2743" s="13" t="s">
        <v>70</v>
      </c>
      <c r="F2743" s="13">
        <v>2017.0</v>
      </c>
      <c r="G2743" s="13">
        <v>15119.0</v>
      </c>
      <c r="H2743" s="13">
        <v>840.89</v>
      </c>
      <c r="I2743" s="13">
        <f>' car_sales_data 1'!$G2743*0.2</f>
        <v>3023.8</v>
      </c>
      <c r="J2743" s="13" t="str">
        <f>TEXT(' car_sales_data 1'!$A2743,"mmmm")</f>
        <v>December</v>
      </c>
      <c r="K2743" s="13" t="str">
        <f>IF(' car_sales_data 1'!$G2743&gt;40000,"Premium",
 IF(' car_sales_data 1'!$G2743&gt;=20000,"Mid Range","Budget"))</f>
        <v>Budget</v>
      </c>
      <c r="L2743" s="13">
        <f>YEAR(TODAY())-' car_sales_data 1'!$F2743</f>
        <v>8</v>
      </c>
    </row>
    <row r="2744" ht="15.75" customHeight="1">
      <c r="A2744" s="16">
        <v>45005.0</v>
      </c>
      <c r="B2744" s="13" t="s">
        <v>5332</v>
      </c>
      <c r="C2744" s="13" t="s">
        <v>5333</v>
      </c>
      <c r="D2744" s="13" t="s">
        <v>6</v>
      </c>
      <c r="E2744" s="13" t="s">
        <v>70</v>
      </c>
      <c r="F2744" s="13">
        <v>2013.0</v>
      </c>
      <c r="G2744" s="13">
        <v>29434.0</v>
      </c>
      <c r="H2744" s="13">
        <v>2444.27</v>
      </c>
      <c r="I2744" s="13">
        <f>' car_sales_data 1'!$G2744*0.2</f>
        <v>5886.8</v>
      </c>
      <c r="J2744" s="13" t="str">
        <f>TEXT(' car_sales_data 1'!$A2744,"mmmm")</f>
        <v>March</v>
      </c>
      <c r="K2744" s="13" t="str">
        <f>IF(' car_sales_data 1'!$G2744&gt;40000,"Premium",
 IF(' car_sales_data 1'!$G2744&gt;=20000,"Mid Range","Budget"))</f>
        <v>Mid Range</v>
      </c>
      <c r="L2744" s="13">
        <f>YEAR(TODAY())-' car_sales_data 1'!$F2744</f>
        <v>12</v>
      </c>
    </row>
    <row r="2745" ht="15.75" customHeight="1">
      <c r="A2745" s="16">
        <v>44831.0</v>
      </c>
      <c r="B2745" s="13" t="s">
        <v>5334</v>
      </c>
      <c r="C2745" s="13" t="s">
        <v>5335</v>
      </c>
      <c r="D2745" s="13" t="s">
        <v>10</v>
      </c>
      <c r="E2745" s="13" t="s">
        <v>70</v>
      </c>
      <c r="F2745" s="13">
        <v>2021.0</v>
      </c>
      <c r="G2745" s="13">
        <v>29428.0</v>
      </c>
      <c r="H2745" s="13">
        <v>2582.81</v>
      </c>
      <c r="I2745" s="13">
        <f>' car_sales_data 1'!$G2745*0.2</f>
        <v>5885.6</v>
      </c>
      <c r="J2745" s="13" t="str">
        <f>TEXT(' car_sales_data 1'!$A2745,"mmmm")</f>
        <v>September</v>
      </c>
      <c r="K2745" s="13" t="str">
        <f>IF(' car_sales_data 1'!$G2745&gt;40000,"Premium",
 IF(' car_sales_data 1'!$G2745&gt;=20000,"Mid Range","Budget"))</f>
        <v>Mid Range</v>
      </c>
      <c r="L2745" s="13">
        <f>YEAR(TODAY())-' car_sales_data 1'!$F2745</f>
        <v>4</v>
      </c>
    </row>
    <row r="2746" ht="15.75" customHeight="1">
      <c r="A2746" s="16">
        <v>44796.0</v>
      </c>
      <c r="B2746" s="13" t="s">
        <v>5336</v>
      </c>
      <c r="C2746" s="13" t="s">
        <v>5337</v>
      </c>
      <c r="D2746" s="13" t="s">
        <v>8</v>
      </c>
      <c r="E2746" s="13" t="s">
        <v>70</v>
      </c>
      <c r="F2746" s="13">
        <v>2011.0</v>
      </c>
      <c r="G2746" s="13">
        <v>30492.0</v>
      </c>
      <c r="H2746" s="13">
        <v>4025.86</v>
      </c>
      <c r="I2746" s="13">
        <f>' car_sales_data 1'!$G2746*0.2</f>
        <v>6098.4</v>
      </c>
      <c r="J2746" s="13" t="str">
        <f>TEXT(' car_sales_data 1'!$A2746,"mmmm")</f>
        <v>August</v>
      </c>
      <c r="K2746" s="13" t="str">
        <f>IF(' car_sales_data 1'!$G2746&gt;40000,"Premium",
 IF(' car_sales_data 1'!$G2746&gt;=20000,"Mid Range","Budget"))</f>
        <v>Mid Range</v>
      </c>
      <c r="L2746" s="13">
        <f>YEAR(TODAY())-' car_sales_data 1'!$F2746</f>
        <v>14</v>
      </c>
    </row>
    <row r="2747" ht="15.75" customHeight="1">
      <c r="A2747" s="16">
        <v>44986.0</v>
      </c>
      <c r="B2747" s="13" t="s">
        <v>5338</v>
      </c>
      <c r="C2747" s="13" t="s">
        <v>5339</v>
      </c>
      <c r="D2747" s="13" t="s">
        <v>8</v>
      </c>
      <c r="E2747" s="13" t="s">
        <v>62</v>
      </c>
      <c r="F2747" s="13">
        <v>2020.0</v>
      </c>
      <c r="G2747" s="13">
        <v>28442.0</v>
      </c>
      <c r="H2747" s="13">
        <v>1886.9</v>
      </c>
      <c r="I2747" s="13">
        <f>' car_sales_data 1'!$G2747*0.2</f>
        <v>5688.4</v>
      </c>
      <c r="J2747" s="13" t="str">
        <f>TEXT(' car_sales_data 1'!$A2747,"mmmm")</f>
        <v>March</v>
      </c>
      <c r="K2747" s="13" t="str">
        <f>IF(' car_sales_data 1'!$G2747&gt;40000,"Premium",
 IF(' car_sales_data 1'!$G2747&gt;=20000,"Mid Range","Budget"))</f>
        <v>Mid Range</v>
      </c>
      <c r="L2747" s="13">
        <f>YEAR(TODAY())-' car_sales_data 1'!$F2747</f>
        <v>5</v>
      </c>
    </row>
    <row r="2748" ht="15.75" customHeight="1">
      <c r="A2748" s="16">
        <v>44933.0</v>
      </c>
      <c r="B2748" s="13" t="s">
        <v>5340</v>
      </c>
      <c r="C2748" s="13" t="s">
        <v>5341</v>
      </c>
      <c r="D2748" s="13" t="s">
        <v>14</v>
      </c>
      <c r="E2748" s="13" t="s">
        <v>54</v>
      </c>
      <c r="F2748" s="13">
        <v>2019.0</v>
      </c>
      <c r="G2748" s="13">
        <v>38979.0</v>
      </c>
      <c r="H2748" s="13">
        <v>5026.13</v>
      </c>
      <c r="I2748" s="13">
        <f>' car_sales_data 1'!$G2748*0.2</f>
        <v>7795.8</v>
      </c>
      <c r="J2748" s="13" t="str">
        <f>TEXT(' car_sales_data 1'!$A2748,"mmmm")</f>
        <v>January</v>
      </c>
      <c r="K2748" s="13" t="str">
        <f>IF(' car_sales_data 1'!$G2748&gt;40000,"Premium",
 IF(' car_sales_data 1'!$G2748&gt;=20000,"Mid Range","Budget"))</f>
        <v>Mid Range</v>
      </c>
      <c r="L2748" s="13">
        <f>YEAR(TODAY())-' car_sales_data 1'!$F2748</f>
        <v>6</v>
      </c>
    </row>
    <row r="2749" ht="15.75" customHeight="1">
      <c r="A2749" s="16">
        <v>44858.0</v>
      </c>
      <c r="B2749" s="13" t="s">
        <v>5342</v>
      </c>
      <c r="C2749" s="13" t="s">
        <v>5343</v>
      </c>
      <c r="D2749" s="13" t="s">
        <v>14</v>
      </c>
      <c r="E2749" s="13" t="s">
        <v>70</v>
      </c>
      <c r="F2749" s="13">
        <v>2019.0</v>
      </c>
      <c r="G2749" s="13">
        <v>25238.0</v>
      </c>
      <c r="H2749" s="13">
        <v>1894.11</v>
      </c>
      <c r="I2749" s="13">
        <f>' car_sales_data 1'!$G2749*0.2</f>
        <v>5047.6</v>
      </c>
      <c r="J2749" s="13" t="str">
        <f>TEXT(' car_sales_data 1'!$A2749,"mmmm")</f>
        <v>October</v>
      </c>
      <c r="K2749" s="13" t="str">
        <f>IF(' car_sales_data 1'!$G2749&gt;40000,"Premium",
 IF(' car_sales_data 1'!$G2749&gt;=20000,"Mid Range","Budget"))</f>
        <v>Mid Range</v>
      </c>
      <c r="L2749" s="13">
        <f>YEAR(TODAY())-' car_sales_data 1'!$F2749</f>
        <v>6</v>
      </c>
    </row>
    <row r="2750" ht="15.75" customHeight="1">
      <c r="A2750" s="16">
        <v>44926.0</v>
      </c>
      <c r="B2750" s="13" t="s">
        <v>5344</v>
      </c>
      <c r="C2750" s="13" t="s">
        <v>5345</v>
      </c>
      <c r="D2750" s="13" t="s">
        <v>8</v>
      </c>
      <c r="E2750" s="13" t="s">
        <v>51</v>
      </c>
      <c r="F2750" s="13">
        <v>2010.0</v>
      </c>
      <c r="G2750" s="13">
        <v>13114.0</v>
      </c>
      <c r="H2750" s="13">
        <v>1584.74</v>
      </c>
      <c r="I2750" s="13">
        <f>' car_sales_data 1'!$G2750*0.2</f>
        <v>2622.8</v>
      </c>
      <c r="J2750" s="13" t="str">
        <f>TEXT(' car_sales_data 1'!$A2750,"mmmm")</f>
        <v>December</v>
      </c>
      <c r="K2750" s="13" t="str">
        <f>IF(' car_sales_data 1'!$G2750&gt;40000,"Premium",
 IF(' car_sales_data 1'!$G2750&gt;=20000,"Mid Range","Budget"))</f>
        <v>Budget</v>
      </c>
      <c r="L2750" s="13">
        <f>YEAR(TODAY())-' car_sales_data 1'!$F2750</f>
        <v>15</v>
      </c>
    </row>
    <row r="2751" ht="15.75" customHeight="1">
      <c r="A2751" s="16">
        <v>44885.0</v>
      </c>
      <c r="B2751" s="13" t="s">
        <v>5346</v>
      </c>
      <c r="C2751" s="13" t="s">
        <v>5347</v>
      </c>
      <c r="D2751" s="13" t="s">
        <v>8</v>
      </c>
      <c r="E2751" s="13" t="s">
        <v>57</v>
      </c>
      <c r="F2751" s="13">
        <v>2016.0</v>
      </c>
      <c r="G2751" s="13">
        <v>33977.0</v>
      </c>
      <c r="H2751" s="13">
        <v>4080.51</v>
      </c>
      <c r="I2751" s="13">
        <f>' car_sales_data 1'!$G2751*0.2</f>
        <v>6795.4</v>
      </c>
      <c r="J2751" s="13" t="str">
        <f>TEXT(' car_sales_data 1'!$A2751,"mmmm")</f>
        <v>November</v>
      </c>
      <c r="K2751" s="13" t="str">
        <f>IF(' car_sales_data 1'!$G2751&gt;40000,"Premium",
 IF(' car_sales_data 1'!$G2751&gt;=20000,"Mid Range","Budget"))</f>
        <v>Mid Range</v>
      </c>
      <c r="L2751" s="13">
        <f>YEAR(TODAY())-' car_sales_data 1'!$F2751</f>
        <v>9</v>
      </c>
    </row>
    <row r="2752" ht="15.75" customHeight="1">
      <c r="A2752" s="16">
        <v>45002.0</v>
      </c>
      <c r="B2752" s="13" t="s">
        <v>5163</v>
      </c>
      <c r="C2752" s="13" t="s">
        <v>3266</v>
      </c>
      <c r="D2752" s="13" t="s">
        <v>10</v>
      </c>
      <c r="E2752" s="13" t="s">
        <v>57</v>
      </c>
      <c r="F2752" s="13">
        <v>2013.0</v>
      </c>
      <c r="G2752" s="13">
        <v>44018.0</v>
      </c>
      <c r="H2752" s="13">
        <v>3746.75</v>
      </c>
      <c r="I2752" s="13">
        <f>' car_sales_data 1'!$G2752*0.2</f>
        <v>8803.6</v>
      </c>
      <c r="J2752" s="13" t="str">
        <f>TEXT(' car_sales_data 1'!$A2752,"mmmm")</f>
        <v>March</v>
      </c>
      <c r="K2752" s="13" t="str">
        <f>IF(' car_sales_data 1'!$G2752&gt;40000,"Premium",
 IF(' car_sales_data 1'!$G2752&gt;=20000,"Mid Range","Budget"))</f>
        <v>Premium</v>
      </c>
      <c r="L2752" s="13">
        <f>YEAR(TODAY())-' car_sales_data 1'!$F2752</f>
        <v>12</v>
      </c>
    </row>
    <row r="2753" ht="15.75" customHeight="1">
      <c r="A2753" s="16">
        <v>44801.0</v>
      </c>
      <c r="B2753" s="13" t="s">
        <v>551</v>
      </c>
      <c r="C2753" s="13" t="s">
        <v>5348</v>
      </c>
      <c r="D2753" s="13" t="s">
        <v>12</v>
      </c>
      <c r="E2753" s="13" t="s">
        <v>62</v>
      </c>
      <c r="F2753" s="13">
        <v>2020.0</v>
      </c>
      <c r="G2753" s="13">
        <v>35134.0</v>
      </c>
      <c r="H2753" s="13">
        <v>4976.86</v>
      </c>
      <c r="I2753" s="13">
        <f>' car_sales_data 1'!$G2753*0.2</f>
        <v>7026.8</v>
      </c>
      <c r="J2753" s="13" t="str">
        <f>TEXT(' car_sales_data 1'!$A2753,"mmmm")</f>
        <v>August</v>
      </c>
      <c r="K2753" s="13" t="str">
        <f>IF(' car_sales_data 1'!$G2753&gt;40000,"Premium",
 IF(' car_sales_data 1'!$G2753&gt;=20000,"Mid Range","Budget"))</f>
        <v>Mid Range</v>
      </c>
      <c r="L2753" s="13">
        <f>YEAR(TODAY())-' car_sales_data 1'!$F2753</f>
        <v>5</v>
      </c>
    </row>
    <row r="2754" ht="15.75" customHeight="1">
      <c r="A2754" s="16">
        <v>44810.0</v>
      </c>
      <c r="B2754" s="13" t="s">
        <v>5349</v>
      </c>
      <c r="C2754" s="13" t="s">
        <v>5350</v>
      </c>
      <c r="D2754" s="13" t="s">
        <v>6</v>
      </c>
      <c r="E2754" s="13" t="s">
        <v>57</v>
      </c>
      <c r="F2754" s="13">
        <v>2020.0</v>
      </c>
      <c r="G2754" s="13">
        <v>20177.0</v>
      </c>
      <c r="H2754" s="13">
        <v>2902.21</v>
      </c>
      <c r="I2754" s="13">
        <f>' car_sales_data 1'!$G2754*0.2</f>
        <v>4035.4</v>
      </c>
      <c r="J2754" s="13" t="str">
        <f>TEXT(' car_sales_data 1'!$A2754,"mmmm")</f>
        <v>September</v>
      </c>
      <c r="K2754" s="13" t="str">
        <f>IF(' car_sales_data 1'!$G2754&gt;40000,"Premium",
 IF(' car_sales_data 1'!$G2754&gt;=20000,"Mid Range","Budget"))</f>
        <v>Mid Range</v>
      </c>
      <c r="L2754" s="13">
        <f>YEAR(TODAY())-' car_sales_data 1'!$F2754</f>
        <v>5</v>
      </c>
    </row>
    <row r="2755" ht="15.75" customHeight="1">
      <c r="A2755" s="16">
        <v>44711.0</v>
      </c>
      <c r="B2755" s="13" t="s">
        <v>5351</v>
      </c>
      <c r="C2755" s="13" t="s">
        <v>5352</v>
      </c>
      <c r="D2755" s="13" t="s">
        <v>8</v>
      </c>
      <c r="E2755" s="13" t="s">
        <v>54</v>
      </c>
      <c r="F2755" s="13">
        <v>2020.0</v>
      </c>
      <c r="G2755" s="13">
        <v>34570.0</v>
      </c>
      <c r="H2755" s="13">
        <v>4127.37</v>
      </c>
      <c r="I2755" s="13">
        <f>' car_sales_data 1'!$G2755*0.2</f>
        <v>6914</v>
      </c>
      <c r="J2755" s="13" t="str">
        <f>TEXT(' car_sales_data 1'!$A2755,"mmmm")</f>
        <v>May</v>
      </c>
      <c r="K2755" s="13" t="str">
        <f>IF(' car_sales_data 1'!$G2755&gt;40000,"Premium",
 IF(' car_sales_data 1'!$G2755&gt;=20000,"Mid Range","Budget"))</f>
        <v>Mid Range</v>
      </c>
      <c r="L2755" s="13">
        <f>YEAR(TODAY())-' car_sales_data 1'!$F2755</f>
        <v>5</v>
      </c>
    </row>
    <row r="2756" ht="15.75" customHeight="1">
      <c r="A2756" s="16">
        <v>44910.0</v>
      </c>
      <c r="B2756" s="13" t="s">
        <v>5353</v>
      </c>
      <c r="C2756" s="13" t="s">
        <v>5354</v>
      </c>
      <c r="D2756" s="13" t="s">
        <v>14</v>
      </c>
      <c r="E2756" s="13" t="s">
        <v>51</v>
      </c>
      <c r="F2756" s="13">
        <v>2011.0</v>
      </c>
      <c r="G2756" s="13">
        <v>31028.0</v>
      </c>
      <c r="H2756" s="13">
        <v>4205.78</v>
      </c>
      <c r="I2756" s="13">
        <f>' car_sales_data 1'!$G2756*0.2</f>
        <v>6205.6</v>
      </c>
      <c r="J2756" s="13" t="str">
        <f>TEXT(' car_sales_data 1'!$A2756,"mmmm")</f>
        <v>December</v>
      </c>
      <c r="K2756" s="13" t="str">
        <f>IF(' car_sales_data 1'!$G2756&gt;40000,"Premium",
 IF(' car_sales_data 1'!$G2756&gt;=20000,"Mid Range","Budget"))</f>
        <v>Mid Range</v>
      </c>
      <c r="L2756" s="13">
        <f>YEAR(TODAY())-' car_sales_data 1'!$F2756</f>
        <v>14</v>
      </c>
    </row>
    <row r="2757" ht="15.75" customHeight="1">
      <c r="A2757" s="16">
        <v>44967.0</v>
      </c>
      <c r="B2757" s="13" t="s">
        <v>1194</v>
      </c>
      <c r="C2757" s="13" t="s">
        <v>5355</v>
      </c>
      <c r="D2757" s="13" t="s">
        <v>10</v>
      </c>
      <c r="E2757" s="13" t="s">
        <v>62</v>
      </c>
      <c r="F2757" s="13">
        <v>2019.0</v>
      </c>
      <c r="G2757" s="13">
        <v>10665.0</v>
      </c>
      <c r="H2757" s="13">
        <v>1213.01</v>
      </c>
      <c r="I2757" s="13">
        <f>' car_sales_data 1'!$G2757*0.2</f>
        <v>2133</v>
      </c>
      <c r="J2757" s="13" t="str">
        <f>TEXT(' car_sales_data 1'!$A2757,"mmmm")</f>
        <v>February</v>
      </c>
      <c r="K2757" s="13" t="str">
        <f>IF(' car_sales_data 1'!$G2757&gt;40000,"Premium",
 IF(' car_sales_data 1'!$G2757&gt;=20000,"Mid Range","Budget"))</f>
        <v>Budget</v>
      </c>
      <c r="L2757" s="13">
        <f>YEAR(TODAY())-' car_sales_data 1'!$F2757</f>
        <v>6</v>
      </c>
    </row>
    <row r="2758" ht="15.75" customHeight="1">
      <c r="A2758" s="16">
        <v>44914.0</v>
      </c>
      <c r="B2758" s="13" t="s">
        <v>5356</v>
      </c>
      <c r="C2758" s="13" t="s">
        <v>5357</v>
      </c>
      <c r="D2758" s="13" t="s">
        <v>8</v>
      </c>
      <c r="E2758" s="13" t="s">
        <v>54</v>
      </c>
      <c r="F2758" s="13">
        <v>2020.0</v>
      </c>
      <c r="G2758" s="13">
        <v>15367.0</v>
      </c>
      <c r="H2758" s="13">
        <v>1245.82</v>
      </c>
      <c r="I2758" s="13">
        <f>' car_sales_data 1'!$G2758*0.2</f>
        <v>3073.4</v>
      </c>
      <c r="J2758" s="13" t="str">
        <f>TEXT(' car_sales_data 1'!$A2758,"mmmm")</f>
        <v>December</v>
      </c>
      <c r="K2758" s="13" t="str">
        <f>IF(' car_sales_data 1'!$G2758&gt;40000,"Premium",
 IF(' car_sales_data 1'!$G2758&gt;=20000,"Mid Range","Budget"))</f>
        <v>Budget</v>
      </c>
      <c r="L2758" s="13">
        <f>YEAR(TODAY())-' car_sales_data 1'!$F2758</f>
        <v>5</v>
      </c>
    </row>
    <row r="2759" ht="15.75" customHeight="1">
      <c r="A2759" s="16">
        <v>44866.0</v>
      </c>
      <c r="B2759" s="13" t="s">
        <v>5358</v>
      </c>
      <c r="C2759" s="13" t="s">
        <v>5359</v>
      </c>
      <c r="D2759" s="13" t="s">
        <v>6</v>
      </c>
      <c r="E2759" s="13" t="s">
        <v>54</v>
      </c>
      <c r="F2759" s="13">
        <v>2015.0</v>
      </c>
      <c r="G2759" s="13">
        <v>39912.0</v>
      </c>
      <c r="H2759" s="13">
        <v>4279.71</v>
      </c>
      <c r="I2759" s="13">
        <f>' car_sales_data 1'!$G2759*0.2</f>
        <v>7982.4</v>
      </c>
      <c r="J2759" s="13" t="str">
        <f>TEXT(' car_sales_data 1'!$A2759,"mmmm")</f>
        <v>November</v>
      </c>
      <c r="K2759" s="13" t="str">
        <f>IF(' car_sales_data 1'!$G2759&gt;40000,"Premium",
 IF(' car_sales_data 1'!$G2759&gt;=20000,"Mid Range","Budget"))</f>
        <v>Mid Range</v>
      </c>
      <c r="L2759" s="13">
        <f>YEAR(TODAY())-' car_sales_data 1'!$F2759</f>
        <v>10</v>
      </c>
    </row>
    <row r="2760" ht="15.75" customHeight="1">
      <c r="A2760" s="16">
        <v>45017.0</v>
      </c>
      <c r="B2760" s="13" t="s">
        <v>5360</v>
      </c>
      <c r="C2760" s="13" t="s">
        <v>5361</v>
      </c>
      <c r="D2760" s="13" t="s">
        <v>8</v>
      </c>
      <c r="E2760" s="13" t="s">
        <v>62</v>
      </c>
      <c r="F2760" s="13">
        <v>2014.0</v>
      </c>
      <c r="G2760" s="13">
        <v>46531.0</v>
      </c>
      <c r="H2760" s="13">
        <v>3537.54</v>
      </c>
      <c r="I2760" s="13">
        <f>' car_sales_data 1'!$G2760*0.2</f>
        <v>9306.2</v>
      </c>
      <c r="J2760" s="13" t="str">
        <f>TEXT(' car_sales_data 1'!$A2760,"mmmm")</f>
        <v>April</v>
      </c>
      <c r="K2760" s="13" t="str">
        <f>IF(' car_sales_data 1'!$G2760&gt;40000,"Premium",
 IF(' car_sales_data 1'!$G2760&gt;=20000,"Mid Range","Budget"))</f>
        <v>Premium</v>
      </c>
      <c r="L2760" s="13">
        <f>YEAR(TODAY())-' car_sales_data 1'!$F2760</f>
        <v>11</v>
      </c>
    </row>
    <row r="2761" ht="15.75" customHeight="1">
      <c r="A2761" s="16">
        <v>45024.0</v>
      </c>
      <c r="B2761" s="13" t="s">
        <v>5362</v>
      </c>
      <c r="C2761" s="13" t="s">
        <v>753</v>
      </c>
      <c r="D2761" s="13" t="s">
        <v>10</v>
      </c>
      <c r="E2761" s="13" t="s">
        <v>57</v>
      </c>
      <c r="F2761" s="13">
        <v>2019.0</v>
      </c>
      <c r="G2761" s="13">
        <v>29357.0</v>
      </c>
      <c r="H2761" s="13">
        <v>4085.55</v>
      </c>
      <c r="I2761" s="13">
        <f>' car_sales_data 1'!$G2761*0.2</f>
        <v>5871.4</v>
      </c>
      <c r="J2761" s="13" t="str">
        <f>TEXT(' car_sales_data 1'!$A2761,"mmmm")</f>
        <v>April</v>
      </c>
      <c r="K2761" s="13" t="str">
        <f>IF(' car_sales_data 1'!$G2761&gt;40000,"Premium",
 IF(' car_sales_data 1'!$G2761&gt;=20000,"Mid Range","Budget"))</f>
        <v>Mid Range</v>
      </c>
      <c r="L2761" s="13">
        <f>YEAR(TODAY())-' car_sales_data 1'!$F2761</f>
        <v>6</v>
      </c>
    </row>
    <row r="2762" ht="15.75" customHeight="1">
      <c r="A2762" s="16">
        <v>44891.0</v>
      </c>
      <c r="B2762" s="13" t="s">
        <v>5363</v>
      </c>
      <c r="C2762" s="13" t="s">
        <v>5364</v>
      </c>
      <c r="D2762" s="13" t="s">
        <v>6</v>
      </c>
      <c r="E2762" s="13" t="s">
        <v>57</v>
      </c>
      <c r="F2762" s="13">
        <v>2014.0</v>
      </c>
      <c r="G2762" s="13">
        <v>24284.0</v>
      </c>
      <c r="H2762" s="13">
        <v>2340.59</v>
      </c>
      <c r="I2762" s="13">
        <f>' car_sales_data 1'!$G2762*0.2</f>
        <v>4856.8</v>
      </c>
      <c r="J2762" s="13" t="str">
        <f>TEXT(' car_sales_data 1'!$A2762,"mmmm")</f>
        <v>November</v>
      </c>
      <c r="K2762" s="13" t="str">
        <f>IF(' car_sales_data 1'!$G2762&gt;40000,"Premium",
 IF(' car_sales_data 1'!$G2762&gt;=20000,"Mid Range","Budget"))</f>
        <v>Mid Range</v>
      </c>
      <c r="L2762" s="13">
        <f>YEAR(TODAY())-' car_sales_data 1'!$F2762</f>
        <v>11</v>
      </c>
    </row>
    <row r="2763" ht="15.75" customHeight="1">
      <c r="A2763" s="16">
        <v>44821.0</v>
      </c>
      <c r="B2763" s="13" t="s">
        <v>5365</v>
      </c>
      <c r="C2763" s="13" t="s">
        <v>5366</v>
      </c>
      <c r="D2763" s="13" t="s">
        <v>6</v>
      </c>
      <c r="E2763" s="13" t="s">
        <v>54</v>
      </c>
      <c r="F2763" s="13">
        <v>2014.0</v>
      </c>
      <c r="G2763" s="13">
        <v>24025.0</v>
      </c>
      <c r="H2763" s="13">
        <v>1493.52</v>
      </c>
      <c r="I2763" s="13">
        <f>' car_sales_data 1'!$G2763*0.2</f>
        <v>4805</v>
      </c>
      <c r="J2763" s="13" t="str">
        <f>TEXT(' car_sales_data 1'!$A2763,"mmmm")</f>
        <v>September</v>
      </c>
      <c r="K2763" s="13" t="str">
        <f>IF(' car_sales_data 1'!$G2763&gt;40000,"Premium",
 IF(' car_sales_data 1'!$G2763&gt;=20000,"Mid Range","Budget"))</f>
        <v>Mid Range</v>
      </c>
      <c r="L2763" s="13">
        <f>YEAR(TODAY())-' car_sales_data 1'!$F2763</f>
        <v>11</v>
      </c>
    </row>
    <row r="2764" ht="15.75" customHeight="1">
      <c r="A2764" s="16">
        <v>44866.0</v>
      </c>
      <c r="B2764" s="13" t="s">
        <v>5367</v>
      </c>
      <c r="C2764" s="13" t="s">
        <v>5368</v>
      </c>
      <c r="D2764" s="13" t="s">
        <v>6</v>
      </c>
      <c r="E2764" s="13" t="s">
        <v>54</v>
      </c>
      <c r="F2764" s="13">
        <v>2015.0</v>
      </c>
      <c r="G2764" s="13">
        <v>11608.0</v>
      </c>
      <c r="H2764" s="13">
        <v>1187.9</v>
      </c>
      <c r="I2764" s="13">
        <f>' car_sales_data 1'!$G2764*0.2</f>
        <v>2321.6</v>
      </c>
      <c r="J2764" s="13" t="str">
        <f>TEXT(' car_sales_data 1'!$A2764,"mmmm")</f>
        <v>November</v>
      </c>
      <c r="K2764" s="13" t="str">
        <f>IF(' car_sales_data 1'!$G2764&gt;40000,"Premium",
 IF(' car_sales_data 1'!$G2764&gt;=20000,"Mid Range","Budget"))</f>
        <v>Budget</v>
      </c>
      <c r="L2764" s="13">
        <f>YEAR(TODAY())-' car_sales_data 1'!$F2764</f>
        <v>10</v>
      </c>
    </row>
    <row r="2765" ht="15.75" customHeight="1">
      <c r="A2765" s="16">
        <v>45026.0</v>
      </c>
      <c r="B2765" s="13" t="s">
        <v>5369</v>
      </c>
      <c r="C2765" s="13" t="s">
        <v>5370</v>
      </c>
      <c r="D2765" s="13" t="s">
        <v>12</v>
      </c>
      <c r="E2765" s="13" t="s">
        <v>57</v>
      </c>
      <c r="F2765" s="13">
        <v>2018.0</v>
      </c>
      <c r="G2765" s="13">
        <v>18957.0</v>
      </c>
      <c r="H2765" s="13">
        <v>2569.19</v>
      </c>
      <c r="I2765" s="13">
        <f>' car_sales_data 1'!$G2765*0.2</f>
        <v>3791.4</v>
      </c>
      <c r="J2765" s="13" t="str">
        <f>TEXT(' car_sales_data 1'!$A2765,"mmmm")</f>
        <v>April</v>
      </c>
      <c r="K2765" s="13" t="str">
        <f>IF(' car_sales_data 1'!$G2765&gt;40000,"Premium",
 IF(' car_sales_data 1'!$G2765&gt;=20000,"Mid Range","Budget"))</f>
        <v>Budget</v>
      </c>
      <c r="L2765" s="13">
        <f>YEAR(TODAY())-' car_sales_data 1'!$F2765</f>
        <v>7</v>
      </c>
    </row>
    <row r="2766" ht="15.75" customHeight="1">
      <c r="A2766" s="16">
        <v>44765.0</v>
      </c>
      <c r="B2766" s="13" t="s">
        <v>5371</v>
      </c>
      <c r="C2766" s="13" t="s">
        <v>5372</v>
      </c>
      <c r="D2766" s="13" t="s">
        <v>8</v>
      </c>
      <c r="E2766" s="13" t="s">
        <v>57</v>
      </c>
      <c r="F2766" s="13">
        <v>2018.0</v>
      </c>
      <c r="G2766" s="13">
        <v>20222.0</v>
      </c>
      <c r="H2766" s="13">
        <v>1214.91</v>
      </c>
      <c r="I2766" s="13">
        <f>' car_sales_data 1'!$G2766*0.2</f>
        <v>4044.4</v>
      </c>
      <c r="J2766" s="13" t="str">
        <f>TEXT(' car_sales_data 1'!$A2766,"mmmm")</f>
        <v>July</v>
      </c>
      <c r="K2766" s="13" t="str">
        <f>IF(' car_sales_data 1'!$G2766&gt;40000,"Premium",
 IF(' car_sales_data 1'!$G2766&gt;=20000,"Mid Range","Budget"))</f>
        <v>Mid Range</v>
      </c>
      <c r="L2766" s="13">
        <f>YEAR(TODAY())-' car_sales_data 1'!$F2766</f>
        <v>7</v>
      </c>
    </row>
    <row r="2767" ht="15.75" customHeight="1">
      <c r="A2767" s="16">
        <v>44912.0</v>
      </c>
      <c r="B2767" s="13" t="s">
        <v>5373</v>
      </c>
      <c r="C2767" s="13" t="s">
        <v>5374</v>
      </c>
      <c r="D2767" s="13" t="s">
        <v>10</v>
      </c>
      <c r="E2767" s="13" t="s">
        <v>70</v>
      </c>
      <c r="F2767" s="13">
        <v>2012.0</v>
      </c>
      <c r="G2767" s="13">
        <v>41422.0</v>
      </c>
      <c r="H2767" s="13">
        <v>5545.29</v>
      </c>
      <c r="I2767" s="13">
        <f>' car_sales_data 1'!$G2767*0.2</f>
        <v>8284.4</v>
      </c>
      <c r="J2767" s="13" t="str">
        <f>TEXT(' car_sales_data 1'!$A2767,"mmmm")</f>
        <v>December</v>
      </c>
      <c r="K2767" s="13" t="str">
        <f>IF(' car_sales_data 1'!$G2767&gt;40000,"Premium",
 IF(' car_sales_data 1'!$G2767&gt;=20000,"Mid Range","Budget"))</f>
        <v>Premium</v>
      </c>
      <c r="L2767" s="13">
        <f>YEAR(TODAY())-' car_sales_data 1'!$F2767</f>
        <v>13</v>
      </c>
    </row>
    <row r="2768" ht="15.75" customHeight="1">
      <c r="A2768" s="16">
        <v>44899.0</v>
      </c>
      <c r="B2768" s="13" t="s">
        <v>5375</v>
      </c>
      <c r="C2768" s="13" t="s">
        <v>5376</v>
      </c>
      <c r="D2768" s="13" t="s">
        <v>8</v>
      </c>
      <c r="E2768" s="13" t="s">
        <v>70</v>
      </c>
      <c r="F2768" s="13">
        <v>2021.0</v>
      </c>
      <c r="G2768" s="13">
        <v>22286.0</v>
      </c>
      <c r="H2768" s="13">
        <v>1373.56</v>
      </c>
      <c r="I2768" s="13">
        <f>' car_sales_data 1'!$G2768*0.2</f>
        <v>4457.2</v>
      </c>
      <c r="J2768" s="13" t="str">
        <f>TEXT(' car_sales_data 1'!$A2768,"mmmm")</f>
        <v>December</v>
      </c>
      <c r="K2768" s="13" t="str">
        <f>IF(' car_sales_data 1'!$G2768&gt;40000,"Premium",
 IF(' car_sales_data 1'!$G2768&gt;=20000,"Mid Range","Budget"))</f>
        <v>Mid Range</v>
      </c>
      <c r="L2768" s="13">
        <f>YEAR(TODAY())-' car_sales_data 1'!$F2768</f>
        <v>4</v>
      </c>
    </row>
    <row r="2769" ht="15.75" customHeight="1">
      <c r="A2769" s="16">
        <v>44959.0</v>
      </c>
      <c r="B2769" s="13" t="s">
        <v>5377</v>
      </c>
      <c r="C2769" s="13" t="s">
        <v>906</v>
      </c>
      <c r="D2769" s="13" t="s">
        <v>10</v>
      </c>
      <c r="E2769" s="13" t="s">
        <v>54</v>
      </c>
      <c r="F2769" s="13">
        <v>2022.0</v>
      </c>
      <c r="G2769" s="13">
        <v>35610.0</v>
      </c>
      <c r="H2769" s="13">
        <v>2901.8</v>
      </c>
      <c r="I2769" s="13">
        <f>' car_sales_data 1'!$G2769*0.2</f>
        <v>7122</v>
      </c>
      <c r="J2769" s="13" t="str">
        <f>TEXT(' car_sales_data 1'!$A2769,"mmmm")</f>
        <v>February</v>
      </c>
      <c r="K2769" s="13" t="str">
        <f>IF(' car_sales_data 1'!$G2769&gt;40000,"Premium",
 IF(' car_sales_data 1'!$G2769&gt;=20000,"Mid Range","Budget"))</f>
        <v>Mid Range</v>
      </c>
      <c r="L2769" s="13">
        <f>YEAR(TODAY())-' car_sales_data 1'!$F2769</f>
        <v>3</v>
      </c>
    </row>
    <row r="2770" ht="15.75" customHeight="1">
      <c r="A2770" s="16">
        <v>44963.0</v>
      </c>
      <c r="B2770" s="13" t="s">
        <v>5378</v>
      </c>
      <c r="C2770" s="13" t="s">
        <v>5379</v>
      </c>
      <c r="D2770" s="13" t="s">
        <v>14</v>
      </c>
      <c r="E2770" s="13" t="s">
        <v>57</v>
      </c>
      <c r="F2770" s="13">
        <v>2019.0</v>
      </c>
      <c r="G2770" s="13">
        <v>45638.0</v>
      </c>
      <c r="H2770" s="13">
        <v>4690.09</v>
      </c>
      <c r="I2770" s="13">
        <f>' car_sales_data 1'!$G2770*0.2</f>
        <v>9127.6</v>
      </c>
      <c r="J2770" s="13" t="str">
        <f>TEXT(' car_sales_data 1'!$A2770,"mmmm")</f>
        <v>February</v>
      </c>
      <c r="K2770" s="13" t="str">
        <f>IF(' car_sales_data 1'!$G2770&gt;40000,"Premium",
 IF(' car_sales_data 1'!$G2770&gt;=20000,"Mid Range","Budget"))</f>
        <v>Premium</v>
      </c>
      <c r="L2770" s="13">
        <f>YEAR(TODAY())-' car_sales_data 1'!$F2770</f>
        <v>6</v>
      </c>
    </row>
    <row r="2771" ht="15.75" customHeight="1">
      <c r="A2771" s="16">
        <v>44947.0</v>
      </c>
      <c r="B2771" s="13" t="s">
        <v>3313</v>
      </c>
      <c r="C2771" s="13" t="s">
        <v>5380</v>
      </c>
      <c r="D2771" s="13" t="s">
        <v>8</v>
      </c>
      <c r="E2771" s="13" t="s">
        <v>57</v>
      </c>
      <c r="F2771" s="13">
        <v>2014.0</v>
      </c>
      <c r="G2771" s="13">
        <v>25415.0</v>
      </c>
      <c r="H2771" s="13">
        <v>3276.52</v>
      </c>
      <c r="I2771" s="13">
        <f>' car_sales_data 1'!$G2771*0.2</f>
        <v>5083</v>
      </c>
      <c r="J2771" s="13" t="str">
        <f>TEXT(' car_sales_data 1'!$A2771,"mmmm")</f>
        <v>January</v>
      </c>
      <c r="K2771" s="13" t="str">
        <f>IF(' car_sales_data 1'!$G2771&gt;40000,"Premium",
 IF(' car_sales_data 1'!$G2771&gt;=20000,"Mid Range","Budget"))</f>
        <v>Mid Range</v>
      </c>
      <c r="L2771" s="13">
        <f>YEAR(TODAY())-' car_sales_data 1'!$F2771</f>
        <v>11</v>
      </c>
    </row>
    <row r="2772" ht="15.75" customHeight="1">
      <c r="A2772" s="16">
        <v>44930.0</v>
      </c>
      <c r="B2772" s="13" t="s">
        <v>5381</v>
      </c>
      <c r="C2772" s="13" t="s">
        <v>5382</v>
      </c>
      <c r="D2772" s="13" t="s">
        <v>14</v>
      </c>
      <c r="E2772" s="13" t="s">
        <v>62</v>
      </c>
      <c r="F2772" s="13">
        <v>2020.0</v>
      </c>
      <c r="G2772" s="13">
        <v>24704.0</v>
      </c>
      <c r="H2772" s="13">
        <v>1293.03</v>
      </c>
      <c r="I2772" s="13">
        <f>' car_sales_data 1'!$G2772*0.2</f>
        <v>4940.8</v>
      </c>
      <c r="J2772" s="13" t="str">
        <f>TEXT(' car_sales_data 1'!$A2772,"mmmm")</f>
        <v>January</v>
      </c>
      <c r="K2772" s="13" t="str">
        <f>IF(' car_sales_data 1'!$G2772&gt;40000,"Premium",
 IF(' car_sales_data 1'!$G2772&gt;=20000,"Mid Range","Budget"))</f>
        <v>Mid Range</v>
      </c>
      <c r="L2772" s="13">
        <f>YEAR(TODAY())-' car_sales_data 1'!$F2772</f>
        <v>5</v>
      </c>
    </row>
    <row r="2773" ht="15.75" customHeight="1">
      <c r="A2773" s="16">
        <v>44978.0</v>
      </c>
      <c r="B2773" s="13" t="s">
        <v>5164</v>
      </c>
      <c r="C2773" s="13" t="s">
        <v>5383</v>
      </c>
      <c r="D2773" s="13" t="s">
        <v>6</v>
      </c>
      <c r="E2773" s="13" t="s">
        <v>57</v>
      </c>
      <c r="F2773" s="13">
        <v>2018.0</v>
      </c>
      <c r="G2773" s="13">
        <v>10156.0</v>
      </c>
      <c r="H2773" s="13">
        <v>1314.42</v>
      </c>
      <c r="I2773" s="13">
        <f>' car_sales_data 1'!$G2773*0.2</f>
        <v>2031.2</v>
      </c>
      <c r="J2773" s="13" t="str">
        <f>TEXT(' car_sales_data 1'!$A2773,"mmmm")</f>
        <v>February</v>
      </c>
      <c r="K2773" s="13" t="str">
        <f>IF(' car_sales_data 1'!$G2773&gt;40000,"Premium",
 IF(' car_sales_data 1'!$G2773&gt;=20000,"Mid Range","Budget"))</f>
        <v>Budget</v>
      </c>
      <c r="L2773" s="13">
        <f>YEAR(TODAY())-' car_sales_data 1'!$F2773</f>
        <v>7</v>
      </c>
    </row>
    <row r="2774" ht="15.75" customHeight="1">
      <c r="A2774" s="16">
        <v>44755.0</v>
      </c>
      <c r="B2774" s="13" t="s">
        <v>5384</v>
      </c>
      <c r="C2774" s="13" t="s">
        <v>5385</v>
      </c>
      <c r="D2774" s="13" t="s">
        <v>12</v>
      </c>
      <c r="E2774" s="13" t="s">
        <v>62</v>
      </c>
      <c r="F2774" s="13">
        <v>2015.0</v>
      </c>
      <c r="G2774" s="13">
        <v>47302.0</v>
      </c>
      <c r="H2774" s="13">
        <v>3571.67</v>
      </c>
      <c r="I2774" s="13">
        <f>' car_sales_data 1'!$G2774*0.2</f>
        <v>9460.4</v>
      </c>
      <c r="J2774" s="13" t="str">
        <f>TEXT(' car_sales_data 1'!$A2774,"mmmm")</f>
        <v>July</v>
      </c>
      <c r="K2774" s="13" t="str">
        <f>IF(' car_sales_data 1'!$G2774&gt;40000,"Premium",
 IF(' car_sales_data 1'!$G2774&gt;=20000,"Mid Range","Budget"))</f>
        <v>Premium</v>
      </c>
      <c r="L2774" s="13">
        <f>YEAR(TODAY())-' car_sales_data 1'!$F2774</f>
        <v>10</v>
      </c>
    </row>
    <row r="2775" ht="15.75" customHeight="1">
      <c r="A2775" s="16">
        <v>44816.0</v>
      </c>
      <c r="B2775" s="13" t="s">
        <v>5386</v>
      </c>
      <c r="C2775" s="13" t="s">
        <v>5387</v>
      </c>
      <c r="D2775" s="13" t="s">
        <v>14</v>
      </c>
      <c r="E2775" s="13" t="s">
        <v>70</v>
      </c>
      <c r="F2775" s="13">
        <v>2020.0</v>
      </c>
      <c r="G2775" s="13">
        <v>41708.0</v>
      </c>
      <c r="H2775" s="13">
        <v>3514.31</v>
      </c>
      <c r="I2775" s="13">
        <f>' car_sales_data 1'!$G2775*0.2</f>
        <v>8341.6</v>
      </c>
      <c r="J2775" s="13" t="str">
        <f>TEXT(' car_sales_data 1'!$A2775,"mmmm")</f>
        <v>September</v>
      </c>
      <c r="K2775" s="13" t="str">
        <f>IF(' car_sales_data 1'!$G2775&gt;40000,"Premium",
 IF(' car_sales_data 1'!$G2775&gt;=20000,"Mid Range","Budget"))</f>
        <v>Premium</v>
      </c>
      <c r="L2775" s="13">
        <f>YEAR(TODAY())-' car_sales_data 1'!$F2775</f>
        <v>5</v>
      </c>
    </row>
    <row r="2776" ht="15.75" customHeight="1">
      <c r="A2776" s="16">
        <v>44876.0</v>
      </c>
      <c r="B2776" s="13" t="s">
        <v>5388</v>
      </c>
      <c r="C2776" s="13" t="s">
        <v>5389</v>
      </c>
      <c r="D2776" s="13" t="s">
        <v>10</v>
      </c>
      <c r="E2776" s="13" t="s">
        <v>51</v>
      </c>
      <c r="F2776" s="13">
        <v>2015.0</v>
      </c>
      <c r="G2776" s="13">
        <v>20947.0</v>
      </c>
      <c r="H2776" s="13">
        <v>2041.77</v>
      </c>
      <c r="I2776" s="13">
        <f>' car_sales_data 1'!$G2776*0.2</f>
        <v>4189.4</v>
      </c>
      <c r="J2776" s="13" t="str">
        <f>TEXT(' car_sales_data 1'!$A2776,"mmmm")</f>
        <v>November</v>
      </c>
      <c r="K2776" s="13" t="str">
        <f>IF(' car_sales_data 1'!$G2776&gt;40000,"Premium",
 IF(' car_sales_data 1'!$G2776&gt;=20000,"Mid Range","Budget"))</f>
        <v>Mid Range</v>
      </c>
      <c r="L2776" s="13">
        <f>YEAR(TODAY())-' car_sales_data 1'!$F2776</f>
        <v>10</v>
      </c>
    </row>
    <row r="2777" ht="15.75" customHeight="1">
      <c r="A2777" s="16">
        <v>44746.0</v>
      </c>
      <c r="B2777" s="13" t="s">
        <v>5390</v>
      </c>
      <c r="C2777" s="13" t="s">
        <v>5391</v>
      </c>
      <c r="D2777" s="13" t="s">
        <v>14</v>
      </c>
      <c r="E2777" s="13" t="s">
        <v>57</v>
      </c>
      <c r="F2777" s="13">
        <v>2010.0</v>
      </c>
      <c r="G2777" s="13">
        <v>27035.0</v>
      </c>
      <c r="H2777" s="13">
        <v>2066.48</v>
      </c>
      <c r="I2777" s="13">
        <f>' car_sales_data 1'!$G2777*0.2</f>
        <v>5407</v>
      </c>
      <c r="J2777" s="13" t="str">
        <f>TEXT(' car_sales_data 1'!$A2777,"mmmm")</f>
        <v>July</v>
      </c>
      <c r="K2777" s="13" t="str">
        <f>IF(' car_sales_data 1'!$G2777&gt;40000,"Premium",
 IF(' car_sales_data 1'!$G2777&gt;=20000,"Mid Range","Budget"))</f>
        <v>Mid Range</v>
      </c>
      <c r="L2777" s="13">
        <f>YEAR(TODAY())-' car_sales_data 1'!$F2777</f>
        <v>15</v>
      </c>
    </row>
    <row r="2778" ht="15.75" customHeight="1">
      <c r="A2778" s="16">
        <v>44770.0</v>
      </c>
      <c r="B2778" s="13" t="s">
        <v>5392</v>
      </c>
      <c r="C2778" s="13" t="s">
        <v>5393</v>
      </c>
      <c r="D2778" s="13" t="s">
        <v>6</v>
      </c>
      <c r="E2778" s="13" t="s">
        <v>51</v>
      </c>
      <c r="F2778" s="13">
        <v>2017.0</v>
      </c>
      <c r="G2778" s="13">
        <v>20859.0</v>
      </c>
      <c r="H2778" s="13">
        <v>2835.51</v>
      </c>
      <c r="I2778" s="13">
        <f>' car_sales_data 1'!$G2778*0.2</f>
        <v>4171.8</v>
      </c>
      <c r="J2778" s="13" t="str">
        <f>TEXT(' car_sales_data 1'!$A2778,"mmmm")</f>
        <v>July</v>
      </c>
      <c r="K2778" s="13" t="str">
        <f>IF(' car_sales_data 1'!$G2778&gt;40000,"Premium",
 IF(' car_sales_data 1'!$G2778&gt;=20000,"Mid Range","Budget"))</f>
        <v>Mid Range</v>
      </c>
      <c r="L2778" s="13">
        <f>YEAR(TODAY())-' car_sales_data 1'!$F2778</f>
        <v>8</v>
      </c>
    </row>
    <row r="2779" ht="15.75" customHeight="1">
      <c r="A2779" s="16">
        <v>44754.0</v>
      </c>
      <c r="B2779" s="13" t="s">
        <v>5394</v>
      </c>
      <c r="C2779" s="13" t="s">
        <v>5395</v>
      </c>
      <c r="D2779" s="13" t="s">
        <v>6</v>
      </c>
      <c r="E2779" s="13" t="s">
        <v>54</v>
      </c>
      <c r="F2779" s="13">
        <v>2016.0</v>
      </c>
      <c r="G2779" s="13">
        <v>19080.0</v>
      </c>
      <c r="H2779" s="13">
        <v>2553.55</v>
      </c>
      <c r="I2779" s="13">
        <f>' car_sales_data 1'!$G2779*0.2</f>
        <v>3816</v>
      </c>
      <c r="J2779" s="13" t="str">
        <f>TEXT(' car_sales_data 1'!$A2779,"mmmm")</f>
        <v>July</v>
      </c>
      <c r="K2779" s="13" t="str">
        <f>IF(' car_sales_data 1'!$G2779&gt;40000,"Premium",
 IF(' car_sales_data 1'!$G2779&gt;=20000,"Mid Range","Budget"))</f>
        <v>Budget</v>
      </c>
      <c r="L2779" s="13">
        <f>YEAR(TODAY())-' car_sales_data 1'!$F2779</f>
        <v>9</v>
      </c>
    </row>
    <row r="2780" ht="15.75" customHeight="1">
      <c r="A2780" s="16">
        <v>44921.0</v>
      </c>
      <c r="B2780" s="13" t="s">
        <v>5396</v>
      </c>
      <c r="C2780" s="13" t="s">
        <v>5397</v>
      </c>
      <c r="D2780" s="13" t="s">
        <v>6</v>
      </c>
      <c r="E2780" s="13" t="s">
        <v>51</v>
      </c>
      <c r="F2780" s="13">
        <v>2016.0</v>
      </c>
      <c r="G2780" s="13">
        <v>25821.0</v>
      </c>
      <c r="H2780" s="13">
        <v>2138.13</v>
      </c>
      <c r="I2780" s="13">
        <f>' car_sales_data 1'!$G2780*0.2</f>
        <v>5164.2</v>
      </c>
      <c r="J2780" s="13" t="str">
        <f>TEXT(' car_sales_data 1'!$A2780,"mmmm")</f>
        <v>December</v>
      </c>
      <c r="K2780" s="13" t="str">
        <f>IF(' car_sales_data 1'!$G2780&gt;40000,"Premium",
 IF(' car_sales_data 1'!$G2780&gt;=20000,"Mid Range","Budget"))</f>
        <v>Mid Range</v>
      </c>
      <c r="L2780" s="13">
        <f>YEAR(TODAY())-' car_sales_data 1'!$F2780</f>
        <v>9</v>
      </c>
    </row>
    <row r="2781" ht="15.75" customHeight="1">
      <c r="A2781" s="16">
        <v>44767.0</v>
      </c>
      <c r="B2781" s="13" t="s">
        <v>3381</v>
      </c>
      <c r="C2781" s="13" t="s">
        <v>5398</v>
      </c>
      <c r="D2781" s="13" t="s">
        <v>8</v>
      </c>
      <c r="E2781" s="13" t="s">
        <v>51</v>
      </c>
      <c r="F2781" s="13">
        <v>2019.0</v>
      </c>
      <c r="G2781" s="13">
        <v>34648.0</v>
      </c>
      <c r="H2781" s="13">
        <v>4860.07</v>
      </c>
      <c r="I2781" s="13">
        <f>' car_sales_data 1'!$G2781*0.2</f>
        <v>6929.6</v>
      </c>
      <c r="J2781" s="13" t="str">
        <f>TEXT(' car_sales_data 1'!$A2781,"mmmm")</f>
        <v>July</v>
      </c>
      <c r="K2781" s="13" t="str">
        <f>IF(' car_sales_data 1'!$G2781&gt;40000,"Premium",
 IF(' car_sales_data 1'!$G2781&gt;=20000,"Mid Range","Budget"))</f>
        <v>Mid Range</v>
      </c>
      <c r="L2781" s="13">
        <f>YEAR(TODAY())-' car_sales_data 1'!$F2781</f>
        <v>6</v>
      </c>
    </row>
    <row r="2782" ht="15.75" customHeight="1">
      <c r="A2782" s="16">
        <v>44795.0</v>
      </c>
      <c r="B2782" s="13" t="s">
        <v>5399</v>
      </c>
      <c r="C2782" s="13" t="s">
        <v>5400</v>
      </c>
      <c r="D2782" s="13" t="s">
        <v>10</v>
      </c>
      <c r="E2782" s="13" t="s">
        <v>57</v>
      </c>
      <c r="F2782" s="13">
        <v>2015.0</v>
      </c>
      <c r="G2782" s="13">
        <v>17517.0</v>
      </c>
      <c r="H2782" s="13">
        <v>2393.38</v>
      </c>
      <c r="I2782" s="13">
        <f>' car_sales_data 1'!$G2782*0.2</f>
        <v>3503.4</v>
      </c>
      <c r="J2782" s="13" t="str">
        <f>TEXT(' car_sales_data 1'!$A2782,"mmmm")</f>
        <v>August</v>
      </c>
      <c r="K2782" s="13" t="str">
        <f>IF(' car_sales_data 1'!$G2782&gt;40000,"Premium",
 IF(' car_sales_data 1'!$G2782&gt;=20000,"Mid Range","Budget"))</f>
        <v>Budget</v>
      </c>
      <c r="L2782" s="13">
        <f>YEAR(TODAY())-' car_sales_data 1'!$F2782</f>
        <v>10</v>
      </c>
    </row>
    <row r="2783" ht="15.75" customHeight="1">
      <c r="A2783" s="16">
        <v>44963.0</v>
      </c>
      <c r="B2783" s="13" t="s">
        <v>5401</v>
      </c>
      <c r="C2783" s="13" t="s">
        <v>5402</v>
      </c>
      <c r="D2783" s="13" t="s">
        <v>10</v>
      </c>
      <c r="E2783" s="13" t="s">
        <v>51</v>
      </c>
      <c r="F2783" s="13">
        <v>2015.0</v>
      </c>
      <c r="G2783" s="13">
        <v>23609.0</v>
      </c>
      <c r="H2783" s="13">
        <v>3208.97</v>
      </c>
      <c r="I2783" s="13">
        <f>' car_sales_data 1'!$G2783*0.2</f>
        <v>4721.8</v>
      </c>
      <c r="J2783" s="13" t="str">
        <f>TEXT(' car_sales_data 1'!$A2783,"mmmm")</f>
        <v>February</v>
      </c>
      <c r="K2783" s="13" t="str">
        <f>IF(' car_sales_data 1'!$G2783&gt;40000,"Premium",
 IF(' car_sales_data 1'!$G2783&gt;=20000,"Mid Range","Budget"))</f>
        <v>Mid Range</v>
      </c>
      <c r="L2783" s="13">
        <f>YEAR(TODAY())-' car_sales_data 1'!$F2783</f>
        <v>10</v>
      </c>
    </row>
    <row r="2784" ht="15.75" customHeight="1">
      <c r="A2784" s="16">
        <v>44741.0</v>
      </c>
      <c r="B2784" s="13" t="s">
        <v>5403</v>
      </c>
      <c r="C2784" s="13" t="s">
        <v>5404</v>
      </c>
      <c r="D2784" s="13" t="s">
        <v>8</v>
      </c>
      <c r="E2784" s="13" t="s">
        <v>62</v>
      </c>
      <c r="F2784" s="13">
        <v>2014.0</v>
      </c>
      <c r="G2784" s="13">
        <v>27541.0</v>
      </c>
      <c r="H2784" s="13">
        <v>2030.91</v>
      </c>
      <c r="I2784" s="13">
        <f>' car_sales_data 1'!$G2784*0.2</f>
        <v>5508.2</v>
      </c>
      <c r="J2784" s="13" t="str">
        <f>TEXT(' car_sales_data 1'!$A2784,"mmmm")</f>
        <v>June</v>
      </c>
      <c r="K2784" s="13" t="str">
        <f>IF(' car_sales_data 1'!$G2784&gt;40000,"Premium",
 IF(' car_sales_data 1'!$G2784&gt;=20000,"Mid Range","Budget"))</f>
        <v>Mid Range</v>
      </c>
      <c r="L2784" s="13">
        <f>YEAR(TODAY())-' car_sales_data 1'!$F2784</f>
        <v>11</v>
      </c>
    </row>
    <row r="2785" ht="15.75" customHeight="1">
      <c r="A2785" s="16">
        <v>44756.0</v>
      </c>
      <c r="B2785" s="13" t="s">
        <v>5405</v>
      </c>
      <c r="C2785" s="13" t="s">
        <v>5406</v>
      </c>
      <c r="D2785" s="13" t="s">
        <v>10</v>
      </c>
      <c r="E2785" s="13" t="s">
        <v>70</v>
      </c>
      <c r="F2785" s="13">
        <v>2015.0</v>
      </c>
      <c r="G2785" s="13">
        <v>30698.0</v>
      </c>
      <c r="H2785" s="13">
        <v>4348.79</v>
      </c>
      <c r="I2785" s="13">
        <f>' car_sales_data 1'!$G2785*0.2</f>
        <v>6139.6</v>
      </c>
      <c r="J2785" s="13" t="str">
        <f>TEXT(' car_sales_data 1'!$A2785,"mmmm")</f>
        <v>July</v>
      </c>
      <c r="K2785" s="13" t="str">
        <f>IF(' car_sales_data 1'!$G2785&gt;40000,"Premium",
 IF(' car_sales_data 1'!$G2785&gt;=20000,"Mid Range","Budget"))</f>
        <v>Mid Range</v>
      </c>
      <c r="L2785" s="13">
        <f>YEAR(TODAY())-' car_sales_data 1'!$F2785</f>
        <v>10</v>
      </c>
    </row>
    <row r="2786" ht="15.75" customHeight="1">
      <c r="A2786" s="16">
        <v>44852.0</v>
      </c>
      <c r="B2786" s="13" t="s">
        <v>5407</v>
      </c>
      <c r="C2786" s="13" t="s">
        <v>5408</v>
      </c>
      <c r="D2786" s="13" t="s">
        <v>14</v>
      </c>
      <c r="E2786" s="13" t="s">
        <v>57</v>
      </c>
      <c r="F2786" s="13">
        <v>2010.0</v>
      </c>
      <c r="G2786" s="13">
        <v>25391.0</v>
      </c>
      <c r="H2786" s="13">
        <v>2188.41</v>
      </c>
      <c r="I2786" s="13">
        <f>' car_sales_data 1'!$G2786*0.2</f>
        <v>5078.2</v>
      </c>
      <c r="J2786" s="13" t="str">
        <f>TEXT(' car_sales_data 1'!$A2786,"mmmm")</f>
        <v>October</v>
      </c>
      <c r="K2786" s="13" t="str">
        <f>IF(' car_sales_data 1'!$G2786&gt;40000,"Premium",
 IF(' car_sales_data 1'!$G2786&gt;=20000,"Mid Range","Budget"))</f>
        <v>Mid Range</v>
      </c>
      <c r="L2786" s="13">
        <f>YEAR(TODAY())-' car_sales_data 1'!$F2786</f>
        <v>15</v>
      </c>
    </row>
    <row r="2787" ht="15.75" customHeight="1">
      <c r="A2787" s="16">
        <v>44800.0</v>
      </c>
      <c r="B2787" s="13" t="s">
        <v>5409</v>
      </c>
      <c r="C2787" s="13" t="s">
        <v>5410</v>
      </c>
      <c r="D2787" s="13" t="s">
        <v>8</v>
      </c>
      <c r="E2787" s="13" t="s">
        <v>62</v>
      </c>
      <c r="F2787" s="13">
        <v>2019.0</v>
      </c>
      <c r="G2787" s="13">
        <v>35980.0</v>
      </c>
      <c r="H2787" s="13">
        <v>3368.9</v>
      </c>
      <c r="I2787" s="13">
        <f>' car_sales_data 1'!$G2787*0.2</f>
        <v>7196</v>
      </c>
      <c r="J2787" s="13" t="str">
        <f>TEXT(' car_sales_data 1'!$A2787,"mmmm")</f>
        <v>August</v>
      </c>
      <c r="K2787" s="13" t="str">
        <f>IF(' car_sales_data 1'!$G2787&gt;40000,"Premium",
 IF(' car_sales_data 1'!$G2787&gt;=20000,"Mid Range","Budget"))</f>
        <v>Mid Range</v>
      </c>
      <c r="L2787" s="13">
        <f>YEAR(TODAY())-' car_sales_data 1'!$F2787</f>
        <v>6</v>
      </c>
    </row>
    <row r="2788" ht="15.75" customHeight="1">
      <c r="A2788" s="16">
        <v>44922.0</v>
      </c>
      <c r="B2788" s="13" t="s">
        <v>5411</v>
      </c>
      <c r="C2788" s="13" t="s">
        <v>5412</v>
      </c>
      <c r="D2788" s="13" t="s">
        <v>10</v>
      </c>
      <c r="E2788" s="13" t="s">
        <v>51</v>
      </c>
      <c r="F2788" s="13">
        <v>2014.0</v>
      </c>
      <c r="G2788" s="13">
        <v>33643.0</v>
      </c>
      <c r="H2788" s="13">
        <v>3420.12</v>
      </c>
      <c r="I2788" s="13">
        <f>' car_sales_data 1'!$G2788*0.2</f>
        <v>6728.6</v>
      </c>
      <c r="J2788" s="13" t="str">
        <f>TEXT(' car_sales_data 1'!$A2788,"mmmm")</f>
        <v>December</v>
      </c>
      <c r="K2788" s="13" t="str">
        <f>IF(' car_sales_data 1'!$G2788&gt;40000,"Premium",
 IF(' car_sales_data 1'!$G2788&gt;=20000,"Mid Range","Budget"))</f>
        <v>Mid Range</v>
      </c>
      <c r="L2788" s="13">
        <f>YEAR(TODAY())-' car_sales_data 1'!$F2788</f>
        <v>11</v>
      </c>
    </row>
    <row r="2789" ht="15.75" customHeight="1">
      <c r="A2789" s="16">
        <v>44913.0</v>
      </c>
      <c r="B2789" s="13" t="s">
        <v>5413</v>
      </c>
      <c r="C2789" s="13" t="s">
        <v>5414</v>
      </c>
      <c r="D2789" s="13" t="s">
        <v>8</v>
      </c>
      <c r="E2789" s="13" t="s">
        <v>62</v>
      </c>
      <c r="F2789" s="13">
        <v>2016.0</v>
      </c>
      <c r="G2789" s="13">
        <v>46271.0</v>
      </c>
      <c r="H2789" s="13">
        <v>6550.88</v>
      </c>
      <c r="I2789" s="13">
        <f>' car_sales_data 1'!$G2789*0.2</f>
        <v>9254.2</v>
      </c>
      <c r="J2789" s="13" t="str">
        <f>TEXT(' car_sales_data 1'!$A2789,"mmmm")</f>
        <v>December</v>
      </c>
      <c r="K2789" s="13" t="str">
        <f>IF(' car_sales_data 1'!$G2789&gt;40000,"Premium",
 IF(' car_sales_data 1'!$G2789&gt;=20000,"Mid Range","Budget"))</f>
        <v>Premium</v>
      </c>
      <c r="L2789" s="13">
        <f>YEAR(TODAY())-' car_sales_data 1'!$F2789</f>
        <v>9</v>
      </c>
    </row>
    <row r="2790" ht="15.75" customHeight="1">
      <c r="A2790" s="16">
        <v>45017.0</v>
      </c>
      <c r="B2790" s="13" t="s">
        <v>5415</v>
      </c>
      <c r="C2790" s="13" t="s">
        <v>5416</v>
      </c>
      <c r="D2790" s="13" t="s">
        <v>12</v>
      </c>
      <c r="E2790" s="13" t="s">
        <v>54</v>
      </c>
      <c r="F2790" s="13">
        <v>2012.0</v>
      </c>
      <c r="G2790" s="13">
        <v>33099.0</v>
      </c>
      <c r="H2790" s="13">
        <v>4090.54</v>
      </c>
      <c r="I2790" s="13">
        <f>' car_sales_data 1'!$G2790*0.2</f>
        <v>6619.8</v>
      </c>
      <c r="J2790" s="13" t="str">
        <f>TEXT(' car_sales_data 1'!$A2790,"mmmm")</f>
        <v>April</v>
      </c>
      <c r="K2790" s="13" t="str">
        <f>IF(' car_sales_data 1'!$G2790&gt;40000,"Premium",
 IF(' car_sales_data 1'!$G2790&gt;=20000,"Mid Range","Budget"))</f>
        <v>Mid Range</v>
      </c>
      <c r="L2790" s="13">
        <f>YEAR(TODAY())-' car_sales_data 1'!$F2790</f>
        <v>13</v>
      </c>
    </row>
    <row r="2791" ht="15.75" customHeight="1">
      <c r="A2791" s="16">
        <v>44903.0</v>
      </c>
      <c r="B2791" s="13" t="s">
        <v>5417</v>
      </c>
      <c r="C2791" s="13" t="s">
        <v>5418</v>
      </c>
      <c r="D2791" s="13" t="s">
        <v>6</v>
      </c>
      <c r="E2791" s="13" t="s">
        <v>62</v>
      </c>
      <c r="F2791" s="13">
        <v>2018.0</v>
      </c>
      <c r="G2791" s="13">
        <v>45056.0</v>
      </c>
      <c r="H2791" s="13">
        <v>6500.58</v>
      </c>
      <c r="I2791" s="13">
        <f>' car_sales_data 1'!$G2791*0.2</f>
        <v>9011.2</v>
      </c>
      <c r="J2791" s="13" t="str">
        <f>TEXT(' car_sales_data 1'!$A2791,"mmmm")</f>
        <v>December</v>
      </c>
      <c r="K2791" s="13" t="str">
        <f>IF(' car_sales_data 1'!$G2791&gt;40000,"Premium",
 IF(' car_sales_data 1'!$G2791&gt;=20000,"Mid Range","Budget"))</f>
        <v>Premium</v>
      </c>
      <c r="L2791" s="13">
        <f>YEAR(TODAY())-' car_sales_data 1'!$F2791</f>
        <v>7</v>
      </c>
    </row>
    <row r="2792" ht="15.75" customHeight="1">
      <c r="A2792" s="16">
        <v>44976.0</v>
      </c>
      <c r="B2792" s="13" t="s">
        <v>5419</v>
      </c>
      <c r="C2792" s="13" t="s">
        <v>5420</v>
      </c>
      <c r="D2792" s="13" t="s">
        <v>10</v>
      </c>
      <c r="E2792" s="13" t="s">
        <v>51</v>
      </c>
      <c r="F2792" s="13">
        <v>2016.0</v>
      </c>
      <c r="G2792" s="13">
        <v>19001.0</v>
      </c>
      <c r="H2792" s="13">
        <v>1132.02</v>
      </c>
      <c r="I2792" s="13">
        <f>' car_sales_data 1'!$G2792*0.2</f>
        <v>3800.2</v>
      </c>
      <c r="J2792" s="13" t="str">
        <f>TEXT(' car_sales_data 1'!$A2792,"mmmm")</f>
        <v>February</v>
      </c>
      <c r="K2792" s="13" t="str">
        <f>IF(' car_sales_data 1'!$G2792&gt;40000,"Premium",
 IF(' car_sales_data 1'!$G2792&gt;=20000,"Mid Range","Budget"))</f>
        <v>Budget</v>
      </c>
      <c r="L2792" s="13">
        <f>YEAR(TODAY())-' car_sales_data 1'!$F2792</f>
        <v>9</v>
      </c>
    </row>
    <row r="2793" ht="15.75" customHeight="1">
      <c r="A2793" s="16">
        <v>44722.0</v>
      </c>
      <c r="B2793" s="13" t="s">
        <v>5421</v>
      </c>
      <c r="C2793" s="13" t="s">
        <v>1801</v>
      </c>
      <c r="D2793" s="13" t="s">
        <v>14</v>
      </c>
      <c r="E2793" s="13" t="s">
        <v>70</v>
      </c>
      <c r="F2793" s="13">
        <v>2013.0</v>
      </c>
      <c r="G2793" s="13">
        <v>32476.0</v>
      </c>
      <c r="H2793" s="13">
        <v>4210.66</v>
      </c>
      <c r="I2793" s="13">
        <f>' car_sales_data 1'!$G2793*0.2</f>
        <v>6495.2</v>
      </c>
      <c r="J2793" s="13" t="str">
        <f>TEXT(' car_sales_data 1'!$A2793,"mmmm")</f>
        <v>June</v>
      </c>
      <c r="K2793" s="13" t="str">
        <f>IF(' car_sales_data 1'!$G2793&gt;40000,"Premium",
 IF(' car_sales_data 1'!$G2793&gt;=20000,"Mid Range","Budget"))</f>
        <v>Mid Range</v>
      </c>
      <c r="L2793" s="13">
        <f>YEAR(TODAY())-' car_sales_data 1'!$F2793</f>
        <v>12</v>
      </c>
    </row>
    <row r="2794" ht="15.75" customHeight="1">
      <c r="A2794" s="16">
        <v>44753.0</v>
      </c>
      <c r="B2794" s="13" t="s">
        <v>5422</v>
      </c>
      <c r="C2794" s="13" t="s">
        <v>5423</v>
      </c>
      <c r="D2794" s="13" t="s">
        <v>14</v>
      </c>
      <c r="E2794" s="13" t="s">
        <v>70</v>
      </c>
      <c r="F2794" s="13">
        <v>2020.0</v>
      </c>
      <c r="G2794" s="13">
        <v>28761.0</v>
      </c>
      <c r="H2794" s="13">
        <v>2799.58</v>
      </c>
      <c r="I2794" s="13">
        <f>' car_sales_data 1'!$G2794*0.2</f>
        <v>5752.2</v>
      </c>
      <c r="J2794" s="13" t="str">
        <f>TEXT(' car_sales_data 1'!$A2794,"mmmm")</f>
        <v>July</v>
      </c>
      <c r="K2794" s="13" t="str">
        <f>IF(' car_sales_data 1'!$G2794&gt;40000,"Premium",
 IF(' car_sales_data 1'!$G2794&gt;=20000,"Mid Range","Budget"))</f>
        <v>Mid Range</v>
      </c>
      <c r="L2794" s="13">
        <f>YEAR(TODAY())-' car_sales_data 1'!$F2794</f>
        <v>5</v>
      </c>
    </row>
    <row r="2795" ht="15.75" customHeight="1">
      <c r="A2795" s="16">
        <v>44813.0</v>
      </c>
      <c r="B2795" s="13" t="s">
        <v>5424</v>
      </c>
      <c r="C2795" s="13" t="s">
        <v>5425</v>
      </c>
      <c r="D2795" s="13" t="s">
        <v>14</v>
      </c>
      <c r="E2795" s="13" t="s">
        <v>51</v>
      </c>
      <c r="F2795" s="13">
        <v>2019.0</v>
      </c>
      <c r="G2795" s="13">
        <v>24302.0</v>
      </c>
      <c r="H2795" s="13">
        <v>1375.82</v>
      </c>
      <c r="I2795" s="13">
        <f>' car_sales_data 1'!$G2795*0.2</f>
        <v>4860.4</v>
      </c>
      <c r="J2795" s="13" t="str">
        <f>TEXT(' car_sales_data 1'!$A2795,"mmmm")</f>
        <v>September</v>
      </c>
      <c r="K2795" s="13" t="str">
        <f>IF(' car_sales_data 1'!$G2795&gt;40000,"Premium",
 IF(' car_sales_data 1'!$G2795&gt;=20000,"Mid Range","Budget"))</f>
        <v>Mid Range</v>
      </c>
      <c r="L2795" s="13">
        <f>YEAR(TODAY())-' car_sales_data 1'!$F2795</f>
        <v>6</v>
      </c>
    </row>
    <row r="2796" ht="15.75" customHeight="1">
      <c r="A2796" s="16">
        <v>44730.0</v>
      </c>
      <c r="B2796" s="13" t="s">
        <v>5426</v>
      </c>
      <c r="C2796" s="13" t="s">
        <v>5427</v>
      </c>
      <c r="D2796" s="13" t="s">
        <v>14</v>
      </c>
      <c r="E2796" s="13" t="s">
        <v>57</v>
      </c>
      <c r="F2796" s="13">
        <v>2016.0</v>
      </c>
      <c r="G2796" s="13">
        <v>17949.0</v>
      </c>
      <c r="H2796" s="13">
        <v>1953.49</v>
      </c>
      <c r="I2796" s="13">
        <f>' car_sales_data 1'!$G2796*0.2</f>
        <v>3589.8</v>
      </c>
      <c r="J2796" s="13" t="str">
        <f>TEXT(' car_sales_data 1'!$A2796,"mmmm")</f>
        <v>June</v>
      </c>
      <c r="K2796" s="13" t="str">
        <f>IF(' car_sales_data 1'!$G2796&gt;40000,"Premium",
 IF(' car_sales_data 1'!$G2796&gt;=20000,"Mid Range","Budget"))</f>
        <v>Budget</v>
      </c>
      <c r="L2796" s="13">
        <f>YEAR(TODAY())-' car_sales_data 1'!$F2796</f>
        <v>9</v>
      </c>
    </row>
    <row r="2797" ht="15.75" customHeight="1">
      <c r="A2797" s="16">
        <v>44762.0</v>
      </c>
      <c r="B2797" s="13" t="s">
        <v>5428</v>
      </c>
      <c r="C2797" s="13" t="s">
        <v>5429</v>
      </c>
      <c r="D2797" s="13" t="s">
        <v>14</v>
      </c>
      <c r="E2797" s="13" t="s">
        <v>62</v>
      </c>
      <c r="F2797" s="13">
        <v>2011.0</v>
      </c>
      <c r="G2797" s="13">
        <v>20235.0</v>
      </c>
      <c r="H2797" s="13">
        <v>1394.68</v>
      </c>
      <c r="I2797" s="13">
        <f>' car_sales_data 1'!$G2797*0.2</f>
        <v>4047</v>
      </c>
      <c r="J2797" s="13" t="str">
        <f>TEXT(' car_sales_data 1'!$A2797,"mmmm")</f>
        <v>July</v>
      </c>
      <c r="K2797" s="13" t="str">
        <f>IF(' car_sales_data 1'!$G2797&gt;40000,"Premium",
 IF(' car_sales_data 1'!$G2797&gt;=20000,"Mid Range","Budget"))</f>
        <v>Mid Range</v>
      </c>
      <c r="L2797" s="13">
        <f>YEAR(TODAY())-' car_sales_data 1'!$F2797</f>
        <v>14</v>
      </c>
    </row>
    <row r="2798" ht="15.75" customHeight="1">
      <c r="A2798" s="16">
        <v>45028.0</v>
      </c>
      <c r="B2798" s="13" t="s">
        <v>5430</v>
      </c>
      <c r="C2798" s="13" t="s">
        <v>5431</v>
      </c>
      <c r="D2798" s="13" t="s">
        <v>14</v>
      </c>
      <c r="E2798" s="13" t="s">
        <v>57</v>
      </c>
      <c r="F2798" s="13">
        <v>2019.0</v>
      </c>
      <c r="G2798" s="13">
        <v>48234.0</v>
      </c>
      <c r="H2798" s="13">
        <v>3247.55</v>
      </c>
      <c r="I2798" s="13">
        <f>' car_sales_data 1'!$G2798*0.2</f>
        <v>9646.8</v>
      </c>
      <c r="J2798" s="13" t="str">
        <f>TEXT(' car_sales_data 1'!$A2798,"mmmm")</f>
        <v>April</v>
      </c>
      <c r="K2798" s="13" t="str">
        <f>IF(' car_sales_data 1'!$G2798&gt;40000,"Premium",
 IF(' car_sales_data 1'!$G2798&gt;=20000,"Mid Range","Budget"))</f>
        <v>Premium</v>
      </c>
      <c r="L2798" s="13">
        <f>YEAR(TODAY())-' car_sales_data 1'!$F2798</f>
        <v>6</v>
      </c>
    </row>
    <row r="2799" ht="15.75" customHeight="1">
      <c r="A2799" s="16">
        <v>44807.0</v>
      </c>
      <c r="B2799" s="13" t="s">
        <v>5432</v>
      </c>
      <c r="C2799" s="13" t="s">
        <v>5433</v>
      </c>
      <c r="D2799" s="13" t="s">
        <v>10</v>
      </c>
      <c r="E2799" s="13" t="s">
        <v>57</v>
      </c>
      <c r="F2799" s="13">
        <v>2019.0</v>
      </c>
      <c r="G2799" s="13">
        <v>42764.0</v>
      </c>
      <c r="H2799" s="13">
        <v>4528.56</v>
      </c>
      <c r="I2799" s="13">
        <f>' car_sales_data 1'!$G2799*0.2</f>
        <v>8552.8</v>
      </c>
      <c r="J2799" s="13" t="str">
        <f>TEXT(' car_sales_data 1'!$A2799,"mmmm")</f>
        <v>September</v>
      </c>
      <c r="K2799" s="13" t="str">
        <f>IF(' car_sales_data 1'!$G2799&gt;40000,"Premium",
 IF(' car_sales_data 1'!$G2799&gt;=20000,"Mid Range","Budget"))</f>
        <v>Premium</v>
      </c>
      <c r="L2799" s="13">
        <f>YEAR(TODAY())-' car_sales_data 1'!$F2799</f>
        <v>6</v>
      </c>
    </row>
    <row r="2800" ht="15.75" customHeight="1">
      <c r="A2800" s="16">
        <v>44818.0</v>
      </c>
      <c r="B2800" s="13" t="s">
        <v>5434</v>
      </c>
      <c r="C2800" s="13" t="s">
        <v>5435</v>
      </c>
      <c r="D2800" s="13" t="s">
        <v>6</v>
      </c>
      <c r="E2800" s="13" t="s">
        <v>51</v>
      </c>
      <c r="F2800" s="13">
        <v>2014.0</v>
      </c>
      <c r="G2800" s="13">
        <v>21843.0</v>
      </c>
      <c r="H2800" s="13">
        <v>2799.39</v>
      </c>
      <c r="I2800" s="13">
        <f>' car_sales_data 1'!$G2800*0.2</f>
        <v>4368.6</v>
      </c>
      <c r="J2800" s="13" t="str">
        <f>TEXT(' car_sales_data 1'!$A2800,"mmmm")</f>
        <v>September</v>
      </c>
      <c r="K2800" s="13" t="str">
        <f>IF(' car_sales_data 1'!$G2800&gt;40000,"Premium",
 IF(' car_sales_data 1'!$G2800&gt;=20000,"Mid Range","Budget"))</f>
        <v>Mid Range</v>
      </c>
      <c r="L2800" s="13">
        <f>YEAR(TODAY())-' car_sales_data 1'!$F2800</f>
        <v>11</v>
      </c>
    </row>
    <row r="2801" ht="15.75" customHeight="1">
      <c r="A2801" s="16">
        <v>44851.0</v>
      </c>
      <c r="B2801" s="13" t="s">
        <v>5436</v>
      </c>
      <c r="C2801" s="13" t="s">
        <v>5437</v>
      </c>
      <c r="D2801" s="13" t="s">
        <v>6</v>
      </c>
      <c r="E2801" s="13" t="s">
        <v>62</v>
      </c>
      <c r="F2801" s="13">
        <v>2011.0</v>
      </c>
      <c r="G2801" s="13">
        <v>38631.0</v>
      </c>
      <c r="H2801" s="13">
        <v>2116.4</v>
      </c>
      <c r="I2801" s="13">
        <f>' car_sales_data 1'!$G2801*0.2</f>
        <v>7726.2</v>
      </c>
      <c r="J2801" s="13" t="str">
        <f>TEXT(' car_sales_data 1'!$A2801,"mmmm")</f>
        <v>October</v>
      </c>
      <c r="K2801" s="13" t="str">
        <f>IF(' car_sales_data 1'!$G2801&gt;40000,"Premium",
 IF(' car_sales_data 1'!$G2801&gt;=20000,"Mid Range","Budget"))</f>
        <v>Mid Range</v>
      </c>
      <c r="L2801" s="13">
        <f>YEAR(TODAY())-' car_sales_data 1'!$F2801</f>
        <v>14</v>
      </c>
    </row>
    <row r="2802" ht="15.75" customHeight="1">
      <c r="A2802" s="16">
        <v>45003.0</v>
      </c>
      <c r="B2802" s="13" t="s">
        <v>5438</v>
      </c>
      <c r="C2802" s="13" t="s">
        <v>5439</v>
      </c>
      <c r="D2802" s="13" t="s">
        <v>8</v>
      </c>
      <c r="E2802" s="13" t="s">
        <v>70</v>
      </c>
      <c r="F2802" s="13">
        <v>2011.0</v>
      </c>
      <c r="G2802" s="13">
        <v>48406.0</v>
      </c>
      <c r="H2802" s="13">
        <v>3910.19</v>
      </c>
      <c r="I2802" s="13">
        <f>' car_sales_data 1'!$G2802*0.2</f>
        <v>9681.2</v>
      </c>
      <c r="J2802" s="13" t="str">
        <f>TEXT(' car_sales_data 1'!$A2802,"mmmm")</f>
        <v>March</v>
      </c>
      <c r="K2802" s="13" t="str">
        <f>IF(' car_sales_data 1'!$G2802&gt;40000,"Premium",
 IF(' car_sales_data 1'!$G2802&gt;=20000,"Mid Range","Budget"))</f>
        <v>Premium</v>
      </c>
      <c r="L2802" s="13">
        <f>YEAR(TODAY())-' car_sales_data 1'!$F2802</f>
        <v>14</v>
      </c>
    </row>
    <row r="2803" ht="15.75" customHeight="1">
      <c r="A2803" s="16">
        <v>45043.0</v>
      </c>
      <c r="B2803" s="13" t="s">
        <v>5440</v>
      </c>
      <c r="C2803" s="13" t="s">
        <v>204</v>
      </c>
      <c r="D2803" s="13" t="s">
        <v>10</v>
      </c>
      <c r="E2803" s="13" t="s">
        <v>62</v>
      </c>
      <c r="F2803" s="13">
        <v>2012.0</v>
      </c>
      <c r="G2803" s="13">
        <v>23078.0</v>
      </c>
      <c r="H2803" s="13">
        <v>3337.11</v>
      </c>
      <c r="I2803" s="13">
        <f>' car_sales_data 1'!$G2803*0.2</f>
        <v>4615.6</v>
      </c>
      <c r="J2803" s="13" t="str">
        <f>TEXT(' car_sales_data 1'!$A2803,"mmmm")</f>
        <v>April</v>
      </c>
      <c r="K2803" s="13" t="str">
        <f>IF(' car_sales_data 1'!$G2803&gt;40000,"Premium",
 IF(' car_sales_data 1'!$G2803&gt;=20000,"Mid Range","Budget"))</f>
        <v>Mid Range</v>
      </c>
      <c r="L2803" s="13">
        <f>YEAR(TODAY())-' car_sales_data 1'!$F2803</f>
        <v>13</v>
      </c>
    </row>
    <row r="2804" ht="15.75" customHeight="1">
      <c r="A2804" s="16">
        <v>44999.0</v>
      </c>
      <c r="B2804" s="13" t="s">
        <v>5441</v>
      </c>
      <c r="C2804" s="13" t="s">
        <v>5442</v>
      </c>
      <c r="D2804" s="13" t="s">
        <v>14</v>
      </c>
      <c r="E2804" s="13" t="s">
        <v>70</v>
      </c>
      <c r="F2804" s="13">
        <v>2022.0</v>
      </c>
      <c r="G2804" s="13">
        <v>14067.0</v>
      </c>
      <c r="H2804" s="13">
        <v>779.99</v>
      </c>
      <c r="I2804" s="13">
        <f>' car_sales_data 1'!$G2804*0.2</f>
        <v>2813.4</v>
      </c>
      <c r="J2804" s="13" t="str">
        <f>TEXT(' car_sales_data 1'!$A2804,"mmmm")</f>
        <v>March</v>
      </c>
      <c r="K2804" s="13" t="str">
        <f>IF(' car_sales_data 1'!$G2804&gt;40000,"Premium",
 IF(' car_sales_data 1'!$G2804&gt;=20000,"Mid Range","Budget"))</f>
        <v>Budget</v>
      </c>
      <c r="L2804" s="13">
        <f>YEAR(TODAY())-' car_sales_data 1'!$F2804</f>
        <v>3</v>
      </c>
    </row>
    <row r="2805" ht="15.75" customHeight="1">
      <c r="A2805" s="16">
        <v>44775.0</v>
      </c>
      <c r="B2805" s="13" t="s">
        <v>5443</v>
      </c>
      <c r="C2805" s="13" t="s">
        <v>5444</v>
      </c>
      <c r="D2805" s="13" t="s">
        <v>6</v>
      </c>
      <c r="E2805" s="13" t="s">
        <v>70</v>
      </c>
      <c r="F2805" s="13">
        <v>2014.0</v>
      </c>
      <c r="G2805" s="13">
        <v>47669.0</v>
      </c>
      <c r="H2805" s="13">
        <v>5837.42</v>
      </c>
      <c r="I2805" s="13">
        <f>' car_sales_data 1'!$G2805*0.2</f>
        <v>9533.8</v>
      </c>
      <c r="J2805" s="13" t="str">
        <f>TEXT(' car_sales_data 1'!$A2805,"mmmm")</f>
        <v>August</v>
      </c>
      <c r="K2805" s="13" t="str">
        <f>IF(' car_sales_data 1'!$G2805&gt;40000,"Premium",
 IF(' car_sales_data 1'!$G2805&gt;=20000,"Mid Range","Budget"))</f>
        <v>Premium</v>
      </c>
      <c r="L2805" s="13">
        <f>YEAR(TODAY())-' car_sales_data 1'!$F2805</f>
        <v>11</v>
      </c>
    </row>
    <row r="2806" ht="15.75" customHeight="1">
      <c r="A2806" s="16">
        <v>44900.0</v>
      </c>
      <c r="B2806" s="13" t="s">
        <v>5445</v>
      </c>
      <c r="C2806" s="13" t="s">
        <v>5446</v>
      </c>
      <c r="D2806" s="13" t="s">
        <v>12</v>
      </c>
      <c r="E2806" s="13" t="s">
        <v>62</v>
      </c>
      <c r="F2806" s="13">
        <v>2021.0</v>
      </c>
      <c r="G2806" s="13">
        <v>27128.0</v>
      </c>
      <c r="H2806" s="13">
        <v>1951.78</v>
      </c>
      <c r="I2806" s="13">
        <f>' car_sales_data 1'!$G2806*0.2</f>
        <v>5425.6</v>
      </c>
      <c r="J2806" s="13" t="str">
        <f>TEXT(' car_sales_data 1'!$A2806,"mmmm")</f>
        <v>December</v>
      </c>
      <c r="K2806" s="13" t="str">
        <f>IF(' car_sales_data 1'!$G2806&gt;40000,"Premium",
 IF(' car_sales_data 1'!$G2806&gt;=20000,"Mid Range","Budget"))</f>
        <v>Mid Range</v>
      </c>
      <c r="L2806" s="13">
        <f>YEAR(TODAY())-' car_sales_data 1'!$F2806</f>
        <v>4</v>
      </c>
    </row>
    <row r="2807" ht="15.75" customHeight="1">
      <c r="A2807" s="16">
        <v>44721.0</v>
      </c>
      <c r="B2807" s="13" t="s">
        <v>5447</v>
      </c>
      <c r="C2807" s="13" t="s">
        <v>5448</v>
      </c>
      <c r="D2807" s="13" t="s">
        <v>12</v>
      </c>
      <c r="E2807" s="13" t="s">
        <v>51</v>
      </c>
      <c r="F2807" s="13">
        <v>2019.0</v>
      </c>
      <c r="G2807" s="13">
        <v>30743.0</v>
      </c>
      <c r="H2807" s="13">
        <v>3615.29</v>
      </c>
      <c r="I2807" s="13">
        <f>' car_sales_data 1'!$G2807*0.2</f>
        <v>6148.6</v>
      </c>
      <c r="J2807" s="13" t="str">
        <f>TEXT(' car_sales_data 1'!$A2807,"mmmm")</f>
        <v>June</v>
      </c>
      <c r="K2807" s="13" t="str">
        <f>IF(' car_sales_data 1'!$G2807&gt;40000,"Premium",
 IF(' car_sales_data 1'!$G2807&gt;=20000,"Mid Range","Budget"))</f>
        <v>Mid Range</v>
      </c>
      <c r="L2807" s="13">
        <f>YEAR(TODAY())-' car_sales_data 1'!$F2807</f>
        <v>6</v>
      </c>
    </row>
    <row r="2808" ht="15.75" customHeight="1">
      <c r="A2808" s="16">
        <v>44886.0</v>
      </c>
      <c r="B2808" s="13" t="s">
        <v>5449</v>
      </c>
      <c r="C2808" s="13" t="s">
        <v>5450</v>
      </c>
      <c r="D2808" s="13" t="s">
        <v>6</v>
      </c>
      <c r="E2808" s="13" t="s">
        <v>54</v>
      </c>
      <c r="F2808" s="13">
        <v>2010.0</v>
      </c>
      <c r="G2808" s="13">
        <v>41961.0</v>
      </c>
      <c r="H2808" s="13">
        <v>5716.36</v>
      </c>
      <c r="I2808" s="13">
        <f>' car_sales_data 1'!$G2808*0.2</f>
        <v>8392.2</v>
      </c>
      <c r="J2808" s="13" t="str">
        <f>TEXT(' car_sales_data 1'!$A2808,"mmmm")</f>
        <v>November</v>
      </c>
      <c r="K2808" s="13" t="str">
        <f>IF(' car_sales_data 1'!$G2808&gt;40000,"Premium",
 IF(' car_sales_data 1'!$G2808&gt;=20000,"Mid Range","Budget"))</f>
        <v>Premium</v>
      </c>
      <c r="L2808" s="13">
        <f>YEAR(TODAY())-' car_sales_data 1'!$F2808</f>
        <v>15</v>
      </c>
    </row>
    <row r="2809" ht="15.75" customHeight="1">
      <c r="A2809" s="16">
        <v>44896.0</v>
      </c>
      <c r="B2809" s="13" t="s">
        <v>5321</v>
      </c>
      <c r="C2809" s="13" t="s">
        <v>5451</v>
      </c>
      <c r="D2809" s="13" t="s">
        <v>14</v>
      </c>
      <c r="E2809" s="13" t="s">
        <v>70</v>
      </c>
      <c r="F2809" s="13">
        <v>2015.0</v>
      </c>
      <c r="G2809" s="13">
        <v>44423.0</v>
      </c>
      <c r="H2809" s="13">
        <v>5370.02</v>
      </c>
      <c r="I2809" s="13">
        <f>' car_sales_data 1'!$G2809*0.2</f>
        <v>8884.6</v>
      </c>
      <c r="J2809" s="13" t="str">
        <f>TEXT(' car_sales_data 1'!$A2809,"mmmm")</f>
        <v>December</v>
      </c>
      <c r="K2809" s="13" t="str">
        <f>IF(' car_sales_data 1'!$G2809&gt;40000,"Premium",
 IF(' car_sales_data 1'!$G2809&gt;=20000,"Mid Range","Budget"))</f>
        <v>Premium</v>
      </c>
      <c r="L2809" s="13">
        <f>YEAR(TODAY())-' car_sales_data 1'!$F2809</f>
        <v>10</v>
      </c>
    </row>
    <row r="2810" ht="15.75" customHeight="1">
      <c r="A2810" s="16">
        <v>44866.0</v>
      </c>
      <c r="B2810" s="13" t="s">
        <v>5452</v>
      </c>
      <c r="C2810" s="13" t="s">
        <v>5453</v>
      </c>
      <c r="D2810" s="13" t="s">
        <v>10</v>
      </c>
      <c r="E2810" s="13" t="s">
        <v>70</v>
      </c>
      <c r="F2810" s="13">
        <v>2013.0</v>
      </c>
      <c r="G2810" s="13">
        <v>46230.0</v>
      </c>
      <c r="H2810" s="13">
        <v>5625.46</v>
      </c>
      <c r="I2810" s="13">
        <f>' car_sales_data 1'!$G2810*0.2</f>
        <v>9246</v>
      </c>
      <c r="J2810" s="13" t="str">
        <f>TEXT(' car_sales_data 1'!$A2810,"mmmm")</f>
        <v>November</v>
      </c>
      <c r="K2810" s="13" t="str">
        <f>IF(' car_sales_data 1'!$G2810&gt;40000,"Premium",
 IF(' car_sales_data 1'!$G2810&gt;=20000,"Mid Range","Budget"))</f>
        <v>Premium</v>
      </c>
      <c r="L2810" s="13">
        <f>YEAR(TODAY())-' car_sales_data 1'!$F2810</f>
        <v>12</v>
      </c>
    </row>
    <row r="2811" ht="15.75" customHeight="1">
      <c r="A2811" s="16">
        <v>44920.0</v>
      </c>
      <c r="B2811" s="13" t="s">
        <v>5454</v>
      </c>
      <c r="C2811" s="13" t="s">
        <v>5455</v>
      </c>
      <c r="D2811" s="13" t="s">
        <v>6</v>
      </c>
      <c r="E2811" s="13" t="s">
        <v>51</v>
      </c>
      <c r="F2811" s="13">
        <v>2011.0</v>
      </c>
      <c r="G2811" s="13">
        <v>35029.0</v>
      </c>
      <c r="H2811" s="13">
        <v>2357.28</v>
      </c>
      <c r="I2811" s="13">
        <f>' car_sales_data 1'!$G2811*0.2</f>
        <v>7005.8</v>
      </c>
      <c r="J2811" s="13" t="str">
        <f>TEXT(' car_sales_data 1'!$A2811,"mmmm")</f>
        <v>December</v>
      </c>
      <c r="K2811" s="13" t="str">
        <f>IF(' car_sales_data 1'!$G2811&gt;40000,"Premium",
 IF(' car_sales_data 1'!$G2811&gt;=20000,"Mid Range","Budget"))</f>
        <v>Mid Range</v>
      </c>
      <c r="L2811" s="13">
        <f>YEAR(TODAY())-' car_sales_data 1'!$F2811</f>
        <v>14</v>
      </c>
    </row>
    <row r="2812" ht="15.75" customHeight="1">
      <c r="A2812" s="16">
        <v>44943.0</v>
      </c>
      <c r="B2812" s="13" t="s">
        <v>5456</v>
      </c>
      <c r="C2812" s="13" t="s">
        <v>5457</v>
      </c>
      <c r="D2812" s="13" t="s">
        <v>12</v>
      </c>
      <c r="E2812" s="13" t="s">
        <v>70</v>
      </c>
      <c r="F2812" s="13">
        <v>2019.0</v>
      </c>
      <c r="G2812" s="13">
        <v>31501.0</v>
      </c>
      <c r="H2812" s="13">
        <v>3887.82</v>
      </c>
      <c r="I2812" s="13">
        <f>' car_sales_data 1'!$G2812*0.2</f>
        <v>6300.2</v>
      </c>
      <c r="J2812" s="13" t="str">
        <f>TEXT(' car_sales_data 1'!$A2812,"mmmm")</f>
        <v>January</v>
      </c>
      <c r="K2812" s="13" t="str">
        <f>IF(' car_sales_data 1'!$G2812&gt;40000,"Premium",
 IF(' car_sales_data 1'!$G2812&gt;=20000,"Mid Range","Budget"))</f>
        <v>Mid Range</v>
      </c>
      <c r="L2812" s="13">
        <f>YEAR(TODAY())-' car_sales_data 1'!$F2812</f>
        <v>6</v>
      </c>
    </row>
    <row r="2813" ht="15.75" customHeight="1">
      <c r="A2813" s="16">
        <v>44742.0</v>
      </c>
      <c r="B2813" s="13" t="s">
        <v>5458</v>
      </c>
      <c r="C2813" s="13" t="s">
        <v>5459</v>
      </c>
      <c r="D2813" s="13" t="s">
        <v>6</v>
      </c>
      <c r="E2813" s="13" t="s">
        <v>57</v>
      </c>
      <c r="F2813" s="13">
        <v>2017.0</v>
      </c>
      <c r="G2813" s="13">
        <v>42421.0</v>
      </c>
      <c r="H2813" s="13">
        <v>4284.62</v>
      </c>
      <c r="I2813" s="13">
        <f>' car_sales_data 1'!$G2813*0.2</f>
        <v>8484.2</v>
      </c>
      <c r="J2813" s="13" t="str">
        <f>TEXT(' car_sales_data 1'!$A2813,"mmmm")</f>
        <v>June</v>
      </c>
      <c r="K2813" s="13" t="str">
        <f>IF(' car_sales_data 1'!$G2813&gt;40000,"Premium",
 IF(' car_sales_data 1'!$G2813&gt;=20000,"Mid Range","Budget"))</f>
        <v>Premium</v>
      </c>
      <c r="L2813" s="13">
        <f>YEAR(TODAY())-' car_sales_data 1'!$F2813</f>
        <v>8</v>
      </c>
    </row>
    <row r="2814" ht="15.75" customHeight="1">
      <c r="A2814" s="16">
        <v>44780.0</v>
      </c>
      <c r="B2814" s="13" t="s">
        <v>5460</v>
      </c>
      <c r="C2814" s="13" t="s">
        <v>5461</v>
      </c>
      <c r="D2814" s="13" t="s">
        <v>6</v>
      </c>
      <c r="E2814" s="13" t="s">
        <v>62</v>
      </c>
      <c r="F2814" s="13">
        <v>2022.0</v>
      </c>
      <c r="G2814" s="13">
        <v>48039.0</v>
      </c>
      <c r="H2814" s="13">
        <v>6133.0</v>
      </c>
      <c r="I2814" s="13">
        <f>' car_sales_data 1'!$G2814*0.2</f>
        <v>9607.8</v>
      </c>
      <c r="J2814" s="13" t="str">
        <f>TEXT(' car_sales_data 1'!$A2814,"mmmm")</f>
        <v>August</v>
      </c>
      <c r="K2814" s="13" t="str">
        <f>IF(' car_sales_data 1'!$G2814&gt;40000,"Premium",
 IF(' car_sales_data 1'!$G2814&gt;=20000,"Mid Range","Budget"))</f>
        <v>Premium</v>
      </c>
      <c r="L2814" s="13">
        <f>YEAR(TODAY())-' car_sales_data 1'!$F2814</f>
        <v>3</v>
      </c>
    </row>
    <row r="2815" ht="15.75" customHeight="1">
      <c r="A2815" s="16">
        <v>44999.0</v>
      </c>
      <c r="B2815" s="13" t="s">
        <v>5462</v>
      </c>
      <c r="C2815" s="13" t="s">
        <v>5463</v>
      </c>
      <c r="D2815" s="13" t="s">
        <v>8</v>
      </c>
      <c r="E2815" s="13" t="s">
        <v>54</v>
      </c>
      <c r="F2815" s="13">
        <v>2011.0</v>
      </c>
      <c r="G2815" s="13">
        <v>42053.0</v>
      </c>
      <c r="H2815" s="13">
        <v>4148.82</v>
      </c>
      <c r="I2815" s="13">
        <f>' car_sales_data 1'!$G2815*0.2</f>
        <v>8410.6</v>
      </c>
      <c r="J2815" s="13" t="str">
        <f>TEXT(' car_sales_data 1'!$A2815,"mmmm")</f>
        <v>March</v>
      </c>
      <c r="K2815" s="13" t="str">
        <f>IF(' car_sales_data 1'!$G2815&gt;40000,"Premium",
 IF(' car_sales_data 1'!$G2815&gt;=20000,"Mid Range","Budget"))</f>
        <v>Premium</v>
      </c>
      <c r="L2815" s="13">
        <f>YEAR(TODAY())-' car_sales_data 1'!$F2815</f>
        <v>14</v>
      </c>
    </row>
    <row r="2816" ht="15.75" customHeight="1">
      <c r="A2816" s="16">
        <v>44895.0</v>
      </c>
      <c r="B2816" s="13" t="s">
        <v>5464</v>
      </c>
      <c r="C2816" s="13" t="s">
        <v>5465</v>
      </c>
      <c r="D2816" s="13" t="s">
        <v>6</v>
      </c>
      <c r="E2816" s="13" t="s">
        <v>51</v>
      </c>
      <c r="F2816" s="13">
        <v>2019.0</v>
      </c>
      <c r="G2816" s="13">
        <v>14993.0</v>
      </c>
      <c r="H2816" s="13">
        <v>1501.86</v>
      </c>
      <c r="I2816" s="13">
        <f>' car_sales_data 1'!$G2816*0.2</f>
        <v>2998.6</v>
      </c>
      <c r="J2816" s="13" t="str">
        <f>TEXT(' car_sales_data 1'!$A2816,"mmmm")</f>
        <v>November</v>
      </c>
      <c r="K2816" s="13" t="str">
        <f>IF(' car_sales_data 1'!$G2816&gt;40000,"Premium",
 IF(' car_sales_data 1'!$G2816&gt;=20000,"Mid Range","Budget"))</f>
        <v>Budget</v>
      </c>
      <c r="L2816" s="13">
        <f>YEAR(TODAY())-' car_sales_data 1'!$F2816</f>
        <v>6</v>
      </c>
    </row>
    <row r="2817" ht="15.75" customHeight="1">
      <c r="A2817" s="16">
        <v>44757.0</v>
      </c>
      <c r="B2817" s="13" t="s">
        <v>2060</v>
      </c>
      <c r="C2817" s="13" t="s">
        <v>5466</v>
      </c>
      <c r="D2817" s="13" t="s">
        <v>10</v>
      </c>
      <c r="E2817" s="13" t="s">
        <v>62</v>
      </c>
      <c r="F2817" s="13">
        <v>2021.0</v>
      </c>
      <c r="G2817" s="13">
        <v>31513.0</v>
      </c>
      <c r="H2817" s="13">
        <v>3997.62</v>
      </c>
      <c r="I2817" s="13">
        <f>' car_sales_data 1'!$G2817*0.2</f>
        <v>6302.6</v>
      </c>
      <c r="J2817" s="13" t="str">
        <f>TEXT(' car_sales_data 1'!$A2817,"mmmm")</f>
        <v>July</v>
      </c>
      <c r="K2817" s="13" t="str">
        <f>IF(' car_sales_data 1'!$G2817&gt;40000,"Premium",
 IF(' car_sales_data 1'!$G2817&gt;=20000,"Mid Range","Budget"))</f>
        <v>Mid Range</v>
      </c>
      <c r="L2817" s="13">
        <f>YEAR(TODAY())-' car_sales_data 1'!$F2817</f>
        <v>4</v>
      </c>
    </row>
    <row r="2818" ht="15.75" customHeight="1">
      <c r="A2818" s="16">
        <v>45017.0</v>
      </c>
      <c r="B2818" s="13" t="s">
        <v>5467</v>
      </c>
      <c r="C2818" s="13" t="s">
        <v>5468</v>
      </c>
      <c r="D2818" s="13" t="s">
        <v>6</v>
      </c>
      <c r="E2818" s="13" t="s">
        <v>70</v>
      </c>
      <c r="F2818" s="13">
        <v>2018.0</v>
      </c>
      <c r="G2818" s="13">
        <v>32327.0</v>
      </c>
      <c r="H2818" s="13">
        <v>2237.64</v>
      </c>
      <c r="I2818" s="13">
        <f>' car_sales_data 1'!$G2818*0.2</f>
        <v>6465.4</v>
      </c>
      <c r="J2818" s="13" t="str">
        <f>TEXT(' car_sales_data 1'!$A2818,"mmmm")</f>
        <v>April</v>
      </c>
      <c r="K2818" s="13" t="str">
        <f>IF(' car_sales_data 1'!$G2818&gt;40000,"Premium",
 IF(' car_sales_data 1'!$G2818&gt;=20000,"Mid Range","Budget"))</f>
        <v>Mid Range</v>
      </c>
      <c r="L2818" s="13">
        <f>YEAR(TODAY())-' car_sales_data 1'!$F2818</f>
        <v>7</v>
      </c>
    </row>
    <row r="2819" ht="15.75" customHeight="1">
      <c r="A2819" s="16">
        <v>45017.0</v>
      </c>
      <c r="B2819" s="13" t="s">
        <v>5469</v>
      </c>
      <c r="C2819" s="13" t="s">
        <v>5470</v>
      </c>
      <c r="D2819" s="13" t="s">
        <v>6</v>
      </c>
      <c r="E2819" s="13" t="s">
        <v>62</v>
      </c>
      <c r="F2819" s="13">
        <v>2019.0</v>
      </c>
      <c r="G2819" s="13">
        <v>37783.0</v>
      </c>
      <c r="H2819" s="13">
        <v>3760.97</v>
      </c>
      <c r="I2819" s="13">
        <f>' car_sales_data 1'!$G2819*0.2</f>
        <v>7556.6</v>
      </c>
      <c r="J2819" s="13" t="str">
        <f>TEXT(' car_sales_data 1'!$A2819,"mmmm")</f>
        <v>April</v>
      </c>
      <c r="K2819" s="13" t="str">
        <f>IF(' car_sales_data 1'!$G2819&gt;40000,"Premium",
 IF(' car_sales_data 1'!$G2819&gt;=20000,"Mid Range","Budget"))</f>
        <v>Mid Range</v>
      </c>
      <c r="L2819" s="13">
        <f>YEAR(TODAY())-' car_sales_data 1'!$F2819</f>
        <v>6</v>
      </c>
    </row>
    <row r="2820" ht="15.75" customHeight="1">
      <c r="A2820" s="16">
        <v>44815.0</v>
      </c>
      <c r="B2820" s="13" t="s">
        <v>5471</v>
      </c>
      <c r="C2820" s="13" t="s">
        <v>5419</v>
      </c>
      <c r="D2820" s="13" t="s">
        <v>14</v>
      </c>
      <c r="E2820" s="13" t="s">
        <v>54</v>
      </c>
      <c r="F2820" s="13">
        <v>2019.0</v>
      </c>
      <c r="G2820" s="13">
        <v>40012.0</v>
      </c>
      <c r="H2820" s="13">
        <v>3972.55</v>
      </c>
      <c r="I2820" s="13">
        <f>' car_sales_data 1'!$G2820*0.2</f>
        <v>8002.4</v>
      </c>
      <c r="J2820" s="13" t="str">
        <f>TEXT(' car_sales_data 1'!$A2820,"mmmm")</f>
        <v>September</v>
      </c>
      <c r="K2820" s="13" t="str">
        <f>IF(' car_sales_data 1'!$G2820&gt;40000,"Premium",
 IF(' car_sales_data 1'!$G2820&gt;=20000,"Mid Range","Budget"))</f>
        <v>Premium</v>
      </c>
      <c r="L2820" s="13">
        <f>YEAR(TODAY())-' car_sales_data 1'!$F2820</f>
        <v>6</v>
      </c>
    </row>
    <row r="2821" ht="15.75" customHeight="1">
      <c r="A2821" s="16">
        <v>44750.0</v>
      </c>
      <c r="B2821" s="13" t="s">
        <v>7</v>
      </c>
      <c r="C2821" s="13" t="s">
        <v>5472</v>
      </c>
      <c r="D2821" s="13" t="s">
        <v>14</v>
      </c>
      <c r="E2821" s="13" t="s">
        <v>57</v>
      </c>
      <c r="F2821" s="13">
        <v>2011.0</v>
      </c>
      <c r="G2821" s="13">
        <v>31540.0</v>
      </c>
      <c r="H2821" s="13">
        <v>4485.15</v>
      </c>
      <c r="I2821" s="13">
        <f>' car_sales_data 1'!$G2821*0.2</f>
        <v>6308</v>
      </c>
      <c r="J2821" s="13" t="str">
        <f>TEXT(' car_sales_data 1'!$A2821,"mmmm")</f>
        <v>July</v>
      </c>
      <c r="K2821" s="13" t="str">
        <f>IF(' car_sales_data 1'!$G2821&gt;40000,"Premium",
 IF(' car_sales_data 1'!$G2821&gt;=20000,"Mid Range","Budget"))</f>
        <v>Mid Range</v>
      </c>
      <c r="L2821" s="13">
        <f>YEAR(TODAY())-' car_sales_data 1'!$F2821</f>
        <v>14</v>
      </c>
    </row>
    <row r="2822" ht="15.75" customHeight="1">
      <c r="A2822" s="16">
        <v>44695.0</v>
      </c>
      <c r="B2822" s="13" t="s">
        <v>5473</v>
      </c>
      <c r="C2822" s="13" t="s">
        <v>1242</v>
      </c>
      <c r="D2822" s="13" t="s">
        <v>14</v>
      </c>
      <c r="E2822" s="13" t="s">
        <v>57</v>
      </c>
      <c r="F2822" s="13">
        <v>2019.0</v>
      </c>
      <c r="G2822" s="13">
        <v>38973.0</v>
      </c>
      <c r="H2822" s="13">
        <v>5635.63</v>
      </c>
      <c r="I2822" s="13">
        <f>' car_sales_data 1'!$G2822*0.2</f>
        <v>7794.6</v>
      </c>
      <c r="J2822" s="13" t="str">
        <f>TEXT(' car_sales_data 1'!$A2822,"mmmm")</f>
        <v>May</v>
      </c>
      <c r="K2822" s="13" t="str">
        <f>IF(' car_sales_data 1'!$G2822&gt;40000,"Premium",
 IF(' car_sales_data 1'!$G2822&gt;=20000,"Mid Range","Budget"))</f>
        <v>Mid Range</v>
      </c>
      <c r="L2822" s="13">
        <f>YEAR(TODAY())-' car_sales_data 1'!$F2822</f>
        <v>6</v>
      </c>
    </row>
    <row r="2823" ht="15.75" customHeight="1">
      <c r="A2823" s="16">
        <v>45011.0</v>
      </c>
      <c r="B2823" s="13" t="s">
        <v>5474</v>
      </c>
      <c r="C2823" s="13" t="s">
        <v>5475</v>
      </c>
      <c r="D2823" s="13" t="s">
        <v>12</v>
      </c>
      <c r="E2823" s="13" t="s">
        <v>54</v>
      </c>
      <c r="F2823" s="13">
        <v>2014.0</v>
      </c>
      <c r="G2823" s="13">
        <v>48961.0</v>
      </c>
      <c r="H2823" s="13">
        <v>6930.74</v>
      </c>
      <c r="I2823" s="13">
        <f>' car_sales_data 1'!$G2823*0.2</f>
        <v>9792.2</v>
      </c>
      <c r="J2823" s="13" t="str">
        <f>TEXT(' car_sales_data 1'!$A2823,"mmmm")</f>
        <v>March</v>
      </c>
      <c r="K2823" s="13" t="str">
        <f>IF(' car_sales_data 1'!$G2823&gt;40000,"Premium",
 IF(' car_sales_data 1'!$G2823&gt;=20000,"Mid Range","Budget"))</f>
        <v>Premium</v>
      </c>
      <c r="L2823" s="13">
        <f>YEAR(TODAY())-' car_sales_data 1'!$F2823</f>
        <v>11</v>
      </c>
    </row>
    <row r="2824" ht="15.75" customHeight="1">
      <c r="A2824" s="16">
        <v>44951.0</v>
      </c>
      <c r="B2824" s="13" t="s">
        <v>5476</v>
      </c>
      <c r="C2824" s="13" t="s">
        <v>5477</v>
      </c>
      <c r="D2824" s="13" t="s">
        <v>6</v>
      </c>
      <c r="E2824" s="13" t="s">
        <v>70</v>
      </c>
      <c r="F2824" s="13">
        <v>2022.0</v>
      </c>
      <c r="G2824" s="13">
        <v>37581.0</v>
      </c>
      <c r="H2824" s="13">
        <v>2902.06</v>
      </c>
      <c r="I2824" s="13">
        <f>' car_sales_data 1'!$G2824*0.2</f>
        <v>7516.2</v>
      </c>
      <c r="J2824" s="13" t="str">
        <f>TEXT(' car_sales_data 1'!$A2824,"mmmm")</f>
        <v>January</v>
      </c>
      <c r="K2824" s="13" t="str">
        <f>IF(' car_sales_data 1'!$G2824&gt;40000,"Premium",
 IF(' car_sales_data 1'!$G2824&gt;=20000,"Mid Range","Budget"))</f>
        <v>Mid Range</v>
      </c>
      <c r="L2824" s="13">
        <f>YEAR(TODAY())-' car_sales_data 1'!$F2824</f>
        <v>3</v>
      </c>
    </row>
    <row r="2825" ht="15.75" customHeight="1">
      <c r="A2825" s="16">
        <v>44710.0</v>
      </c>
      <c r="B2825" s="13" t="s">
        <v>5478</v>
      </c>
      <c r="C2825" s="13" t="s">
        <v>5479</v>
      </c>
      <c r="D2825" s="13" t="s">
        <v>10</v>
      </c>
      <c r="E2825" s="13" t="s">
        <v>70</v>
      </c>
      <c r="F2825" s="13">
        <v>2021.0</v>
      </c>
      <c r="G2825" s="13">
        <v>13555.0</v>
      </c>
      <c r="H2825" s="13">
        <v>986.5</v>
      </c>
      <c r="I2825" s="13">
        <f>' car_sales_data 1'!$G2825*0.2</f>
        <v>2711</v>
      </c>
      <c r="J2825" s="13" t="str">
        <f>TEXT(' car_sales_data 1'!$A2825,"mmmm")</f>
        <v>May</v>
      </c>
      <c r="K2825" s="13" t="str">
        <f>IF(' car_sales_data 1'!$G2825&gt;40000,"Premium",
 IF(' car_sales_data 1'!$G2825&gt;=20000,"Mid Range","Budget"))</f>
        <v>Budget</v>
      </c>
      <c r="L2825" s="13">
        <f>YEAR(TODAY())-' car_sales_data 1'!$F2825</f>
        <v>4</v>
      </c>
    </row>
    <row r="2826" ht="15.75" customHeight="1">
      <c r="A2826" s="16">
        <v>44861.0</v>
      </c>
      <c r="B2826" s="13" t="s">
        <v>5480</v>
      </c>
      <c r="C2826" s="13" t="s">
        <v>5481</v>
      </c>
      <c r="D2826" s="13" t="s">
        <v>12</v>
      </c>
      <c r="E2826" s="13" t="s">
        <v>51</v>
      </c>
      <c r="F2826" s="13">
        <v>2013.0</v>
      </c>
      <c r="G2826" s="13">
        <v>28959.0</v>
      </c>
      <c r="H2826" s="13">
        <v>2347.8</v>
      </c>
      <c r="I2826" s="13">
        <f>' car_sales_data 1'!$G2826*0.2</f>
        <v>5791.8</v>
      </c>
      <c r="J2826" s="13" t="str">
        <f>TEXT(' car_sales_data 1'!$A2826,"mmmm")</f>
        <v>October</v>
      </c>
      <c r="K2826" s="13" t="str">
        <f>IF(' car_sales_data 1'!$G2826&gt;40000,"Premium",
 IF(' car_sales_data 1'!$G2826&gt;=20000,"Mid Range","Budget"))</f>
        <v>Mid Range</v>
      </c>
      <c r="L2826" s="13">
        <f>YEAR(TODAY())-' car_sales_data 1'!$F2826</f>
        <v>12</v>
      </c>
    </row>
    <row r="2827" ht="15.75" customHeight="1">
      <c r="A2827" s="16">
        <v>44896.0</v>
      </c>
      <c r="B2827" s="13" t="s">
        <v>5482</v>
      </c>
      <c r="C2827" s="13" t="s">
        <v>5483</v>
      </c>
      <c r="D2827" s="13" t="s">
        <v>14</v>
      </c>
      <c r="E2827" s="13" t="s">
        <v>54</v>
      </c>
      <c r="F2827" s="13">
        <v>2014.0</v>
      </c>
      <c r="G2827" s="13">
        <v>44658.0</v>
      </c>
      <c r="H2827" s="13">
        <v>4750.11</v>
      </c>
      <c r="I2827" s="13">
        <f>' car_sales_data 1'!$G2827*0.2</f>
        <v>8931.6</v>
      </c>
      <c r="J2827" s="13" t="str">
        <f>TEXT(' car_sales_data 1'!$A2827,"mmmm")</f>
        <v>December</v>
      </c>
      <c r="K2827" s="13" t="str">
        <f>IF(' car_sales_data 1'!$G2827&gt;40000,"Premium",
 IF(' car_sales_data 1'!$G2827&gt;=20000,"Mid Range","Budget"))</f>
        <v>Premium</v>
      </c>
      <c r="L2827" s="13">
        <f>YEAR(TODAY())-' car_sales_data 1'!$F2827</f>
        <v>11</v>
      </c>
    </row>
    <row r="2828" ht="15.75" customHeight="1">
      <c r="A2828" s="16">
        <v>44868.0</v>
      </c>
      <c r="B2828" s="13" t="s">
        <v>5484</v>
      </c>
      <c r="C2828" s="13" t="s">
        <v>5485</v>
      </c>
      <c r="D2828" s="13" t="s">
        <v>12</v>
      </c>
      <c r="E2828" s="13" t="s">
        <v>51</v>
      </c>
      <c r="F2828" s="13">
        <v>2020.0</v>
      </c>
      <c r="G2828" s="13">
        <v>34629.0</v>
      </c>
      <c r="H2828" s="13">
        <v>4695.38</v>
      </c>
      <c r="I2828" s="13">
        <f>' car_sales_data 1'!$G2828*0.2</f>
        <v>6925.8</v>
      </c>
      <c r="J2828" s="13" t="str">
        <f>TEXT(' car_sales_data 1'!$A2828,"mmmm")</f>
        <v>November</v>
      </c>
      <c r="K2828" s="13" t="str">
        <f>IF(' car_sales_data 1'!$G2828&gt;40000,"Premium",
 IF(' car_sales_data 1'!$G2828&gt;=20000,"Mid Range","Budget"))</f>
        <v>Mid Range</v>
      </c>
      <c r="L2828" s="13">
        <f>YEAR(TODAY())-' car_sales_data 1'!$F2828</f>
        <v>5</v>
      </c>
    </row>
    <row r="2829" ht="15.75" customHeight="1">
      <c r="A2829" s="16">
        <v>44807.0</v>
      </c>
      <c r="B2829" s="13" t="s">
        <v>5486</v>
      </c>
      <c r="C2829" s="13" t="s">
        <v>5487</v>
      </c>
      <c r="D2829" s="13" t="s">
        <v>10</v>
      </c>
      <c r="E2829" s="13" t="s">
        <v>57</v>
      </c>
      <c r="F2829" s="13">
        <v>2013.0</v>
      </c>
      <c r="G2829" s="13">
        <v>46295.0</v>
      </c>
      <c r="H2829" s="13">
        <v>6076.41</v>
      </c>
      <c r="I2829" s="13">
        <f>' car_sales_data 1'!$G2829*0.2</f>
        <v>9259</v>
      </c>
      <c r="J2829" s="13" t="str">
        <f>TEXT(' car_sales_data 1'!$A2829,"mmmm")</f>
        <v>September</v>
      </c>
      <c r="K2829" s="13" t="str">
        <f>IF(' car_sales_data 1'!$G2829&gt;40000,"Premium",
 IF(' car_sales_data 1'!$G2829&gt;=20000,"Mid Range","Budget"))</f>
        <v>Premium</v>
      </c>
      <c r="L2829" s="13">
        <f>YEAR(TODAY())-' car_sales_data 1'!$F2829</f>
        <v>12</v>
      </c>
    </row>
    <row r="2830" ht="15.75" customHeight="1">
      <c r="A2830" s="16">
        <v>44685.0</v>
      </c>
      <c r="B2830" s="13" t="s">
        <v>5488</v>
      </c>
      <c r="C2830" s="13" t="s">
        <v>5489</v>
      </c>
      <c r="D2830" s="13" t="s">
        <v>12</v>
      </c>
      <c r="E2830" s="13" t="s">
        <v>57</v>
      </c>
      <c r="F2830" s="13">
        <v>2015.0</v>
      </c>
      <c r="G2830" s="13">
        <v>48248.0</v>
      </c>
      <c r="H2830" s="13">
        <v>4482.4</v>
      </c>
      <c r="I2830" s="13">
        <f>' car_sales_data 1'!$G2830*0.2</f>
        <v>9649.6</v>
      </c>
      <c r="J2830" s="13" t="str">
        <f>TEXT(' car_sales_data 1'!$A2830,"mmmm")</f>
        <v>May</v>
      </c>
      <c r="K2830" s="13" t="str">
        <f>IF(' car_sales_data 1'!$G2830&gt;40000,"Premium",
 IF(' car_sales_data 1'!$G2830&gt;=20000,"Mid Range","Budget"))</f>
        <v>Premium</v>
      </c>
      <c r="L2830" s="13">
        <f>YEAR(TODAY())-' car_sales_data 1'!$F2830</f>
        <v>10</v>
      </c>
    </row>
    <row r="2831" ht="15.75" customHeight="1">
      <c r="A2831" s="16">
        <v>44701.0</v>
      </c>
      <c r="B2831" s="13" t="s">
        <v>1941</v>
      </c>
      <c r="C2831" s="13" t="s">
        <v>5490</v>
      </c>
      <c r="D2831" s="13" t="s">
        <v>10</v>
      </c>
      <c r="E2831" s="13" t="s">
        <v>70</v>
      </c>
      <c r="F2831" s="13">
        <v>2020.0</v>
      </c>
      <c r="G2831" s="13">
        <v>21859.0</v>
      </c>
      <c r="H2831" s="13">
        <v>1723.5</v>
      </c>
      <c r="I2831" s="13">
        <f>' car_sales_data 1'!$G2831*0.2</f>
        <v>4371.8</v>
      </c>
      <c r="J2831" s="13" t="str">
        <f>TEXT(' car_sales_data 1'!$A2831,"mmmm")</f>
        <v>May</v>
      </c>
      <c r="K2831" s="13" t="str">
        <f>IF(' car_sales_data 1'!$G2831&gt;40000,"Premium",
 IF(' car_sales_data 1'!$G2831&gt;=20000,"Mid Range","Budget"))</f>
        <v>Mid Range</v>
      </c>
      <c r="L2831" s="13">
        <f>YEAR(TODAY())-' car_sales_data 1'!$F2831</f>
        <v>5</v>
      </c>
    </row>
    <row r="2832" ht="15.75" customHeight="1">
      <c r="A2832" s="16">
        <v>44735.0</v>
      </c>
      <c r="B2832" s="13" t="s">
        <v>5491</v>
      </c>
      <c r="C2832" s="13" t="s">
        <v>1884</v>
      </c>
      <c r="D2832" s="13" t="s">
        <v>6</v>
      </c>
      <c r="E2832" s="13" t="s">
        <v>51</v>
      </c>
      <c r="F2832" s="13">
        <v>2011.0</v>
      </c>
      <c r="G2832" s="13">
        <v>11605.0</v>
      </c>
      <c r="H2832" s="13">
        <v>812.78</v>
      </c>
      <c r="I2832" s="13">
        <f>' car_sales_data 1'!$G2832*0.2</f>
        <v>2321</v>
      </c>
      <c r="J2832" s="13" t="str">
        <f>TEXT(' car_sales_data 1'!$A2832,"mmmm")</f>
        <v>June</v>
      </c>
      <c r="K2832" s="13" t="str">
        <f>IF(' car_sales_data 1'!$G2832&gt;40000,"Premium",
 IF(' car_sales_data 1'!$G2832&gt;=20000,"Mid Range","Budget"))</f>
        <v>Budget</v>
      </c>
      <c r="L2832" s="13">
        <f>YEAR(TODAY())-' car_sales_data 1'!$F2832</f>
        <v>14</v>
      </c>
    </row>
    <row r="2833" ht="15.75" customHeight="1">
      <c r="A2833" s="16">
        <v>44984.0</v>
      </c>
      <c r="B2833" s="13" t="s">
        <v>5492</v>
      </c>
      <c r="C2833" s="13" t="s">
        <v>5493</v>
      </c>
      <c r="D2833" s="13" t="s">
        <v>8</v>
      </c>
      <c r="E2833" s="13" t="s">
        <v>54</v>
      </c>
      <c r="F2833" s="13">
        <v>2011.0</v>
      </c>
      <c r="G2833" s="13">
        <v>30093.0</v>
      </c>
      <c r="H2833" s="13">
        <v>1763.47</v>
      </c>
      <c r="I2833" s="13">
        <f>' car_sales_data 1'!$G2833*0.2</f>
        <v>6018.6</v>
      </c>
      <c r="J2833" s="13" t="str">
        <f>TEXT(' car_sales_data 1'!$A2833,"mmmm")</f>
        <v>February</v>
      </c>
      <c r="K2833" s="13" t="str">
        <f>IF(' car_sales_data 1'!$G2833&gt;40000,"Premium",
 IF(' car_sales_data 1'!$G2833&gt;=20000,"Mid Range","Budget"))</f>
        <v>Mid Range</v>
      </c>
      <c r="L2833" s="13">
        <f>YEAR(TODAY())-' car_sales_data 1'!$F2833</f>
        <v>14</v>
      </c>
    </row>
    <row r="2834" ht="15.75" customHeight="1">
      <c r="A2834" s="16">
        <v>44953.0</v>
      </c>
      <c r="B2834" s="13" t="s">
        <v>5494</v>
      </c>
      <c r="C2834" s="13" t="s">
        <v>5495</v>
      </c>
      <c r="D2834" s="13" t="s">
        <v>12</v>
      </c>
      <c r="E2834" s="13" t="s">
        <v>51</v>
      </c>
      <c r="F2834" s="13">
        <v>2011.0</v>
      </c>
      <c r="G2834" s="13">
        <v>48281.0</v>
      </c>
      <c r="H2834" s="13">
        <v>4386.24</v>
      </c>
      <c r="I2834" s="13">
        <f>' car_sales_data 1'!$G2834*0.2</f>
        <v>9656.2</v>
      </c>
      <c r="J2834" s="13" t="str">
        <f>TEXT(' car_sales_data 1'!$A2834,"mmmm")</f>
        <v>January</v>
      </c>
      <c r="K2834" s="13" t="str">
        <f>IF(' car_sales_data 1'!$G2834&gt;40000,"Premium",
 IF(' car_sales_data 1'!$G2834&gt;=20000,"Mid Range","Budget"))</f>
        <v>Premium</v>
      </c>
      <c r="L2834" s="13">
        <f>YEAR(TODAY())-' car_sales_data 1'!$F2834</f>
        <v>14</v>
      </c>
    </row>
    <row r="2835" ht="15.75" customHeight="1">
      <c r="A2835" s="16">
        <v>44818.0</v>
      </c>
      <c r="B2835" s="13" t="s">
        <v>5496</v>
      </c>
      <c r="C2835" s="13" t="s">
        <v>5497</v>
      </c>
      <c r="D2835" s="13" t="s">
        <v>14</v>
      </c>
      <c r="E2835" s="13" t="s">
        <v>62</v>
      </c>
      <c r="F2835" s="13">
        <v>2011.0</v>
      </c>
      <c r="G2835" s="13">
        <v>48382.0</v>
      </c>
      <c r="H2835" s="13">
        <v>5774.68</v>
      </c>
      <c r="I2835" s="13">
        <f>' car_sales_data 1'!$G2835*0.2</f>
        <v>9676.4</v>
      </c>
      <c r="J2835" s="13" t="str">
        <f>TEXT(' car_sales_data 1'!$A2835,"mmmm")</f>
        <v>September</v>
      </c>
      <c r="K2835" s="13" t="str">
        <f>IF(' car_sales_data 1'!$G2835&gt;40000,"Premium",
 IF(' car_sales_data 1'!$G2835&gt;=20000,"Mid Range","Budget"))</f>
        <v>Premium</v>
      </c>
      <c r="L2835" s="13">
        <f>YEAR(TODAY())-' car_sales_data 1'!$F2835</f>
        <v>14</v>
      </c>
    </row>
    <row r="2836" ht="15.75" customHeight="1">
      <c r="A2836" s="16">
        <v>44934.0</v>
      </c>
      <c r="B2836" s="13" t="s">
        <v>5498</v>
      </c>
      <c r="C2836" s="13" t="s">
        <v>5499</v>
      </c>
      <c r="D2836" s="13" t="s">
        <v>10</v>
      </c>
      <c r="E2836" s="13" t="s">
        <v>70</v>
      </c>
      <c r="F2836" s="13">
        <v>2010.0</v>
      </c>
      <c r="G2836" s="13">
        <v>12967.0</v>
      </c>
      <c r="H2836" s="13">
        <v>1121.49</v>
      </c>
      <c r="I2836" s="13">
        <f>' car_sales_data 1'!$G2836*0.2</f>
        <v>2593.4</v>
      </c>
      <c r="J2836" s="13" t="str">
        <f>TEXT(' car_sales_data 1'!$A2836,"mmmm")</f>
        <v>January</v>
      </c>
      <c r="K2836" s="13" t="str">
        <f>IF(' car_sales_data 1'!$G2836&gt;40000,"Premium",
 IF(' car_sales_data 1'!$G2836&gt;=20000,"Mid Range","Budget"))</f>
        <v>Budget</v>
      </c>
      <c r="L2836" s="13">
        <f>YEAR(TODAY())-' car_sales_data 1'!$F2836</f>
        <v>15</v>
      </c>
    </row>
    <row r="2837" ht="15.75" customHeight="1">
      <c r="A2837" s="16">
        <v>44824.0</v>
      </c>
      <c r="B2837" s="13" t="s">
        <v>5500</v>
      </c>
      <c r="C2837" s="13" t="s">
        <v>5501</v>
      </c>
      <c r="D2837" s="13" t="s">
        <v>8</v>
      </c>
      <c r="E2837" s="13" t="s">
        <v>54</v>
      </c>
      <c r="F2837" s="13">
        <v>2012.0</v>
      </c>
      <c r="G2837" s="13">
        <v>15117.0</v>
      </c>
      <c r="H2837" s="13">
        <v>2196.57</v>
      </c>
      <c r="I2837" s="13">
        <f>' car_sales_data 1'!$G2837*0.2</f>
        <v>3023.4</v>
      </c>
      <c r="J2837" s="13" t="str">
        <f>TEXT(' car_sales_data 1'!$A2837,"mmmm")</f>
        <v>September</v>
      </c>
      <c r="K2837" s="13" t="str">
        <f>IF(' car_sales_data 1'!$G2837&gt;40000,"Premium",
 IF(' car_sales_data 1'!$G2837&gt;=20000,"Mid Range","Budget"))</f>
        <v>Budget</v>
      </c>
      <c r="L2837" s="13">
        <f>YEAR(TODAY())-' car_sales_data 1'!$F2837</f>
        <v>13</v>
      </c>
    </row>
    <row r="2838" ht="15.75" customHeight="1">
      <c r="A2838" s="16">
        <v>45035.0</v>
      </c>
      <c r="B2838" s="13" t="s">
        <v>5502</v>
      </c>
      <c r="C2838" s="13" t="s">
        <v>5503</v>
      </c>
      <c r="D2838" s="13" t="s">
        <v>6</v>
      </c>
      <c r="E2838" s="13" t="s">
        <v>54</v>
      </c>
      <c r="F2838" s="13">
        <v>2019.0</v>
      </c>
      <c r="G2838" s="13">
        <v>49445.0</v>
      </c>
      <c r="H2838" s="13">
        <v>3476.18</v>
      </c>
      <c r="I2838" s="13">
        <f>' car_sales_data 1'!$G2838*0.2</f>
        <v>9889</v>
      </c>
      <c r="J2838" s="13" t="str">
        <f>TEXT(' car_sales_data 1'!$A2838,"mmmm")</f>
        <v>April</v>
      </c>
      <c r="K2838" s="13" t="str">
        <f>IF(' car_sales_data 1'!$G2838&gt;40000,"Premium",
 IF(' car_sales_data 1'!$G2838&gt;=20000,"Mid Range","Budget"))</f>
        <v>Premium</v>
      </c>
      <c r="L2838" s="13">
        <f>YEAR(TODAY())-' car_sales_data 1'!$F2838</f>
        <v>6</v>
      </c>
    </row>
    <row r="2839" ht="15.75" customHeight="1">
      <c r="A2839" s="16">
        <v>44842.0</v>
      </c>
      <c r="B2839" s="13" t="s">
        <v>5504</v>
      </c>
      <c r="C2839" s="13" t="s">
        <v>5505</v>
      </c>
      <c r="D2839" s="13" t="s">
        <v>8</v>
      </c>
      <c r="E2839" s="13" t="s">
        <v>70</v>
      </c>
      <c r="F2839" s="13">
        <v>2015.0</v>
      </c>
      <c r="G2839" s="13">
        <v>13465.0</v>
      </c>
      <c r="H2839" s="13">
        <v>1293.35</v>
      </c>
      <c r="I2839" s="13">
        <f>' car_sales_data 1'!$G2839*0.2</f>
        <v>2693</v>
      </c>
      <c r="J2839" s="13" t="str">
        <f>TEXT(' car_sales_data 1'!$A2839,"mmmm")</f>
        <v>October</v>
      </c>
      <c r="K2839" s="13" t="str">
        <f>IF(' car_sales_data 1'!$G2839&gt;40000,"Premium",
 IF(' car_sales_data 1'!$G2839&gt;=20000,"Mid Range","Budget"))</f>
        <v>Budget</v>
      </c>
      <c r="L2839" s="13">
        <f>YEAR(TODAY())-' car_sales_data 1'!$F2839</f>
        <v>10</v>
      </c>
    </row>
    <row r="2840" ht="15.75" customHeight="1">
      <c r="A2840" s="16">
        <v>44841.0</v>
      </c>
      <c r="B2840" s="13" t="s">
        <v>5506</v>
      </c>
      <c r="C2840" s="13" t="s">
        <v>5507</v>
      </c>
      <c r="D2840" s="13" t="s">
        <v>10</v>
      </c>
      <c r="E2840" s="13" t="s">
        <v>51</v>
      </c>
      <c r="F2840" s="13">
        <v>2020.0</v>
      </c>
      <c r="G2840" s="13">
        <v>26631.0</v>
      </c>
      <c r="H2840" s="13">
        <v>2716.63</v>
      </c>
      <c r="I2840" s="13">
        <f>' car_sales_data 1'!$G2840*0.2</f>
        <v>5326.2</v>
      </c>
      <c r="J2840" s="13" t="str">
        <f>TEXT(' car_sales_data 1'!$A2840,"mmmm")</f>
        <v>October</v>
      </c>
      <c r="K2840" s="13" t="str">
        <f>IF(' car_sales_data 1'!$G2840&gt;40000,"Premium",
 IF(' car_sales_data 1'!$G2840&gt;=20000,"Mid Range","Budget"))</f>
        <v>Mid Range</v>
      </c>
      <c r="L2840" s="13">
        <f>YEAR(TODAY())-' car_sales_data 1'!$F2840</f>
        <v>5</v>
      </c>
    </row>
    <row r="2841" ht="15.75" customHeight="1">
      <c r="A2841" s="16">
        <v>44700.0</v>
      </c>
      <c r="B2841" s="13" t="s">
        <v>5508</v>
      </c>
      <c r="C2841" s="13" t="s">
        <v>5509</v>
      </c>
      <c r="D2841" s="13" t="s">
        <v>10</v>
      </c>
      <c r="E2841" s="13" t="s">
        <v>70</v>
      </c>
      <c r="F2841" s="13">
        <v>2022.0</v>
      </c>
      <c r="G2841" s="13">
        <v>25599.0</v>
      </c>
      <c r="H2841" s="13">
        <v>3277.71</v>
      </c>
      <c r="I2841" s="13">
        <f>' car_sales_data 1'!$G2841*0.2</f>
        <v>5119.8</v>
      </c>
      <c r="J2841" s="13" t="str">
        <f>TEXT(' car_sales_data 1'!$A2841,"mmmm")</f>
        <v>May</v>
      </c>
      <c r="K2841" s="13" t="str">
        <f>IF(' car_sales_data 1'!$G2841&gt;40000,"Premium",
 IF(' car_sales_data 1'!$G2841&gt;=20000,"Mid Range","Budget"))</f>
        <v>Mid Range</v>
      </c>
      <c r="L2841" s="13">
        <f>YEAR(TODAY())-' car_sales_data 1'!$F2841</f>
        <v>3</v>
      </c>
    </row>
    <row r="2842" ht="15.75" customHeight="1">
      <c r="A2842" s="16">
        <v>44833.0</v>
      </c>
      <c r="B2842" s="13" t="s">
        <v>5510</v>
      </c>
      <c r="C2842" s="13" t="s">
        <v>5511</v>
      </c>
      <c r="D2842" s="13" t="s">
        <v>6</v>
      </c>
      <c r="E2842" s="13" t="s">
        <v>51</v>
      </c>
      <c r="F2842" s="13">
        <v>2011.0</v>
      </c>
      <c r="G2842" s="13">
        <v>41563.0</v>
      </c>
      <c r="H2842" s="13">
        <v>3700.39</v>
      </c>
      <c r="I2842" s="13">
        <f>' car_sales_data 1'!$G2842*0.2</f>
        <v>8312.6</v>
      </c>
      <c r="J2842" s="13" t="str">
        <f>TEXT(' car_sales_data 1'!$A2842,"mmmm")</f>
        <v>September</v>
      </c>
      <c r="K2842" s="13" t="str">
        <f>IF(' car_sales_data 1'!$G2842&gt;40000,"Premium",
 IF(' car_sales_data 1'!$G2842&gt;=20000,"Mid Range","Budget"))</f>
        <v>Premium</v>
      </c>
      <c r="L2842" s="13">
        <f>YEAR(TODAY())-' car_sales_data 1'!$F2842</f>
        <v>14</v>
      </c>
    </row>
    <row r="2843" ht="15.75" customHeight="1">
      <c r="A2843" s="16">
        <v>44937.0</v>
      </c>
      <c r="B2843" s="13" t="s">
        <v>5512</v>
      </c>
      <c r="C2843" s="13" t="s">
        <v>5513</v>
      </c>
      <c r="D2843" s="13" t="s">
        <v>10</v>
      </c>
      <c r="E2843" s="13" t="s">
        <v>51</v>
      </c>
      <c r="F2843" s="13">
        <v>2017.0</v>
      </c>
      <c r="G2843" s="13">
        <v>44693.0</v>
      </c>
      <c r="H2843" s="13">
        <v>3030.52</v>
      </c>
      <c r="I2843" s="13">
        <f>' car_sales_data 1'!$G2843*0.2</f>
        <v>8938.6</v>
      </c>
      <c r="J2843" s="13" t="str">
        <f>TEXT(' car_sales_data 1'!$A2843,"mmmm")</f>
        <v>January</v>
      </c>
      <c r="K2843" s="13" t="str">
        <f>IF(' car_sales_data 1'!$G2843&gt;40000,"Premium",
 IF(' car_sales_data 1'!$G2843&gt;=20000,"Mid Range","Budget"))</f>
        <v>Premium</v>
      </c>
      <c r="L2843" s="13">
        <f>YEAR(TODAY())-' car_sales_data 1'!$F2843</f>
        <v>8</v>
      </c>
    </row>
    <row r="2844" ht="15.75" customHeight="1">
      <c r="A2844" s="16">
        <v>44817.0</v>
      </c>
      <c r="B2844" s="13" t="s">
        <v>5514</v>
      </c>
      <c r="C2844" s="13" t="s">
        <v>5515</v>
      </c>
      <c r="D2844" s="13" t="s">
        <v>8</v>
      </c>
      <c r="E2844" s="13" t="s">
        <v>70</v>
      </c>
      <c r="F2844" s="13">
        <v>2010.0</v>
      </c>
      <c r="G2844" s="13">
        <v>35054.0</v>
      </c>
      <c r="H2844" s="13">
        <v>4917.07</v>
      </c>
      <c r="I2844" s="13">
        <f>' car_sales_data 1'!$G2844*0.2</f>
        <v>7010.8</v>
      </c>
      <c r="J2844" s="13" t="str">
        <f>TEXT(' car_sales_data 1'!$A2844,"mmmm")</f>
        <v>September</v>
      </c>
      <c r="K2844" s="13" t="str">
        <f>IF(' car_sales_data 1'!$G2844&gt;40000,"Premium",
 IF(' car_sales_data 1'!$G2844&gt;=20000,"Mid Range","Budget"))</f>
        <v>Mid Range</v>
      </c>
      <c r="L2844" s="13">
        <f>YEAR(TODAY())-' car_sales_data 1'!$F2844</f>
        <v>15</v>
      </c>
    </row>
    <row r="2845" ht="15.75" customHeight="1">
      <c r="A2845" s="16">
        <v>44873.0</v>
      </c>
      <c r="B2845" s="13" t="s">
        <v>5516</v>
      </c>
      <c r="C2845" s="13" t="s">
        <v>5517</v>
      </c>
      <c r="D2845" s="13" t="s">
        <v>6</v>
      </c>
      <c r="E2845" s="13" t="s">
        <v>54</v>
      </c>
      <c r="F2845" s="13">
        <v>2013.0</v>
      </c>
      <c r="G2845" s="13">
        <v>11863.0</v>
      </c>
      <c r="H2845" s="13">
        <v>625.7</v>
      </c>
      <c r="I2845" s="13">
        <f>' car_sales_data 1'!$G2845*0.2</f>
        <v>2372.6</v>
      </c>
      <c r="J2845" s="13" t="str">
        <f>TEXT(' car_sales_data 1'!$A2845,"mmmm")</f>
        <v>November</v>
      </c>
      <c r="K2845" s="13" t="str">
        <f>IF(' car_sales_data 1'!$G2845&gt;40000,"Premium",
 IF(' car_sales_data 1'!$G2845&gt;=20000,"Mid Range","Budget"))</f>
        <v>Budget</v>
      </c>
      <c r="L2845" s="13">
        <f>YEAR(TODAY())-' car_sales_data 1'!$F2845</f>
        <v>12</v>
      </c>
    </row>
    <row r="2846" ht="15.75" customHeight="1">
      <c r="A2846" s="16">
        <v>44808.0</v>
      </c>
      <c r="B2846" s="13" t="s">
        <v>5518</v>
      </c>
      <c r="C2846" s="13" t="s">
        <v>5519</v>
      </c>
      <c r="D2846" s="13" t="s">
        <v>10</v>
      </c>
      <c r="E2846" s="13" t="s">
        <v>51</v>
      </c>
      <c r="F2846" s="13">
        <v>2022.0</v>
      </c>
      <c r="G2846" s="13">
        <v>38853.0</v>
      </c>
      <c r="H2846" s="13">
        <v>2252.96</v>
      </c>
      <c r="I2846" s="13">
        <f>' car_sales_data 1'!$G2846*0.2</f>
        <v>7770.6</v>
      </c>
      <c r="J2846" s="13" t="str">
        <f>TEXT(' car_sales_data 1'!$A2846,"mmmm")</f>
        <v>September</v>
      </c>
      <c r="K2846" s="13" t="str">
        <f>IF(' car_sales_data 1'!$G2846&gt;40000,"Premium",
 IF(' car_sales_data 1'!$G2846&gt;=20000,"Mid Range","Budget"))</f>
        <v>Mid Range</v>
      </c>
      <c r="L2846" s="13">
        <f>YEAR(TODAY())-' car_sales_data 1'!$F2846</f>
        <v>3</v>
      </c>
    </row>
    <row r="2847" ht="15.75" customHeight="1">
      <c r="A2847" s="16">
        <v>44898.0</v>
      </c>
      <c r="B2847" s="13" t="s">
        <v>5520</v>
      </c>
      <c r="C2847" s="13" t="s">
        <v>4324</v>
      </c>
      <c r="D2847" s="13" t="s">
        <v>6</v>
      </c>
      <c r="E2847" s="13" t="s">
        <v>54</v>
      </c>
      <c r="F2847" s="13">
        <v>2010.0</v>
      </c>
      <c r="G2847" s="13">
        <v>28083.0</v>
      </c>
      <c r="H2847" s="13">
        <v>1551.1</v>
      </c>
      <c r="I2847" s="13">
        <f>' car_sales_data 1'!$G2847*0.2</f>
        <v>5616.6</v>
      </c>
      <c r="J2847" s="13" t="str">
        <f>TEXT(' car_sales_data 1'!$A2847,"mmmm")</f>
        <v>December</v>
      </c>
      <c r="K2847" s="13" t="str">
        <f>IF(' car_sales_data 1'!$G2847&gt;40000,"Premium",
 IF(' car_sales_data 1'!$G2847&gt;=20000,"Mid Range","Budget"))</f>
        <v>Mid Range</v>
      </c>
      <c r="L2847" s="13">
        <f>YEAR(TODAY())-' car_sales_data 1'!$F2847</f>
        <v>15</v>
      </c>
    </row>
    <row r="2848" ht="15.75" customHeight="1">
      <c r="A2848" s="16">
        <v>44839.0</v>
      </c>
      <c r="B2848" s="13" t="s">
        <v>5521</v>
      </c>
      <c r="C2848" s="13" t="s">
        <v>5522</v>
      </c>
      <c r="D2848" s="13" t="s">
        <v>6</v>
      </c>
      <c r="E2848" s="13" t="s">
        <v>51</v>
      </c>
      <c r="F2848" s="13">
        <v>2020.0</v>
      </c>
      <c r="G2848" s="13">
        <v>27156.0</v>
      </c>
      <c r="H2848" s="13">
        <v>2354.8</v>
      </c>
      <c r="I2848" s="13">
        <f>' car_sales_data 1'!$G2848*0.2</f>
        <v>5431.2</v>
      </c>
      <c r="J2848" s="13" t="str">
        <f>TEXT(' car_sales_data 1'!$A2848,"mmmm")</f>
        <v>October</v>
      </c>
      <c r="K2848" s="13" t="str">
        <f>IF(' car_sales_data 1'!$G2848&gt;40000,"Premium",
 IF(' car_sales_data 1'!$G2848&gt;=20000,"Mid Range","Budget"))</f>
        <v>Mid Range</v>
      </c>
      <c r="L2848" s="13">
        <f>YEAR(TODAY())-' car_sales_data 1'!$F2848</f>
        <v>5</v>
      </c>
    </row>
    <row r="2849" ht="15.75" customHeight="1">
      <c r="A2849" s="16">
        <v>44898.0</v>
      </c>
      <c r="B2849" s="13" t="s">
        <v>5523</v>
      </c>
      <c r="C2849" s="13" t="s">
        <v>5524</v>
      </c>
      <c r="D2849" s="13" t="s">
        <v>14</v>
      </c>
      <c r="E2849" s="13" t="s">
        <v>70</v>
      </c>
      <c r="F2849" s="13">
        <v>2010.0</v>
      </c>
      <c r="G2849" s="13">
        <v>39107.0</v>
      </c>
      <c r="H2849" s="13">
        <v>5330.03</v>
      </c>
      <c r="I2849" s="13">
        <f>' car_sales_data 1'!$G2849*0.2</f>
        <v>7821.4</v>
      </c>
      <c r="J2849" s="13" t="str">
        <f>TEXT(' car_sales_data 1'!$A2849,"mmmm")</f>
        <v>December</v>
      </c>
      <c r="K2849" s="13" t="str">
        <f>IF(' car_sales_data 1'!$G2849&gt;40000,"Premium",
 IF(' car_sales_data 1'!$G2849&gt;=20000,"Mid Range","Budget"))</f>
        <v>Mid Range</v>
      </c>
      <c r="L2849" s="13">
        <f>YEAR(TODAY())-' car_sales_data 1'!$F2849</f>
        <v>15</v>
      </c>
    </row>
    <row r="2850" ht="15.75" customHeight="1">
      <c r="A2850" s="16">
        <v>44910.0</v>
      </c>
      <c r="B2850" s="13" t="s">
        <v>5525</v>
      </c>
      <c r="C2850" s="13" t="s">
        <v>5526</v>
      </c>
      <c r="D2850" s="13" t="s">
        <v>8</v>
      </c>
      <c r="E2850" s="13" t="s">
        <v>57</v>
      </c>
      <c r="F2850" s="13">
        <v>2019.0</v>
      </c>
      <c r="G2850" s="13">
        <v>42421.0</v>
      </c>
      <c r="H2850" s="13">
        <v>3148.02</v>
      </c>
      <c r="I2850" s="13">
        <f>' car_sales_data 1'!$G2850*0.2</f>
        <v>8484.2</v>
      </c>
      <c r="J2850" s="13" t="str">
        <f>TEXT(' car_sales_data 1'!$A2850,"mmmm")</f>
        <v>December</v>
      </c>
      <c r="K2850" s="13" t="str">
        <f>IF(' car_sales_data 1'!$G2850&gt;40000,"Premium",
 IF(' car_sales_data 1'!$G2850&gt;=20000,"Mid Range","Budget"))</f>
        <v>Premium</v>
      </c>
      <c r="L2850" s="13">
        <f>YEAR(TODAY())-' car_sales_data 1'!$F2850</f>
        <v>6</v>
      </c>
    </row>
    <row r="2851" ht="15.75" customHeight="1">
      <c r="A2851" s="16">
        <v>44721.0</v>
      </c>
      <c r="B2851" s="13" t="s">
        <v>5527</v>
      </c>
      <c r="C2851" s="13" t="s">
        <v>5528</v>
      </c>
      <c r="D2851" s="13" t="s">
        <v>10</v>
      </c>
      <c r="E2851" s="13" t="s">
        <v>51</v>
      </c>
      <c r="F2851" s="13">
        <v>2014.0</v>
      </c>
      <c r="G2851" s="13">
        <v>45895.0</v>
      </c>
      <c r="H2851" s="13">
        <v>5345.73</v>
      </c>
      <c r="I2851" s="13">
        <f>' car_sales_data 1'!$G2851*0.2</f>
        <v>9179</v>
      </c>
      <c r="J2851" s="13" t="str">
        <f>TEXT(' car_sales_data 1'!$A2851,"mmmm")</f>
        <v>June</v>
      </c>
      <c r="K2851" s="13" t="str">
        <f>IF(' car_sales_data 1'!$G2851&gt;40000,"Premium",
 IF(' car_sales_data 1'!$G2851&gt;=20000,"Mid Range","Budget"))</f>
        <v>Premium</v>
      </c>
      <c r="L2851" s="13">
        <f>YEAR(TODAY())-' car_sales_data 1'!$F2851</f>
        <v>11</v>
      </c>
    </row>
    <row r="2852" ht="15.75" customHeight="1">
      <c r="A2852" s="16">
        <v>44837.0</v>
      </c>
      <c r="B2852" s="13" t="s">
        <v>5529</v>
      </c>
      <c r="C2852" s="13" t="s">
        <v>5530</v>
      </c>
      <c r="D2852" s="13" t="s">
        <v>10</v>
      </c>
      <c r="E2852" s="13" t="s">
        <v>57</v>
      </c>
      <c r="F2852" s="13">
        <v>2016.0</v>
      </c>
      <c r="G2852" s="13">
        <v>29892.0</v>
      </c>
      <c r="H2852" s="13">
        <v>2280.68</v>
      </c>
      <c r="I2852" s="13">
        <f>' car_sales_data 1'!$G2852*0.2</f>
        <v>5978.4</v>
      </c>
      <c r="J2852" s="13" t="str">
        <f>TEXT(' car_sales_data 1'!$A2852,"mmmm")</f>
        <v>October</v>
      </c>
      <c r="K2852" s="13" t="str">
        <f>IF(' car_sales_data 1'!$G2852&gt;40000,"Premium",
 IF(' car_sales_data 1'!$G2852&gt;=20000,"Mid Range","Budget"))</f>
        <v>Mid Range</v>
      </c>
      <c r="L2852" s="13">
        <f>YEAR(TODAY())-' car_sales_data 1'!$F2852</f>
        <v>9</v>
      </c>
    </row>
    <row r="2853" ht="15.75" customHeight="1">
      <c r="A2853" s="16">
        <v>44890.0</v>
      </c>
      <c r="B2853" s="13" t="s">
        <v>5531</v>
      </c>
      <c r="C2853" s="13" t="s">
        <v>5532</v>
      </c>
      <c r="D2853" s="13" t="s">
        <v>14</v>
      </c>
      <c r="E2853" s="13" t="s">
        <v>57</v>
      </c>
      <c r="F2853" s="13">
        <v>2011.0</v>
      </c>
      <c r="G2853" s="13">
        <v>34430.0</v>
      </c>
      <c r="H2853" s="13">
        <v>4396.91</v>
      </c>
      <c r="I2853" s="13">
        <f>' car_sales_data 1'!$G2853*0.2</f>
        <v>6886</v>
      </c>
      <c r="J2853" s="13" t="str">
        <f>TEXT(' car_sales_data 1'!$A2853,"mmmm")</f>
        <v>November</v>
      </c>
      <c r="K2853" s="13" t="str">
        <f>IF(' car_sales_data 1'!$G2853&gt;40000,"Premium",
 IF(' car_sales_data 1'!$G2853&gt;=20000,"Mid Range","Budget"))</f>
        <v>Mid Range</v>
      </c>
      <c r="L2853" s="13">
        <f>YEAR(TODAY())-' car_sales_data 1'!$F2853</f>
        <v>14</v>
      </c>
    </row>
    <row r="2854" ht="15.75" customHeight="1">
      <c r="A2854" s="16">
        <v>45047.0</v>
      </c>
      <c r="B2854" s="13" t="s">
        <v>5533</v>
      </c>
      <c r="C2854" s="13" t="s">
        <v>5534</v>
      </c>
      <c r="D2854" s="13" t="s">
        <v>14</v>
      </c>
      <c r="E2854" s="13" t="s">
        <v>70</v>
      </c>
      <c r="F2854" s="13">
        <v>2016.0</v>
      </c>
      <c r="G2854" s="13">
        <v>16874.0</v>
      </c>
      <c r="H2854" s="13">
        <v>2166.99</v>
      </c>
      <c r="I2854" s="13">
        <f>' car_sales_data 1'!$G2854*0.2</f>
        <v>3374.8</v>
      </c>
      <c r="J2854" s="13" t="str">
        <f>TEXT(' car_sales_data 1'!$A2854,"mmmm")</f>
        <v>May</v>
      </c>
      <c r="K2854" s="13" t="str">
        <f>IF(' car_sales_data 1'!$G2854&gt;40000,"Premium",
 IF(' car_sales_data 1'!$G2854&gt;=20000,"Mid Range","Budget"))</f>
        <v>Budget</v>
      </c>
      <c r="L2854" s="13">
        <f>YEAR(TODAY())-' car_sales_data 1'!$F2854</f>
        <v>9</v>
      </c>
    </row>
    <row r="2855" ht="15.75" customHeight="1">
      <c r="A2855" s="16">
        <v>44992.0</v>
      </c>
      <c r="B2855" s="13" t="s">
        <v>5535</v>
      </c>
      <c r="C2855" s="13" t="s">
        <v>5536</v>
      </c>
      <c r="D2855" s="13" t="s">
        <v>6</v>
      </c>
      <c r="E2855" s="13" t="s">
        <v>54</v>
      </c>
      <c r="F2855" s="13">
        <v>2021.0</v>
      </c>
      <c r="G2855" s="13">
        <v>14310.0</v>
      </c>
      <c r="H2855" s="13">
        <v>1246.03</v>
      </c>
      <c r="I2855" s="13">
        <f>' car_sales_data 1'!$G2855*0.2</f>
        <v>2862</v>
      </c>
      <c r="J2855" s="13" t="str">
        <f>TEXT(' car_sales_data 1'!$A2855,"mmmm")</f>
        <v>March</v>
      </c>
      <c r="K2855" s="13" t="str">
        <f>IF(' car_sales_data 1'!$G2855&gt;40000,"Premium",
 IF(' car_sales_data 1'!$G2855&gt;=20000,"Mid Range","Budget"))</f>
        <v>Budget</v>
      </c>
      <c r="L2855" s="13">
        <f>YEAR(TODAY())-' car_sales_data 1'!$F2855</f>
        <v>4</v>
      </c>
    </row>
    <row r="2856" ht="15.75" customHeight="1">
      <c r="A2856" s="16">
        <v>44705.0</v>
      </c>
      <c r="B2856" s="13" t="s">
        <v>5537</v>
      </c>
      <c r="C2856" s="13" t="s">
        <v>5538</v>
      </c>
      <c r="D2856" s="13" t="s">
        <v>12</v>
      </c>
      <c r="E2856" s="13" t="s">
        <v>70</v>
      </c>
      <c r="F2856" s="13">
        <v>2022.0</v>
      </c>
      <c r="G2856" s="13">
        <v>33033.0</v>
      </c>
      <c r="H2856" s="13">
        <v>3446.1</v>
      </c>
      <c r="I2856" s="13">
        <f>' car_sales_data 1'!$G2856*0.2</f>
        <v>6606.6</v>
      </c>
      <c r="J2856" s="13" t="str">
        <f>TEXT(' car_sales_data 1'!$A2856,"mmmm")</f>
        <v>May</v>
      </c>
      <c r="K2856" s="13" t="str">
        <f>IF(' car_sales_data 1'!$G2856&gt;40000,"Premium",
 IF(' car_sales_data 1'!$G2856&gt;=20000,"Mid Range","Budget"))</f>
        <v>Mid Range</v>
      </c>
      <c r="L2856" s="13">
        <f>YEAR(TODAY())-' car_sales_data 1'!$F2856</f>
        <v>3</v>
      </c>
    </row>
    <row r="2857" ht="15.75" customHeight="1">
      <c r="A2857" s="16">
        <v>44781.0</v>
      </c>
      <c r="B2857" s="13" t="s">
        <v>5539</v>
      </c>
      <c r="C2857" s="13" t="s">
        <v>5540</v>
      </c>
      <c r="D2857" s="13" t="s">
        <v>6</v>
      </c>
      <c r="E2857" s="13" t="s">
        <v>70</v>
      </c>
      <c r="F2857" s="13">
        <v>2021.0</v>
      </c>
      <c r="G2857" s="13">
        <v>11905.0</v>
      </c>
      <c r="H2857" s="13">
        <v>841.4</v>
      </c>
      <c r="I2857" s="13">
        <f>' car_sales_data 1'!$G2857*0.2</f>
        <v>2381</v>
      </c>
      <c r="J2857" s="13" t="str">
        <f>TEXT(' car_sales_data 1'!$A2857,"mmmm")</f>
        <v>August</v>
      </c>
      <c r="K2857" s="13" t="str">
        <f>IF(' car_sales_data 1'!$G2857&gt;40000,"Premium",
 IF(' car_sales_data 1'!$G2857&gt;=20000,"Mid Range","Budget"))</f>
        <v>Budget</v>
      </c>
      <c r="L2857" s="13">
        <f>YEAR(TODAY())-' car_sales_data 1'!$F2857</f>
        <v>4</v>
      </c>
    </row>
    <row r="2858" ht="15.75" customHeight="1">
      <c r="A2858" s="16">
        <v>45026.0</v>
      </c>
      <c r="B2858" s="13" t="s">
        <v>5541</v>
      </c>
      <c r="C2858" s="13" t="s">
        <v>5542</v>
      </c>
      <c r="D2858" s="13" t="s">
        <v>6</v>
      </c>
      <c r="E2858" s="13" t="s">
        <v>70</v>
      </c>
      <c r="F2858" s="13">
        <v>2019.0</v>
      </c>
      <c r="G2858" s="13">
        <v>28144.0</v>
      </c>
      <c r="H2858" s="13">
        <v>3288.54</v>
      </c>
      <c r="I2858" s="13">
        <f>' car_sales_data 1'!$G2858*0.2</f>
        <v>5628.8</v>
      </c>
      <c r="J2858" s="13" t="str">
        <f>TEXT(' car_sales_data 1'!$A2858,"mmmm")</f>
        <v>April</v>
      </c>
      <c r="K2858" s="13" t="str">
        <f>IF(' car_sales_data 1'!$G2858&gt;40000,"Premium",
 IF(' car_sales_data 1'!$G2858&gt;=20000,"Mid Range","Budget"))</f>
        <v>Mid Range</v>
      </c>
      <c r="L2858" s="13">
        <f>YEAR(TODAY())-' car_sales_data 1'!$F2858</f>
        <v>6</v>
      </c>
    </row>
    <row r="2859" ht="15.75" customHeight="1">
      <c r="A2859" s="16">
        <v>44822.0</v>
      </c>
      <c r="B2859" s="13" t="s">
        <v>5543</v>
      </c>
      <c r="C2859" s="13" t="s">
        <v>5544</v>
      </c>
      <c r="D2859" s="13" t="s">
        <v>8</v>
      </c>
      <c r="E2859" s="13" t="s">
        <v>51</v>
      </c>
      <c r="F2859" s="13">
        <v>2016.0</v>
      </c>
      <c r="G2859" s="13">
        <v>43349.0</v>
      </c>
      <c r="H2859" s="13">
        <v>6296.19</v>
      </c>
      <c r="I2859" s="13">
        <f>' car_sales_data 1'!$G2859*0.2</f>
        <v>8669.8</v>
      </c>
      <c r="J2859" s="13" t="str">
        <f>TEXT(' car_sales_data 1'!$A2859,"mmmm")</f>
        <v>September</v>
      </c>
      <c r="K2859" s="13" t="str">
        <f>IF(' car_sales_data 1'!$G2859&gt;40000,"Premium",
 IF(' car_sales_data 1'!$G2859&gt;=20000,"Mid Range","Budget"))</f>
        <v>Premium</v>
      </c>
      <c r="L2859" s="13">
        <f>YEAR(TODAY())-' car_sales_data 1'!$F2859</f>
        <v>9</v>
      </c>
    </row>
    <row r="2860" ht="15.75" customHeight="1">
      <c r="A2860" s="16">
        <v>44713.0</v>
      </c>
      <c r="B2860" s="13" t="s">
        <v>5545</v>
      </c>
      <c r="C2860" s="13" t="s">
        <v>5546</v>
      </c>
      <c r="D2860" s="13" t="s">
        <v>10</v>
      </c>
      <c r="E2860" s="13" t="s">
        <v>62</v>
      </c>
      <c r="F2860" s="13">
        <v>2019.0</v>
      </c>
      <c r="G2860" s="13">
        <v>26377.0</v>
      </c>
      <c r="H2860" s="13">
        <v>2657.77</v>
      </c>
      <c r="I2860" s="13">
        <f>' car_sales_data 1'!$G2860*0.2</f>
        <v>5275.4</v>
      </c>
      <c r="J2860" s="13" t="str">
        <f>TEXT(' car_sales_data 1'!$A2860,"mmmm")</f>
        <v>June</v>
      </c>
      <c r="K2860" s="13" t="str">
        <f>IF(' car_sales_data 1'!$G2860&gt;40000,"Premium",
 IF(' car_sales_data 1'!$G2860&gt;=20000,"Mid Range","Budget"))</f>
        <v>Mid Range</v>
      </c>
      <c r="L2860" s="13">
        <f>YEAR(TODAY())-' car_sales_data 1'!$F2860</f>
        <v>6</v>
      </c>
    </row>
    <row r="2861" ht="15.75" customHeight="1">
      <c r="A2861" s="16">
        <v>44746.0</v>
      </c>
      <c r="B2861" s="13" t="s">
        <v>5547</v>
      </c>
      <c r="C2861" s="13" t="s">
        <v>5548</v>
      </c>
      <c r="D2861" s="13" t="s">
        <v>8</v>
      </c>
      <c r="E2861" s="13" t="s">
        <v>70</v>
      </c>
      <c r="F2861" s="13">
        <v>2018.0</v>
      </c>
      <c r="G2861" s="13">
        <v>17052.0</v>
      </c>
      <c r="H2861" s="13">
        <v>2052.66</v>
      </c>
      <c r="I2861" s="13">
        <f>' car_sales_data 1'!$G2861*0.2</f>
        <v>3410.4</v>
      </c>
      <c r="J2861" s="13" t="str">
        <f>TEXT(' car_sales_data 1'!$A2861,"mmmm")</f>
        <v>July</v>
      </c>
      <c r="K2861" s="13" t="str">
        <f>IF(' car_sales_data 1'!$G2861&gt;40000,"Premium",
 IF(' car_sales_data 1'!$G2861&gt;=20000,"Mid Range","Budget"))</f>
        <v>Budget</v>
      </c>
      <c r="L2861" s="13">
        <f>YEAR(TODAY())-' car_sales_data 1'!$F2861</f>
        <v>7</v>
      </c>
    </row>
    <row r="2862" ht="15.75" customHeight="1">
      <c r="A2862" s="16">
        <v>44842.0</v>
      </c>
      <c r="B2862" s="13" t="s">
        <v>5549</v>
      </c>
      <c r="C2862" s="13" t="s">
        <v>5550</v>
      </c>
      <c r="D2862" s="13" t="s">
        <v>12</v>
      </c>
      <c r="E2862" s="13" t="s">
        <v>70</v>
      </c>
      <c r="F2862" s="13">
        <v>2016.0</v>
      </c>
      <c r="G2862" s="13">
        <v>33828.0</v>
      </c>
      <c r="H2862" s="13">
        <v>3951.77</v>
      </c>
      <c r="I2862" s="13">
        <f>' car_sales_data 1'!$G2862*0.2</f>
        <v>6765.6</v>
      </c>
      <c r="J2862" s="13" t="str">
        <f>TEXT(' car_sales_data 1'!$A2862,"mmmm")</f>
        <v>October</v>
      </c>
      <c r="K2862" s="13" t="str">
        <f>IF(' car_sales_data 1'!$G2862&gt;40000,"Premium",
 IF(' car_sales_data 1'!$G2862&gt;=20000,"Mid Range","Budget"))</f>
        <v>Mid Range</v>
      </c>
      <c r="L2862" s="13">
        <f>YEAR(TODAY())-' car_sales_data 1'!$F2862</f>
        <v>9</v>
      </c>
    </row>
    <row r="2863" ht="15.75" customHeight="1">
      <c r="A2863" s="16">
        <v>44854.0</v>
      </c>
      <c r="B2863" s="13" t="s">
        <v>5551</v>
      </c>
      <c r="C2863" s="13" t="s">
        <v>5552</v>
      </c>
      <c r="D2863" s="13" t="s">
        <v>14</v>
      </c>
      <c r="E2863" s="13" t="s">
        <v>54</v>
      </c>
      <c r="F2863" s="13">
        <v>2021.0</v>
      </c>
      <c r="G2863" s="13">
        <v>11142.0</v>
      </c>
      <c r="H2863" s="13">
        <v>771.15</v>
      </c>
      <c r="I2863" s="13">
        <f>' car_sales_data 1'!$G2863*0.2</f>
        <v>2228.4</v>
      </c>
      <c r="J2863" s="13" t="str">
        <f>TEXT(' car_sales_data 1'!$A2863,"mmmm")</f>
        <v>October</v>
      </c>
      <c r="K2863" s="13" t="str">
        <f>IF(' car_sales_data 1'!$G2863&gt;40000,"Premium",
 IF(' car_sales_data 1'!$G2863&gt;=20000,"Mid Range","Budget"))</f>
        <v>Budget</v>
      </c>
      <c r="L2863" s="13">
        <f>YEAR(TODAY())-' car_sales_data 1'!$F2863</f>
        <v>4</v>
      </c>
    </row>
    <row r="2864" ht="15.75" customHeight="1">
      <c r="A2864" s="16">
        <v>44935.0</v>
      </c>
      <c r="B2864" s="13" t="s">
        <v>5553</v>
      </c>
      <c r="C2864" s="13" t="s">
        <v>5554</v>
      </c>
      <c r="D2864" s="13" t="s">
        <v>10</v>
      </c>
      <c r="E2864" s="13" t="s">
        <v>70</v>
      </c>
      <c r="F2864" s="13">
        <v>2011.0</v>
      </c>
      <c r="G2864" s="13">
        <v>34731.0</v>
      </c>
      <c r="H2864" s="13">
        <v>4791.1</v>
      </c>
      <c r="I2864" s="13">
        <f>' car_sales_data 1'!$G2864*0.2</f>
        <v>6946.2</v>
      </c>
      <c r="J2864" s="13" t="str">
        <f>TEXT(' car_sales_data 1'!$A2864,"mmmm")</f>
        <v>January</v>
      </c>
      <c r="K2864" s="13" t="str">
        <f>IF(' car_sales_data 1'!$G2864&gt;40000,"Premium",
 IF(' car_sales_data 1'!$G2864&gt;=20000,"Mid Range","Budget"))</f>
        <v>Mid Range</v>
      </c>
      <c r="L2864" s="13">
        <f>YEAR(TODAY())-' car_sales_data 1'!$F2864</f>
        <v>14</v>
      </c>
    </row>
    <row r="2865" ht="15.75" customHeight="1">
      <c r="A2865" s="16">
        <v>44901.0</v>
      </c>
      <c r="B2865" s="13" t="s">
        <v>5555</v>
      </c>
      <c r="C2865" s="13" t="s">
        <v>5556</v>
      </c>
      <c r="D2865" s="13" t="s">
        <v>12</v>
      </c>
      <c r="E2865" s="13" t="s">
        <v>70</v>
      </c>
      <c r="F2865" s="13">
        <v>2018.0</v>
      </c>
      <c r="G2865" s="13">
        <v>45704.0</v>
      </c>
      <c r="H2865" s="13">
        <v>2623.61</v>
      </c>
      <c r="I2865" s="13">
        <f>' car_sales_data 1'!$G2865*0.2</f>
        <v>9140.8</v>
      </c>
      <c r="J2865" s="13" t="str">
        <f>TEXT(' car_sales_data 1'!$A2865,"mmmm")</f>
        <v>December</v>
      </c>
      <c r="K2865" s="13" t="str">
        <f>IF(' car_sales_data 1'!$G2865&gt;40000,"Premium",
 IF(' car_sales_data 1'!$G2865&gt;=20000,"Mid Range","Budget"))</f>
        <v>Premium</v>
      </c>
      <c r="L2865" s="13">
        <f>YEAR(TODAY())-' car_sales_data 1'!$F2865</f>
        <v>7</v>
      </c>
    </row>
    <row r="2866" ht="15.75" customHeight="1">
      <c r="A2866" s="16">
        <v>44787.0</v>
      </c>
      <c r="B2866" s="13" t="s">
        <v>5557</v>
      </c>
      <c r="C2866" s="13" t="s">
        <v>5558</v>
      </c>
      <c r="D2866" s="13" t="s">
        <v>10</v>
      </c>
      <c r="E2866" s="13" t="s">
        <v>62</v>
      </c>
      <c r="F2866" s="13">
        <v>2018.0</v>
      </c>
      <c r="G2866" s="13">
        <v>38368.0</v>
      </c>
      <c r="H2866" s="13">
        <v>2729.57</v>
      </c>
      <c r="I2866" s="13">
        <f>' car_sales_data 1'!$G2866*0.2</f>
        <v>7673.6</v>
      </c>
      <c r="J2866" s="13" t="str">
        <f>TEXT(' car_sales_data 1'!$A2866,"mmmm")</f>
        <v>August</v>
      </c>
      <c r="K2866" s="13" t="str">
        <f>IF(' car_sales_data 1'!$G2866&gt;40000,"Premium",
 IF(' car_sales_data 1'!$G2866&gt;=20000,"Mid Range","Budget"))</f>
        <v>Mid Range</v>
      </c>
      <c r="L2866" s="13">
        <f>YEAR(TODAY())-' car_sales_data 1'!$F2866</f>
        <v>7</v>
      </c>
    </row>
    <row r="2867" ht="15.75" customHeight="1">
      <c r="A2867" s="16">
        <v>45012.0</v>
      </c>
      <c r="B2867" s="13" t="s">
        <v>5559</v>
      </c>
      <c r="C2867" s="13" t="s">
        <v>5560</v>
      </c>
      <c r="D2867" s="13" t="s">
        <v>12</v>
      </c>
      <c r="E2867" s="13" t="s">
        <v>70</v>
      </c>
      <c r="F2867" s="13">
        <v>2015.0</v>
      </c>
      <c r="G2867" s="13">
        <v>20200.0</v>
      </c>
      <c r="H2867" s="13">
        <v>1984.51</v>
      </c>
      <c r="I2867" s="13">
        <f>' car_sales_data 1'!$G2867*0.2</f>
        <v>4040</v>
      </c>
      <c r="J2867" s="13" t="str">
        <f>TEXT(' car_sales_data 1'!$A2867,"mmmm")</f>
        <v>March</v>
      </c>
      <c r="K2867" s="13" t="str">
        <f>IF(' car_sales_data 1'!$G2867&gt;40000,"Premium",
 IF(' car_sales_data 1'!$G2867&gt;=20000,"Mid Range","Budget"))</f>
        <v>Mid Range</v>
      </c>
      <c r="L2867" s="13">
        <f>YEAR(TODAY())-' car_sales_data 1'!$F2867</f>
        <v>10</v>
      </c>
    </row>
    <row r="2868" ht="15.75" customHeight="1">
      <c r="A2868" s="16">
        <v>44701.0</v>
      </c>
      <c r="B2868" s="13" t="s">
        <v>5561</v>
      </c>
      <c r="C2868" s="13" t="s">
        <v>5562</v>
      </c>
      <c r="D2868" s="13" t="s">
        <v>10</v>
      </c>
      <c r="E2868" s="13" t="s">
        <v>62</v>
      </c>
      <c r="F2868" s="13">
        <v>2020.0</v>
      </c>
      <c r="G2868" s="13">
        <v>25704.0</v>
      </c>
      <c r="H2868" s="13">
        <v>1859.49</v>
      </c>
      <c r="I2868" s="13">
        <f>' car_sales_data 1'!$G2868*0.2</f>
        <v>5140.8</v>
      </c>
      <c r="J2868" s="13" t="str">
        <f>TEXT(' car_sales_data 1'!$A2868,"mmmm")</f>
        <v>May</v>
      </c>
      <c r="K2868" s="13" t="str">
        <f>IF(' car_sales_data 1'!$G2868&gt;40000,"Premium",
 IF(' car_sales_data 1'!$G2868&gt;=20000,"Mid Range","Budget"))</f>
        <v>Mid Range</v>
      </c>
      <c r="L2868" s="13">
        <f>YEAR(TODAY())-' car_sales_data 1'!$F2868</f>
        <v>5</v>
      </c>
    </row>
    <row r="2869" ht="15.75" customHeight="1">
      <c r="A2869" s="16">
        <v>44741.0</v>
      </c>
      <c r="B2869" s="13" t="s">
        <v>5563</v>
      </c>
      <c r="C2869" s="13" t="s">
        <v>5564</v>
      </c>
      <c r="D2869" s="13" t="s">
        <v>6</v>
      </c>
      <c r="E2869" s="13" t="s">
        <v>54</v>
      </c>
      <c r="F2869" s="13">
        <v>2014.0</v>
      </c>
      <c r="G2869" s="13">
        <v>40210.0</v>
      </c>
      <c r="H2869" s="13">
        <v>4192.47</v>
      </c>
      <c r="I2869" s="13">
        <f>' car_sales_data 1'!$G2869*0.2</f>
        <v>8042</v>
      </c>
      <c r="J2869" s="13" t="str">
        <f>TEXT(' car_sales_data 1'!$A2869,"mmmm")</f>
        <v>June</v>
      </c>
      <c r="K2869" s="13" t="str">
        <f>IF(' car_sales_data 1'!$G2869&gt;40000,"Premium",
 IF(' car_sales_data 1'!$G2869&gt;=20000,"Mid Range","Budget"))</f>
        <v>Premium</v>
      </c>
      <c r="L2869" s="13">
        <f>YEAR(TODAY())-' car_sales_data 1'!$F2869</f>
        <v>11</v>
      </c>
    </row>
    <row r="2870" ht="15.75" customHeight="1">
      <c r="A2870" s="16">
        <v>44868.0</v>
      </c>
      <c r="B2870" s="13" t="s">
        <v>5565</v>
      </c>
      <c r="C2870" s="13" t="s">
        <v>5566</v>
      </c>
      <c r="D2870" s="13" t="s">
        <v>10</v>
      </c>
      <c r="E2870" s="13" t="s">
        <v>54</v>
      </c>
      <c r="F2870" s="13">
        <v>2020.0</v>
      </c>
      <c r="G2870" s="13">
        <v>31565.0</v>
      </c>
      <c r="H2870" s="13">
        <v>2537.63</v>
      </c>
      <c r="I2870" s="13">
        <f>' car_sales_data 1'!$G2870*0.2</f>
        <v>6313</v>
      </c>
      <c r="J2870" s="13" t="str">
        <f>TEXT(' car_sales_data 1'!$A2870,"mmmm")</f>
        <v>November</v>
      </c>
      <c r="K2870" s="13" t="str">
        <f>IF(' car_sales_data 1'!$G2870&gt;40000,"Premium",
 IF(' car_sales_data 1'!$G2870&gt;=20000,"Mid Range","Budget"))</f>
        <v>Mid Range</v>
      </c>
      <c r="L2870" s="13">
        <f>YEAR(TODAY())-' car_sales_data 1'!$F2870</f>
        <v>5</v>
      </c>
    </row>
    <row r="2871" ht="15.75" customHeight="1">
      <c r="A2871" s="16">
        <v>44899.0</v>
      </c>
      <c r="B2871" s="13" t="s">
        <v>5567</v>
      </c>
      <c r="C2871" s="13" t="s">
        <v>5568</v>
      </c>
      <c r="D2871" s="13" t="s">
        <v>14</v>
      </c>
      <c r="E2871" s="13" t="s">
        <v>51</v>
      </c>
      <c r="F2871" s="13">
        <v>2014.0</v>
      </c>
      <c r="G2871" s="13">
        <v>14564.0</v>
      </c>
      <c r="H2871" s="13">
        <v>967.75</v>
      </c>
      <c r="I2871" s="13">
        <f>' car_sales_data 1'!$G2871*0.2</f>
        <v>2912.8</v>
      </c>
      <c r="J2871" s="13" t="str">
        <f>TEXT(' car_sales_data 1'!$A2871,"mmmm")</f>
        <v>December</v>
      </c>
      <c r="K2871" s="13" t="str">
        <f>IF(' car_sales_data 1'!$G2871&gt;40000,"Premium",
 IF(' car_sales_data 1'!$G2871&gt;=20000,"Mid Range","Budget"))</f>
        <v>Budget</v>
      </c>
      <c r="L2871" s="13">
        <f>YEAR(TODAY())-' car_sales_data 1'!$F2871</f>
        <v>11</v>
      </c>
    </row>
    <row r="2872" ht="15.75" customHeight="1">
      <c r="A2872" s="16">
        <v>45022.0</v>
      </c>
      <c r="B2872" s="13" t="s">
        <v>5569</v>
      </c>
      <c r="C2872" s="13" t="s">
        <v>5570</v>
      </c>
      <c r="D2872" s="13" t="s">
        <v>14</v>
      </c>
      <c r="E2872" s="13" t="s">
        <v>54</v>
      </c>
      <c r="F2872" s="13">
        <v>2014.0</v>
      </c>
      <c r="G2872" s="13">
        <v>44682.0</v>
      </c>
      <c r="H2872" s="13">
        <v>4104.06</v>
      </c>
      <c r="I2872" s="13">
        <f>' car_sales_data 1'!$G2872*0.2</f>
        <v>8936.4</v>
      </c>
      <c r="J2872" s="13" t="str">
        <f>TEXT(' car_sales_data 1'!$A2872,"mmmm")</f>
        <v>April</v>
      </c>
      <c r="K2872" s="13" t="str">
        <f>IF(' car_sales_data 1'!$G2872&gt;40000,"Premium",
 IF(' car_sales_data 1'!$G2872&gt;=20000,"Mid Range","Budget"))</f>
        <v>Premium</v>
      </c>
      <c r="L2872" s="13">
        <f>YEAR(TODAY())-' car_sales_data 1'!$F2872</f>
        <v>11</v>
      </c>
    </row>
    <row r="2873" ht="15.75" customHeight="1">
      <c r="A2873" s="16">
        <v>44970.0</v>
      </c>
      <c r="B2873" s="13" t="s">
        <v>5571</v>
      </c>
      <c r="C2873" s="13" t="s">
        <v>5572</v>
      </c>
      <c r="D2873" s="13" t="s">
        <v>8</v>
      </c>
      <c r="E2873" s="13" t="s">
        <v>62</v>
      </c>
      <c r="F2873" s="13">
        <v>2016.0</v>
      </c>
      <c r="G2873" s="13">
        <v>28799.0</v>
      </c>
      <c r="H2873" s="13">
        <v>2909.17</v>
      </c>
      <c r="I2873" s="13">
        <f>' car_sales_data 1'!$G2873*0.2</f>
        <v>5759.8</v>
      </c>
      <c r="J2873" s="13" t="str">
        <f>TEXT(' car_sales_data 1'!$A2873,"mmmm")</f>
        <v>February</v>
      </c>
      <c r="K2873" s="13" t="str">
        <f>IF(' car_sales_data 1'!$G2873&gt;40000,"Premium",
 IF(' car_sales_data 1'!$G2873&gt;=20000,"Mid Range","Budget"))</f>
        <v>Mid Range</v>
      </c>
      <c r="L2873" s="13">
        <f>YEAR(TODAY())-' car_sales_data 1'!$F2873</f>
        <v>9</v>
      </c>
    </row>
    <row r="2874" ht="15.75" customHeight="1">
      <c r="A2874" s="16">
        <v>44874.0</v>
      </c>
      <c r="B2874" s="13" t="s">
        <v>2849</v>
      </c>
      <c r="C2874" s="13" t="s">
        <v>5573</v>
      </c>
      <c r="D2874" s="13" t="s">
        <v>14</v>
      </c>
      <c r="E2874" s="13" t="s">
        <v>62</v>
      </c>
      <c r="F2874" s="13">
        <v>2016.0</v>
      </c>
      <c r="G2874" s="13">
        <v>27695.0</v>
      </c>
      <c r="H2874" s="13">
        <v>2631.94</v>
      </c>
      <c r="I2874" s="13">
        <f>' car_sales_data 1'!$G2874*0.2</f>
        <v>5539</v>
      </c>
      <c r="J2874" s="13" t="str">
        <f>TEXT(' car_sales_data 1'!$A2874,"mmmm")</f>
        <v>November</v>
      </c>
      <c r="K2874" s="13" t="str">
        <f>IF(' car_sales_data 1'!$G2874&gt;40000,"Premium",
 IF(' car_sales_data 1'!$G2874&gt;=20000,"Mid Range","Budget"))</f>
        <v>Mid Range</v>
      </c>
      <c r="L2874" s="13">
        <f>YEAR(TODAY())-' car_sales_data 1'!$F2874</f>
        <v>9</v>
      </c>
    </row>
    <row r="2875" ht="15.75" customHeight="1">
      <c r="A2875" s="16">
        <v>44712.0</v>
      </c>
      <c r="B2875" s="13" t="s">
        <v>5574</v>
      </c>
      <c r="C2875" s="13" t="s">
        <v>5575</v>
      </c>
      <c r="D2875" s="13" t="s">
        <v>10</v>
      </c>
      <c r="E2875" s="13" t="s">
        <v>57</v>
      </c>
      <c r="F2875" s="13">
        <v>2021.0</v>
      </c>
      <c r="G2875" s="13">
        <v>24766.0</v>
      </c>
      <c r="H2875" s="13">
        <v>1339.37</v>
      </c>
      <c r="I2875" s="13">
        <f>' car_sales_data 1'!$G2875*0.2</f>
        <v>4953.2</v>
      </c>
      <c r="J2875" s="13" t="str">
        <f>TEXT(' car_sales_data 1'!$A2875,"mmmm")</f>
        <v>May</v>
      </c>
      <c r="K2875" s="13" t="str">
        <f>IF(' car_sales_data 1'!$G2875&gt;40000,"Premium",
 IF(' car_sales_data 1'!$G2875&gt;=20000,"Mid Range","Budget"))</f>
        <v>Mid Range</v>
      </c>
      <c r="L2875" s="13">
        <f>YEAR(TODAY())-' car_sales_data 1'!$F2875</f>
        <v>4</v>
      </c>
    </row>
    <row r="2876" ht="15.75" customHeight="1">
      <c r="A2876" s="16">
        <v>44854.0</v>
      </c>
      <c r="B2876" s="13" t="s">
        <v>5576</v>
      </c>
      <c r="C2876" s="13" t="s">
        <v>4610</v>
      </c>
      <c r="D2876" s="13" t="s">
        <v>12</v>
      </c>
      <c r="E2876" s="13" t="s">
        <v>57</v>
      </c>
      <c r="F2876" s="13">
        <v>2021.0</v>
      </c>
      <c r="G2876" s="13">
        <v>15364.0</v>
      </c>
      <c r="H2876" s="13">
        <v>1835.29</v>
      </c>
      <c r="I2876" s="13">
        <f>' car_sales_data 1'!$G2876*0.2</f>
        <v>3072.8</v>
      </c>
      <c r="J2876" s="13" t="str">
        <f>TEXT(' car_sales_data 1'!$A2876,"mmmm")</f>
        <v>October</v>
      </c>
      <c r="K2876" s="13" t="str">
        <f>IF(' car_sales_data 1'!$G2876&gt;40000,"Premium",
 IF(' car_sales_data 1'!$G2876&gt;=20000,"Mid Range","Budget"))</f>
        <v>Budget</v>
      </c>
      <c r="L2876" s="13">
        <f>YEAR(TODAY())-' car_sales_data 1'!$F2876</f>
        <v>4</v>
      </c>
    </row>
    <row r="2877" ht="15.75" customHeight="1">
      <c r="A2877" s="16">
        <v>44892.0</v>
      </c>
      <c r="B2877" s="13" t="s">
        <v>5577</v>
      </c>
      <c r="C2877" s="13" t="s">
        <v>5578</v>
      </c>
      <c r="D2877" s="13" t="s">
        <v>14</v>
      </c>
      <c r="E2877" s="13" t="s">
        <v>54</v>
      </c>
      <c r="F2877" s="13">
        <v>2011.0</v>
      </c>
      <c r="G2877" s="13">
        <v>18567.0</v>
      </c>
      <c r="H2877" s="13">
        <v>950.06</v>
      </c>
      <c r="I2877" s="13">
        <f>' car_sales_data 1'!$G2877*0.2</f>
        <v>3713.4</v>
      </c>
      <c r="J2877" s="13" t="str">
        <f>TEXT(' car_sales_data 1'!$A2877,"mmmm")</f>
        <v>November</v>
      </c>
      <c r="K2877" s="13" t="str">
        <f>IF(' car_sales_data 1'!$G2877&gt;40000,"Premium",
 IF(' car_sales_data 1'!$G2877&gt;=20000,"Mid Range","Budget"))</f>
        <v>Budget</v>
      </c>
      <c r="L2877" s="13">
        <f>YEAR(TODAY())-' car_sales_data 1'!$F2877</f>
        <v>14</v>
      </c>
    </row>
    <row r="2878" ht="15.75" customHeight="1">
      <c r="A2878" s="16">
        <v>44853.0</v>
      </c>
      <c r="B2878" s="13" t="s">
        <v>5579</v>
      </c>
      <c r="C2878" s="13" t="s">
        <v>5580</v>
      </c>
      <c r="D2878" s="13" t="s">
        <v>8</v>
      </c>
      <c r="E2878" s="13" t="s">
        <v>51</v>
      </c>
      <c r="F2878" s="13">
        <v>2022.0</v>
      </c>
      <c r="G2878" s="13">
        <v>11895.0</v>
      </c>
      <c r="H2878" s="13">
        <v>882.39</v>
      </c>
      <c r="I2878" s="13">
        <f>' car_sales_data 1'!$G2878*0.2</f>
        <v>2379</v>
      </c>
      <c r="J2878" s="13" t="str">
        <f>TEXT(' car_sales_data 1'!$A2878,"mmmm")</f>
        <v>October</v>
      </c>
      <c r="K2878" s="13" t="str">
        <f>IF(' car_sales_data 1'!$G2878&gt;40000,"Premium",
 IF(' car_sales_data 1'!$G2878&gt;=20000,"Mid Range","Budget"))</f>
        <v>Budget</v>
      </c>
      <c r="L2878" s="13">
        <f>YEAR(TODAY())-' car_sales_data 1'!$F2878</f>
        <v>3</v>
      </c>
    </row>
    <row r="2879" ht="15.75" customHeight="1">
      <c r="A2879" s="16">
        <v>44805.0</v>
      </c>
      <c r="B2879" s="13" t="s">
        <v>1354</v>
      </c>
      <c r="C2879" s="13" t="s">
        <v>5581</v>
      </c>
      <c r="D2879" s="13" t="s">
        <v>12</v>
      </c>
      <c r="E2879" s="13" t="s">
        <v>57</v>
      </c>
      <c r="F2879" s="13">
        <v>2022.0</v>
      </c>
      <c r="G2879" s="13">
        <v>21521.0</v>
      </c>
      <c r="H2879" s="13">
        <v>3090.33</v>
      </c>
      <c r="I2879" s="13">
        <f>' car_sales_data 1'!$G2879*0.2</f>
        <v>4304.2</v>
      </c>
      <c r="J2879" s="13" t="str">
        <f>TEXT(' car_sales_data 1'!$A2879,"mmmm")</f>
        <v>September</v>
      </c>
      <c r="K2879" s="13" t="str">
        <f>IF(' car_sales_data 1'!$G2879&gt;40000,"Premium",
 IF(' car_sales_data 1'!$G2879&gt;=20000,"Mid Range","Budget"))</f>
        <v>Mid Range</v>
      </c>
      <c r="L2879" s="13">
        <f>YEAR(TODAY())-' car_sales_data 1'!$F2879</f>
        <v>3</v>
      </c>
    </row>
    <row r="2880" ht="15.75" customHeight="1">
      <c r="A2880" s="16">
        <v>44703.0</v>
      </c>
      <c r="B2880" s="13" t="s">
        <v>5582</v>
      </c>
      <c r="C2880" s="13" t="s">
        <v>5583</v>
      </c>
      <c r="D2880" s="13" t="s">
        <v>12</v>
      </c>
      <c r="E2880" s="13" t="s">
        <v>62</v>
      </c>
      <c r="F2880" s="13">
        <v>2013.0</v>
      </c>
      <c r="G2880" s="13">
        <v>34223.0</v>
      </c>
      <c r="H2880" s="13">
        <v>2060.6</v>
      </c>
      <c r="I2880" s="13">
        <f>' car_sales_data 1'!$G2880*0.2</f>
        <v>6844.6</v>
      </c>
      <c r="J2880" s="13" t="str">
        <f>TEXT(' car_sales_data 1'!$A2880,"mmmm")</f>
        <v>May</v>
      </c>
      <c r="K2880" s="13" t="str">
        <f>IF(' car_sales_data 1'!$G2880&gt;40000,"Premium",
 IF(' car_sales_data 1'!$G2880&gt;=20000,"Mid Range","Budget"))</f>
        <v>Mid Range</v>
      </c>
      <c r="L2880" s="13">
        <f>YEAR(TODAY())-' car_sales_data 1'!$F2880</f>
        <v>12</v>
      </c>
    </row>
    <row r="2881" ht="15.75" customHeight="1">
      <c r="A2881" s="16">
        <v>44977.0</v>
      </c>
      <c r="B2881" s="13" t="s">
        <v>5584</v>
      </c>
      <c r="C2881" s="13" t="s">
        <v>5585</v>
      </c>
      <c r="D2881" s="13" t="s">
        <v>10</v>
      </c>
      <c r="E2881" s="13" t="s">
        <v>70</v>
      </c>
      <c r="F2881" s="13">
        <v>2021.0</v>
      </c>
      <c r="G2881" s="13">
        <v>43273.0</v>
      </c>
      <c r="H2881" s="13">
        <v>4767.05</v>
      </c>
      <c r="I2881" s="13">
        <f>' car_sales_data 1'!$G2881*0.2</f>
        <v>8654.6</v>
      </c>
      <c r="J2881" s="13" t="str">
        <f>TEXT(' car_sales_data 1'!$A2881,"mmmm")</f>
        <v>February</v>
      </c>
      <c r="K2881" s="13" t="str">
        <f>IF(' car_sales_data 1'!$G2881&gt;40000,"Premium",
 IF(' car_sales_data 1'!$G2881&gt;=20000,"Mid Range","Budget"))</f>
        <v>Premium</v>
      </c>
      <c r="L2881" s="13">
        <f>YEAR(TODAY())-' car_sales_data 1'!$F2881</f>
        <v>4</v>
      </c>
    </row>
    <row r="2882" ht="15.75" customHeight="1">
      <c r="A2882" s="16">
        <v>45034.0</v>
      </c>
      <c r="B2882" s="13" t="s">
        <v>4578</v>
      </c>
      <c r="C2882" s="13" t="s">
        <v>5586</v>
      </c>
      <c r="D2882" s="13" t="s">
        <v>14</v>
      </c>
      <c r="E2882" s="13" t="s">
        <v>62</v>
      </c>
      <c r="F2882" s="13">
        <v>2014.0</v>
      </c>
      <c r="G2882" s="13">
        <v>33258.0</v>
      </c>
      <c r="H2882" s="13">
        <v>2689.91</v>
      </c>
      <c r="I2882" s="13">
        <f>' car_sales_data 1'!$G2882*0.2</f>
        <v>6651.6</v>
      </c>
      <c r="J2882" s="13" t="str">
        <f>TEXT(' car_sales_data 1'!$A2882,"mmmm")</f>
        <v>April</v>
      </c>
      <c r="K2882" s="13" t="str">
        <f>IF(' car_sales_data 1'!$G2882&gt;40000,"Premium",
 IF(' car_sales_data 1'!$G2882&gt;=20000,"Mid Range","Budget"))</f>
        <v>Mid Range</v>
      </c>
      <c r="L2882" s="13">
        <f>YEAR(TODAY())-' car_sales_data 1'!$F2882</f>
        <v>11</v>
      </c>
    </row>
    <row r="2883" ht="15.75" customHeight="1">
      <c r="A2883" s="16">
        <v>44765.0</v>
      </c>
      <c r="B2883" s="13" t="s">
        <v>5587</v>
      </c>
      <c r="C2883" s="13" t="s">
        <v>5588</v>
      </c>
      <c r="D2883" s="13" t="s">
        <v>8</v>
      </c>
      <c r="E2883" s="13" t="s">
        <v>54</v>
      </c>
      <c r="F2883" s="13">
        <v>2012.0</v>
      </c>
      <c r="G2883" s="13">
        <v>35857.0</v>
      </c>
      <c r="H2883" s="13">
        <v>2989.93</v>
      </c>
      <c r="I2883" s="13">
        <f>' car_sales_data 1'!$G2883*0.2</f>
        <v>7171.4</v>
      </c>
      <c r="J2883" s="13" t="str">
        <f>TEXT(' car_sales_data 1'!$A2883,"mmmm")</f>
        <v>July</v>
      </c>
      <c r="K2883" s="13" t="str">
        <f>IF(' car_sales_data 1'!$G2883&gt;40000,"Premium",
 IF(' car_sales_data 1'!$G2883&gt;=20000,"Mid Range","Budget"))</f>
        <v>Mid Range</v>
      </c>
      <c r="L2883" s="13">
        <f>YEAR(TODAY())-' car_sales_data 1'!$F2883</f>
        <v>13</v>
      </c>
    </row>
    <row r="2884" ht="15.75" customHeight="1">
      <c r="A2884" s="16">
        <v>44785.0</v>
      </c>
      <c r="B2884" s="13" t="s">
        <v>5589</v>
      </c>
      <c r="C2884" s="13" t="s">
        <v>5590</v>
      </c>
      <c r="D2884" s="13" t="s">
        <v>14</v>
      </c>
      <c r="E2884" s="13" t="s">
        <v>70</v>
      </c>
      <c r="F2884" s="13">
        <v>2018.0</v>
      </c>
      <c r="G2884" s="13">
        <v>47760.0</v>
      </c>
      <c r="H2884" s="13">
        <v>4473.25</v>
      </c>
      <c r="I2884" s="13">
        <f>' car_sales_data 1'!$G2884*0.2</f>
        <v>9552</v>
      </c>
      <c r="J2884" s="13" t="str">
        <f>TEXT(' car_sales_data 1'!$A2884,"mmmm")</f>
        <v>August</v>
      </c>
      <c r="K2884" s="13" t="str">
        <f>IF(' car_sales_data 1'!$G2884&gt;40000,"Premium",
 IF(' car_sales_data 1'!$G2884&gt;=20000,"Mid Range","Budget"))</f>
        <v>Premium</v>
      </c>
      <c r="L2884" s="13">
        <f>YEAR(TODAY())-' car_sales_data 1'!$F2884</f>
        <v>7</v>
      </c>
    </row>
    <row r="2885" ht="15.75" customHeight="1">
      <c r="A2885" s="16">
        <v>44991.0</v>
      </c>
      <c r="B2885" s="13" t="s">
        <v>5591</v>
      </c>
      <c r="C2885" s="13" t="s">
        <v>5592</v>
      </c>
      <c r="D2885" s="13" t="s">
        <v>8</v>
      </c>
      <c r="E2885" s="13" t="s">
        <v>57</v>
      </c>
      <c r="F2885" s="13">
        <v>2017.0</v>
      </c>
      <c r="G2885" s="13">
        <v>27548.0</v>
      </c>
      <c r="H2885" s="13">
        <v>1812.85</v>
      </c>
      <c r="I2885" s="13">
        <f>' car_sales_data 1'!$G2885*0.2</f>
        <v>5509.6</v>
      </c>
      <c r="J2885" s="13" t="str">
        <f>TEXT(' car_sales_data 1'!$A2885,"mmmm")</f>
        <v>March</v>
      </c>
      <c r="K2885" s="13" t="str">
        <f>IF(' car_sales_data 1'!$G2885&gt;40000,"Premium",
 IF(' car_sales_data 1'!$G2885&gt;=20000,"Mid Range","Budget"))</f>
        <v>Mid Range</v>
      </c>
      <c r="L2885" s="13">
        <f>YEAR(TODAY())-' car_sales_data 1'!$F2885</f>
        <v>8</v>
      </c>
    </row>
    <row r="2886" ht="15.75" customHeight="1">
      <c r="A2886" s="16">
        <v>44727.0</v>
      </c>
      <c r="B2886" s="13" t="s">
        <v>5593</v>
      </c>
      <c r="C2886" s="13" t="s">
        <v>5594</v>
      </c>
      <c r="D2886" s="13" t="s">
        <v>8</v>
      </c>
      <c r="E2886" s="13" t="s">
        <v>57</v>
      </c>
      <c r="F2886" s="13">
        <v>2013.0</v>
      </c>
      <c r="G2886" s="13">
        <v>33583.0</v>
      </c>
      <c r="H2886" s="13">
        <v>4338.3</v>
      </c>
      <c r="I2886" s="13">
        <f>' car_sales_data 1'!$G2886*0.2</f>
        <v>6716.6</v>
      </c>
      <c r="J2886" s="13" t="str">
        <f>TEXT(' car_sales_data 1'!$A2886,"mmmm")</f>
        <v>June</v>
      </c>
      <c r="K2886" s="13" t="str">
        <f>IF(' car_sales_data 1'!$G2886&gt;40000,"Premium",
 IF(' car_sales_data 1'!$G2886&gt;=20000,"Mid Range","Budget"))</f>
        <v>Mid Range</v>
      </c>
      <c r="L2886" s="13">
        <f>YEAR(TODAY())-' car_sales_data 1'!$F2886</f>
        <v>12</v>
      </c>
    </row>
    <row r="2887" ht="15.75" customHeight="1">
      <c r="A2887" s="16">
        <v>44787.0</v>
      </c>
      <c r="B2887" s="13" t="s">
        <v>5595</v>
      </c>
      <c r="C2887" s="13" t="s">
        <v>5596</v>
      </c>
      <c r="D2887" s="13" t="s">
        <v>6</v>
      </c>
      <c r="E2887" s="13" t="s">
        <v>70</v>
      </c>
      <c r="F2887" s="13">
        <v>2022.0</v>
      </c>
      <c r="G2887" s="13">
        <v>28485.0</v>
      </c>
      <c r="H2887" s="13">
        <v>3661.9</v>
      </c>
      <c r="I2887" s="13">
        <f>' car_sales_data 1'!$G2887*0.2</f>
        <v>5697</v>
      </c>
      <c r="J2887" s="13" t="str">
        <f>TEXT(' car_sales_data 1'!$A2887,"mmmm")</f>
        <v>August</v>
      </c>
      <c r="K2887" s="13" t="str">
        <f>IF(' car_sales_data 1'!$G2887&gt;40000,"Premium",
 IF(' car_sales_data 1'!$G2887&gt;=20000,"Mid Range","Budget"))</f>
        <v>Mid Range</v>
      </c>
      <c r="L2887" s="13">
        <f>YEAR(TODAY())-' car_sales_data 1'!$F2887</f>
        <v>3</v>
      </c>
    </row>
    <row r="2888" ht="15.75" customHeight="1">
      <c r="A2888" s="16">
        <v>44713.0</v>
      </c>
      <c r="B2888" s="13" t="s">
        <v>5597</v>
      </c>
      <c r="C2888" s="13" t="s">
        <v>5598</v>
      </c>
      <c r="D2888" s="13" t="s">
        <v>12</v>
      </c>
      <c r="E2888" s="13" t="s">
        <v>54</v>
      </c>
      <c r="F2888" s="13">
        <v>2018.0</v>
      </c>
      <c r="G2888" s="13">
        <v>32380.0</v>
      </c>
      <c r="H2888" s="13">
        <v>4593.68</v>
      </c>
      <c r="I2888" s="13">
        <f>' car_sales_data 1'!$G2888*0.2</f>
        <v>6476</v>
      </c>
      <c r="J2888" s="13" t="str">
        <f>TEXT(' car_sales_data 1'!$A2888,"mmmm")</f>
        <v>June</v>
      </c>
      <c r="K2888" s="13" t="str">
        <f>IF(' car_sales_data 1'!$G2888&gt;40000,"Premium",
 IF(' car_sales_data 1'!$G2888&gt;=20000,"Mid Range","Budget"))</f>
        <v>Mid Range</v>
      </c>
      <c r="L2888" s="13">
        <f>YEAR(TODAY())-' car_sales_data 1'!$F2888</f>
        <v>7</v>
      </c>
    </row>
    <row r="2889" ht="15.75" customHeight="1">
      <c r="A2889" s="16">
        <v>44889.0</v>
      </c>
      <c r="B2889" s="13" t="s">
        <v>5599</v>
      </c>
      <c r="C2889" s="13" t="s">
        <v>5600</v>
      </c>
      <c r="D2889" s="13" t="s">
        <v>8</v>
      </c>
      <c r="E2889" s="13" t="s">
        <v>54</v>
      </c>
      <c r="F2889" s="13">
        <v>2014.0</v>
      </c>
      <c r="G2889" s="13">
        <v>30309.0</v>
      </c>
      <c r="H2889" s="13">
        <v>1665.29</v>
      </c>
      <c r="I2889" s="13">
        <f>' car_sales_data 1'!$G2889*0.2</f>
        <v>6061.8</v>
      </c>
      <c r="J2889" s="13" t="str">
        <f>TEXT(' car_sales_data 1'!$A2889,"mmmm")</f>
        <v>November</v>
      </c>
      <c r="K2889" s="13" t="str">
        <f>IF(' car_sales_data 1'!$G2889&gt;40000,"Premium",
 IF(' car_sales_data 1'!$G2889&gt;=20000,"Mid Range","Budget"))</f>
        <v>Mid Range</v>
      </c>
      <c r="L2889" s="13">
        <f>YEAR(TODAY())-' car_sales_data 1'!$F2889</f>
        <v>11</v>
      </c>
    </row>
    <row r="2890" ht="15.75" customHeight="1">
      <c r="A2890" s="16">
        <v>44959.0</v>
      </c>
      <c r="B2890" s="13" t="s">
        <v>3248</v>
      </c>
      <c r="C2890" s="13" t="s">
        <v>5601</v>
      </c>
      <c r="D2890" s="13" t="s">
        <v>8</v>
      </c>
      <c r="E2890" s="13" t="s">
        <v>70</v>
      </c>
      <c r="F2890" s="13">
        <v>2019.0</v>
      </c>
      <c r="G2890" s="13">
        <v>23415.0</v>
      </c>
      <c r="H2890" s="13">
        <v>3220.77</v>
      </c>
      <c r="I2890" s="13">
        <f>' car_sales_data 1'!$G2890*0.2</f>
        <v>4683</v>
      </c>
      <c r="J2890" s="13" t="str">
        <f>TEXT(' car_sales_data 1'!$A2890,"mmmm")</f>
        <v>February</v>
      </c>
      <c r="K2890" s="13" t="str">
        <f>IF(' car_sales_data 1'!$G2890&gt;40000,"Premium",
 IF(' car_sales_data 1'!$G2890&gt;=20000,"Mid Range","Budget"))</f>
        <v>Mid Range</v>
      </c>
      <c r="L2890" s="13">
        <f>YEAR(TODAY())-' car_sales_data 1'!$F2890</f>
        <v>6</v>
      </c>
    </row>
    <row r="2891" ht="15.75" customHeight="1">
      <c r="A2891" s="16">
        <v>44711.0</v>
      </c>
      <c r="B2891" s="13" t="s">
        <v>5602</v>
      </c>
      <c r="C2891" s="13" t="s">
        <v>5603</v>
      </c>
      <c r="D2891" s="13" t="s">
        <v>14</v>
      </c>
      <c r="E2891" s="13" t="s">
        <v>51</v>
      </c>
      <c r="F2891" s="13">
        <v>2020.0</v>
      </c>
      <c r="G2891" s="13">
        <v>43460.0</v>
      </c>
      <c r="H2891" s="13">
        <v>3839.63</v>
      </c>
      <c r="I2891" s="13">
        <f>' car_sales_data 1'!$G2891*0.2</f>
        <v>8692</v>
      </c>
      <c r="J2891" s="13" t="str">
        <f>TEXT(' car_sales_data 1'!$A2891,"mmmm")</f>
        <v>May</v>
      </c>
      <c r="K2891" s="13" t="str">
        <f>IF(' car_sales_data 1'!$G2891&gt;40000,"Premium",
 IF(' car_sales_data 1'!$G2891&gt;=20000,"Mid Range","Budget"))</f>
        <v>Premium</v>
      </c>
      <c r="L2891" s="13">
        <f>YEAR(TODAY())-' car_sales_data 1'!$F2891</f>
        <v>5</v>
      </c>
    </row>
    <row r="2892" ht="15.75" customHeight="1">
      <c r="A2892" s="16">
        <v>44770.0</v>
      </c>
      <c r="B2892" s="13" t="s">
        <v>5604</v>
      </c>
      <c r="C2892" s="13" t="s">
        <v>5605</v>
      </c>
      <c r="D2892" s="13" t="s">
        <v>8</v>
      </c>
      <c r="E2892" s="13" t="s">
        <v>51</v>
      </c>
      <c r="F2892" s="13">
        <v>2013.0</v>
      </c>
      <c r="G2892" s="13">
        <v>48082.0</v>
      </c>
      <c r="H2892" s="13">
        <v>7175.91</v>
      </c>
      <c r="I2892" s="13">
        <f>' car_sales_data 1'!$G2892*0.2</f>
        <v>9616.4</v>
      </c>
      <c r="J2892" s="13" t="str">
        <f>TEXT(' car_sales_data 1'!$A2892,"mmmm")</f>
        <v>July</v>
      </c>
      <c r="K2892" s="13" t="str">
        <f>IF(' car_sales_data 1'!$G2892&gt;40000,"Premium",
 IF(' car_sales_data 1'!$G2892&gt;=20000,"Mid Range","Budget"))</f>
        <v>Premium</v>
      </c>
      <c r="L2892" s="13">
        <f>YEAR(TODAY())-' car_sales_data 1'!$F2892</f>
        <v>12</v>
      </c>
    </row>
    <row r="2893" ht="15.75" customHeight="1">
      <c r="A2893" s="16">
        <v>44961.0</v>
      </c>
      <c r="B2893" s="13" t="s">
        <v>5606</v>
      </c>
      <c r="C2893" s="13" t="s">
        <v>5607</v>
      </c>
      <c r="D2893" s="13" t="s">
        <v>12</v>
      </c>
      <c r="E2893" s="13" t="s">
        <v>57</v>
      </c>
      <c r="F2893" s="13">
        <v>2020.0</v>
      </c>
      <c r="G2893" s="13">
        <v>15337.0</v>
      </c>
      <c r="H2893" s="13">
        <v>1877.93</v>
      </c>
      <c r="I2893" s="13">
        <f>' car_sales_data 1'!$G2893*0.2</f>
        <v>3067.4</v>
      </c>
      <c r="J2893" s="13" t="str">
        <f>TEXT(' car_sales_data 1'!$A2893,"mmmm")</f>
        <v>February</v>
      </c>
      <c r="K2893" s="13" t="str">
        <f>IF(' car_sales_data 1'!$G2893&gt;40000,"Premium",
 IF(' car_sales_data 1'!$G2893&gt;=20000,"Mid Range","Budget"))</f>
        <v>Budget</v>
      </c>
      <c r="L2893" s="13">
        <f>YEAR(TODAY())-' car_sales_data 1'!$F2893</f>
        <v>5</v>
      </c>
    </row>
    <row r="2894" ht="15.75" customHeight="1">
      <c r="A2894" s="16">
        <v>44799.0</v>
      </c>
      <c r="B2894" s="13" t="s">
        <v>5608</v>
      </c>
      <c r="C2894" s="13" t="s">
        <v>5609</v>
      </c>
      <c r="D2894" s="13" t="s">
        <v>8</v>
      </c>
      <c r="E2894" s="13" t="s">
        <v>51</v>
      </c>
      <c r="F2894" s="13">
        <v>2022.0</v>
      </c>
      <c r="G2894" s="13">
        <v>24375.0</v>
      </c>
      <c r="H2894" s="13">
        <v>2466.63</v>
      </c>
      <c r="I2894" s="13">
        <f>' car_sales_data 1'!$G2894*0.2</f>
        <v>4875</v>
      </c>
      <c r="J2894" s="13" t="str">
        <f>TEXT(' car_sales_data 1'!$A2894,"mmmm")</f>
        <v>August</v>
      </c>
      <c r="K2894" s="13" t="str">
        <f>IF(' car_sales_data 1'!$G2894&gt;40000,"Premium",
 IF(' car_sales_data 1'!$G2894&gt;=20000,"Mid Range","Budget"))</f>
        <v>Mid Range</v>
      </c>
      <c r="L2894" s="13">
        <f>YEAR(TODAY())-' car_sales_data 1'!$F2894</f>
        <v>3</v>
      </c>
    </row>
    <row r="2895" ht="15.75" customHeight="1">
      <c r="A2895" s="16">
        <v>44861.0</v>
      </c>
      <c r="B2895" s="13" t="s">
        <v>5610</v>
      </c>
      <c r="C2895" s="13" t="s">
        <v>5611</v>
      </c>
      <c r="D2895" s="13" t="s">
        <v>14</v>
      </c>
      <c r="E2895" s="13" t="s">
        <v>51</v>
      </c>
      <c r="F2895" s="13">
        <v>2021.0</v>
      </c>
      <c r="G2895" s="13">
        <v>44331.0</v>
      </c>
      <c r="H2895" s="13">
        <v>6261.94</v>
      </c>
      <c r="I2895" s="13">
        <f>' car_sales_data 1'!$G2895*0.2</f>
        <v>8866.2</v>
      </c>
      <c r="J2895" s="13" t="str">
        <f>TEXT(' car_sales_data 1'!$A2895,"mmmm")</f>
        <v>October</v>
      </c>
      <c r="K2895" s="13" t="str">
        <f>IF(' car_sales_data 1'!$G2895&gt;40000,"Premium",
 IF(' car_sales_data 1'!$G2895&gt;=20000,"Mid Range","Budget"))</f>
        <v>Premium</v>
      </c>
      <c r="L2895" s="13">
        <f>YEAR(TODAY())-' car_sales_data 1'!$F2895</f>
        <v>4</v>
      </c>
    </row>
    <row r="2896" ht="15.75" customHeight="1">
      <c r="A2896" s="16">
        <v>44856.0</v>
      </c>
      <c r="B2896" s="13" t="s">
        <v>5612</v>
      </c>
      <c r="C2896" s="13" t="s">
        <v>5613</v>
      </c>
      <c r="D2896" s="13" t="s">
        <v>6</v>
      </c>
      <c r="E2896" s="13" t="s">
        <v>70</v>
      </c>
      <c r="F2896" s="13">
        <v>2016.0</v>
      </c>
      <c r="G2896" s="13">
        <v>39510.0</v>
      </c>
      <c r="H2896" s="13">
        <v>4270.01</v>
      </c>
      <c r="I2896" s="13">
        <f>' car_sales_data 1'!$G2896*0.2</f>
        <v>7902</v>
      </c>
      <c r="J2896" s="13" t="str">
        <f>TEXT(' car_sales_data 1'!$A2896,"mmmm")</f>
        <v>October</v>
      </c>
      <c r="K2896" s="13" t="str">
        <f>IF(' car_sales_data 1'!$G2896&gt;40000,"Premium",
 IF(' car_sales_data 1'!$G2896&gt;=20000,"Mid Range","Budget"))</f>
        <v>Mid Range</v>
      </c>
      <c r="L2896" s="13">
        <f>YEAR(TODAY())-' car_sales_data 1'!$F2896</f>
        <v>9</v>
      </c>
    </row>
    <row r="2897" ht="15.75" customHeight="1">
      <c r="A2897" s="16">
        <v>45005.0</v>
      </c>
      <c r="B2897" s="13" t="s">
        <v>5614</v>
      </c>
      <c r="C2897" s="13" t="s">
        <v>5615</v>
      </c>
      <c r="D2897" s="13" t="s">
        <v>12</v>
      </c>
      <c r="E2897" s="13" t="s">
        <v>57</v>
      </c>
      <c r="F2897" s="13">
        <v>2013.0</v>
      </c>
      <c r="G2897" s="13">
        <v>15369.0</v>
      </c>
      <c r="H2897" s="13">
        <v>2266.0</v>
      </c>
      <c r="I2897" s="13">
        <f>' car_sales_data 1'!$G2897*0.2</f>
        <v>3073.8</v>
      </c>
      <c r="J2897" s="13" t="str">
        <f>TEXT(' car_sales_data 1'!$A2897,"mmmm")</f>
        <v>March</v>
      </c>
      <c r="K2897" s="13" t="str">
        <f>IF(' car_sales_data 1'!$G2897&gt;40000,"Premium",
 IF(' car_sales_data 1'!$G2897&gt;=20000,"Mid Range","Budget"))</f>
        <v>Budget</v>
      </c>
      <c r="L2897" s="13">
        <f>YEAR(TODAY())-' car_sales_data 1'!$F2897</f>
        <v>12</v>
      </c>
    </row>
    <row r="2898" ht="15.75" customHeight="1">
      <c r="A2898" s="16">
        <v>45028.0</v>
      </c>
      <c r="B2898" s="13" t="s">
        <v>1550</v>
      </c>
      <c r="C2898" s="13" t="s">
        <v>5616</v>
      </c>
      <c r="D2898" s="13" t="s">
        <v>6</v>
      </c>
      <c r="E2898" s="13" t="s">
        <v>54</v>
      </c>
      <c r="F2898" s="13">
        <v>2012.0</v>
      </c>
      <c r="G2898" s="13">
        <v>30781.0</v>
      </c>
      <c r="H2898" s="13">
        <v>2134.51</v>
      </c>
      <c r="I2898" s="13">
        <f>' car_sales_data 1'!$G2898*0.2</f>
        <v>6156.2</v>
      </c>
      <c r="J2898" s="13" t="str">
        <f>TEXT(' car_sales_data 1'!$A2898,"mmmm")</f>
        <v>April</v>
      </c>
      <c r="K2898" s="13" t="str">
        <f>IF(' car_sales_data 1'!$G2898&gt;40000,"Premium",
 IF(' car_sales_data 1'!$G2898&gt;=20000,"Mid Range","Budget"))</f>
        <v>Mid Range</v>
      </c>
      <c r="L2898" s="13">
        <f>YEAR(TODAY())-' car_sales_data 1'!$F2898</f>
        <v>13</v>
      </c>
    </row>
    <row r="2899" ht="15.75" customHeight="1">
      <c r="A2899" s="16">
        <v>44902.0</v>
      </c>
      <c r="B2899" s="13" t="s">
        <v>5617</v>
      </c>
      <c r="C2899" s="13" t="s">
        <v>5618</v>
      </c>
      <c r="D2899" s="13" t="s">
        <v>6</v>
      </c>
      <c r="E2899" s="13" t="s">
        <v>62</v>
      </c>
      <c r="F2899" s="13">
        <v>2015.0</v>
      </c>
      <c r="G2899" s="13">
        <v>37520.0</v>
      </c>
      <c r="H2899" s="13">
        <v>3696.6</v>
      </c>
      <c r="I2899" s="13">
        <f>' car_sales_data 1'!$G2899*0.2</f>
        <v>7504</v>
      </c>
      <c r="J2899" s="13" t="str">
        <f>TEXT(' car_sales_data 1'!$A2899,"mmmm")</f>
        <v>December</v>
      </c>
      <c r="K2899" s="13" t="str">
        <f>IF(' car_sales_data 1'!$G2899&gt;40000,"Premium",
 IF(' car_sales_data 1'!$G2899&gt;=20000,"Mid Range","Budget"))</f>
        <v>Mid Range</v>
      </c>
      <c r="L2899" s="13">
        <f>YEAR(TODAY())-' car_sales_data 1'!$F2899</f>
        <v>10</v>
      </c>
    </row>
    <row r="2900" ht="15.75" customHeight="1">
      <c r="A2900" s="16">
        <v>44691.0</v>
      </c>
      <c r="B2900" s="13" t="s">
        <v>5619</v>
      </c>
      <c r="C2900" s="13" t="s">
        <v>5620</v>
      </c>
      <c r="D2900" s="13" t="s">
        <v>8</v>
      </c>
      <c r="E2900" s="13" t="s">
        <v>57</v>
      </c>
      <c r="F2900" s="13">
        <v>2016.0</v>
      </c>
      <c r="G2900" s="13">
        <v>34645.0</v>
      </c>
      <c r="H2900" s="13">
        <v>2496.59</v>
      </c>
      <c r="I2900" s="13">
        <f>' car_sales_data 1'!$G2900*0.2</f>
        <v>6929</v>
      </c>
      <c r="J2900" s="13" t="str">
        <f>TEXT(' car_sales_data 1'!$A2900,"mmmm")</f>
        <v>May</v>
      </c>
      <c r="K2900" s="13" t="str">
        <f>IF(' car_sales_data 1'!$G2900&gt;40000,"Premium",
 IF(' car_sales_data 1'!$G2900&gt;=20000,"Mid Range","Budget"))</f>
        <v>Mid Range</v>
      </c>
      <c r="L2900" s="13">
        <f>YEAR(TODAY())-' car_sales_data 1'!$F2900</f>
        <v>9</v>
      </c>
    </row>
    <row r="2901" ht="15.75" customHeight="1">
      <c r="A2901" s="16">
        <v>44953.0</v>
      </c>
      <c r="B2901" s="13" t="s">
        <v>5621</v>
      </c>
      <c r="C2901" s="13" t="s">
        <v>5622</v>
      </c>
      <c r="D2901" s="13" t="s">
        <v>14</v>
      </c>
      <c r="E2901" s="13" t="s">
        <v>51</v>
      </c>
      <c r="F2901" s="13">
        <v>2018.0</v>
      </c>
      <c r="G2901" s="13">
        <v>37592.0</v>
      </c>
      <c r="H2901" s="13">
        <v>3316.81</v>
      </c>
      <c r="I2901" s="13">
        <f>' car_sales_data 1'!$G2901*0.2</f>
        <v>7518.4</v>
      </c>
      <c r="J2901" s="13" t="str">
        <f>TEXT(' car_sales_data 1'!$A2901,"mmmm")</f>
        <v>January</v>
      </c>
      <c r="K2901" s="13" t="str">
        <f>IF(' car_sales_data 1'!$G2901&gt;40000,"Premium",
 IF(' car_sales_data 1'!$G2901&gt;=20000,"Mid Range","Budget"))</f>
        <v>Mid Range</v>
      </c>
      <c r="L2901" s="13">
        <f>YEAR(TODAY())-' car_sales_data 1'!$F2901</f>
        <v>7</v>
      </c>
    </row>
    <row r="2902" ht="15.75" customHeight="1">
      <c r="A2902" s="16">
        <v>44730.0</v>
      </c>
      <c r="B2902" s="13" t="s">
        <v>5623</v>
      </c>
      <c r="C2902" s="13" t="s">
        <v>5624</v>
      </c>
      <c r="D2902" s="13" t="s">
        <v>14</v>
      </c>
      <c r="E2902" s="13" t="s">
        <v>54</v>
      </c>
      <c r="F2902" s="13">
        <v>2010.0</v>
      </c>
      <c r="G2902" s="13">
        <v>44914.0</v>
      </c>
      <c r="H2902" s="13">
        <v>2901.97</v>
      </c>
      <c r="I2902" s="13">
        <f>' car_sales_data 1'!$G2902*0.2</f>
        <v>8982.8</v>
      </c>
      <c r="J2902" s="13" t="str">
        <f>TEXT(' car_sales_data 1'!$A2902,"mmmm")</f>
        <v>June</v>
      </c>
      <c r="K2902" s="13" t="str">
        <f>IF(' car_sales_data 1'!$G2902&gt;40000,"Premium",
 IF(' car_sales_data 1'!$G2902&gt;=20000,"Mid Range","Budget"))</f>
        <v>Premium</v>
      </c>
      <c r="L2902" s="13">
        <f>YEAR(TODAY())-' car_sales_data 1'!$F2902</f>
        <v>15</v>
      </c>
    </row>
    <row r="2903" ht="15.75" customHeight="1">
      <c r="A2903" s="16">
        <v>44948.0</v>
      </c>
      <c r="B2903" s="13" t="s">
        <v>5625</v>
      </c>
      <c r="C2903" s="13" t="s">
        <v>276</v>
      </c>
      <c r="D2903" s="13" t="s">
        <v>14</v>
      </c>
      <c r="E2903" s="13" t="s">
        <v>54</v>
      </c>
      <c r="F2903" s="13">
        <v>2014.0</v>
      </c>
      <c r="G2903" s="13">
        <v>12186.0</v>
      </c>
      <c r="H2903" s="13">
        <v>1100.93</v>
      </c>
      <c r="I2903" s="13">
        <f>' car_sales_data 1'!$G2903*0.2</f>
        <v>2437.2</v>
      </c>
      <c r="J2903" s="13" t="str">
        <f>TEXT(' car_sales_data 1'!$A2903,"mmmm")</f>
        <v>January</v>
      </c>
      <c r="K2903" s="13" t="str">
        <f>IF(' car_sales_data 1'!$G2903&gt;40000,"Premium",
 IF(' car_sales_data 1'!$G2903&gt;=20000,"Mid Range","Budget"))</f>
        <v>Budget</v>
      </c>
      <c r="L2903" s="13">
        <f>YEAR(TODAY())-' car_sales_data 1'!$F2903</f>
        <v>11</v>
      </c>
    </row>
    <row r="2904" ht="15.75" customHeight="1">
      <c r="A2904" s="16">
        <v>45003.0</v>
      </c>
      <c r="B2904" s="13" t="s">
        <v>2685</v>
      </c>
      <c r="C2904" s="13" t="s">
        <v>5626</v>
      </c>
      <c r="D2904" s="13" t="s">
        <v>6</v>
      </c>
      <c r="E2904" s="13" t="s">
        <v>51</v>
      </c>
      <c r="F2904" s="13">
        <v>2022.0</v>
      </c>
      <c r="G2904" s="13">
        <v>18274.0</v>
      </c>
      <c r="H2904" s="13">
        <v>1173.79</v>
      </c>
      <c r="I2904" s="13">
        <f>' car_sales_data 1'!$G2904*0.2</f>
        <v>3654.8</v>
      </c>
      <c r="J2904" s="13" t="str">
        <f>TEXT(' car_sales_data 1'!$A2904,"mmmm")</f>
        <v>March</v>
      </c>
      <c r="K2904" s="13" t="str">
        <f>IF(' car_sales_data 1'!$G2904&gt;40000,"Premium",
 IF(' car_sales_data 1'!$G2904&gt;=20000,"Mid Range","Budget"))</f>
        <v>Budget</v>
      </c>
      <c r="L2904" s="13">
        <f>YEAR(TODAY())-' car_sales_data 1'!$F2904</f>
        <v>3</v>
      </c>
    </row>
    <row r="2905" ht="15.75" customHeight="1">
      <c r="A2905" s="16">
        <v>44743.0</v>
      </c>
      <c r="B2905" s="13" t="s">
        <v>5627</v>
      </c>
      <c r="C2905" s="13" t="s">
        <v>5628</v>
      </c>
      <c r="D2905" s="13" t="s">
        <v>10</v>
      </c>
      <c r="E2905" s="13" t="s">
        <v>57</v>
      </c>
      <c r="F2905" s="13">
        <v>2020.0</v>
      </c>
      <c r="G2905" s="13">
        <v>43155.0</v>
      </c>
      <c r="H2905" s="13">
        <v>5134.37</v>
      </c>
      <c r="I2905" s="13">
        <f>' car_sales_data 1'!$G2905*0.2</f>
        <v>8631</v>
      </c>
      <c r="J2905" s="13" t="str">
        <f>TEXT(' car_sales_data 1'!$A2905,"mmmm")</f>
        <v>July</v>
      </c>
      <c r="K2905" s="13" t="str">
        <f>IF(' car_sales_data 1'!$G2905&gt;40000,"Premium",
 IF(' car_sales_data 1'!$G2905&gt;=20000,"Mid Range","Budget"))</f>
        <v>Premium</v>
      </c>
      <c r="L2905" s="13">
        <f>YEAR(TODAY())-' car_sales_data 1'!$F2905</f>
        <v>5</v>
      </c>
    </row>
    <row r="2906" ht="15.75" customHeight="1">
      <c r="A2906" s="16">
        <v>45011.0</v>
      </c>
      <c r="B2906" s="13" t="s">
        <v>5629</v>
      </c>
      <c r="C2906" s="13" t="s">
        <v>5630</v>
      </c>
      <c r="D2906" s="13" t="s">
        <v>14</v>
      </c>
      <c r="E2906" s="13" t="s">
        <v>57</v>
      </c>
      <c r="F2906" s="13">
        <v>2010.0</v>
      </c>
      <c r="G2906" s="13">
        <v>44298.0</v>
      </c>
      <c r="H2906" s="13">
        <v>4418.08</v>
      </c>
      <c r="I2906" s="13">
        <f>' car_sales_data 1'!$G2906*0.2</f>
        <v>8859.6</v>
      </c>
      <c r="J2906" s="13" t="str">
        <f>TEXT(' car_sales_data 1'!$A2906,"mmmm")</f>
        <v>March</v>
      </c>
      <c r="K2906" s="13" t="str">
        <f>IF(' car_sales_data 1'!$G2906&gt;40000,"Premium",
 IF(' car_sales_data 1'!$G2906&gt;=20000,"Mid Range","Budget"))</f>
        <v>Premium</v>
      </c>
      <c r="L2906" s="13">
        <f>YEAR(TODAY())-' car_sales_data 1'!$F2906</f>
        <v>15</v>
      </c>
    </row>
    <row r="2907" ht="15.75" customHeight="1">
      <c r="A2907" s="16">
        <v>44953.0</v>
      </c>
      <c r="B2907" s="13" t="s">
        <v>5631</v>
      </c>
      <c r="C2907" s="13" t="s">
        <v>5632</v>
      </c>
      <c r="D2907" s="13" t="s">
        <v>10</v>
      </c>
      <c r="E2907" s="13" t="s">
        <v>70</v>
      </c>
      <c r="F2907" s="13">
        <v>2013.0</v>
      </c>
      <c r="G2907" s="13">
        <v>28553.0</v>
      </c>
      <c r="H2907" s="13">
        <v>3656.38</v>
      </c>
      <c r="I2907" s="13">
        <f>' car_sales_data 1'!$G2907*0.2</f>
        <v>5710.6</v>
      </c>
      <c r="J2907" s="13" t="str">
        <f>TEXT(' car_sales_data 1'!$A2907,"mmmm")</f>
        <v>January</v>
      </c>
      <c r="K2907" s="13" t="str">
        <f>IF(' car_sales_data 1'!$G2907&gt;40000,"Premium",
 IF(' car_sales_data 1'!$G2907&gt;=20000,"Mid Range","Budget"))</f>
        <v>Mid Range</v>
      </c>
      <c r="L2907" s="13">
        <f>YEAR(TODAY())-' car_sales_data 1'!$F2907</f>
        <v>12</v>
      </c>
    </row>
    <row r="2908" ht="15.75" customHeight="1">
      <c r="A2908" s="16">
        <v>44763.0</v>
      </c>
      <c r="B2908" s="13" t="s">
        <v>5633</v>
      </c>
      <c r="C2908" s="13" t="s">
        <v>5634</v>
      </c>
      <c r="D2908" s="13" t="s">
        <v>10</v>
      </c>
      <c r="E2908" s="13" t="s">
        <v>57</v>
      </c>
      <c r="F2908" s="13">
        <v>2015.0</v>
      </c>
      <c r="G2908" s="13">
        <v>14665.0</v>
      </c>
      <c r="H2908" s="13">
        <v>1209.22</v>
      </c>
      <c r="I2908" s="13">
        <f>' car_sales_data 1'!$G2908*0.2</f>
        <v>2933</v>
      </c>
      <c r="J2908" s="13" t="str">
        <f>TEXT(' car_sales_data 1'!$A2908,"mmmm")</f>
        <v>July</v>
      </c>
      <c r="K2908" s="13" t="str">
        <f>IF(' car_sales_data 1'!$G2908&gt;40000,"Premium",
 IF(' car_sales_data 1'!$G2908&gt;=20000,"Mid Range","Budget"))</f>
        <v>Budget</v>
      </c>
      <c r="L2908" s="13">
        <f>YEAR(TODAY())-' car_sales_data 1'!$F2908</f>
        <v>10</v>
      </c>
    </row>
    <row r="2909" ht="15.75" customHeight="1">
      <c r="A2909" s="16">
        <v>44935.0</v>
      </c>
      <c r="B2909" s="13" t="s">
        <v>5635</v>
      </c>
      <c r="C2909" s="13" t="s">
        <v>5636</v>
      </c>
      <c r="D2909" s="13" t="s">
        <v>10</v>
      </c>
      <c r="E2909" s="13" t="s">
        <v>70</v>
      </c>
      <c r="F2909" s="13">
        <v>2010.0</v>
      </c>
      <c r="G2909" s="13">
        <v>11516.0</v>
      </c>
      <c r="H2909" s="13">
        <v>1317.56</v>
      </c>
      <c r="I2909" s="13">
        <f>' car_sales_data 1'!$G2909*0.2</f>
        <v>2303.2</v>
      </c>
      <c r="J2909" s="13" t="str">
        <f>TEXT(' car_sales_data 1'!$A2909,"mmmm")</f>
        <v>January</v>
      </c>
      <c r="K2909" s="13" t="str">
        <f>IF(' car_sales_data 1'!$G2909&gt;40000,"Premium",
 IF(' car_sales_data 1'!$G2909&gt;=20000,"Mid Range","Budget"))</f>
        <v>Budget</v>
      </c>
      <c r="L2909" s="13">
        <f>YEAR(TODAY())-' car_sales_data 1'!$F2909</f>
        <v>15</v>
      </c>
    </row>
    <row r="2910" ht="15.75" customHeight="1">
      <c r="A2910" s="16">
        <v>44976.0</v>
      </c>
      <c r="B2910" s="13" t="s">
        <v>5637</v>
      </c>
      <c r="C2910" s="13" t="s">
        <v>5638</v>
      </c>
      <c r="D2910" s="13" t="s">
        <v>8</v>
      </c>
      <c r="E2910" s="13" t="s">
        <v>62</v>
      </c>
      <c r="F2910" s="13">
        <v>2017.0</v>
      </c>
      <c r="G2910" s="13">
        <v>45503.0</v>
      </c>
      <c r="H2910" s="13">
        <v>5344.84</v>
      </c>
      <c r="I2910" s="13">
        <f>' car_sales_data 1'!$G2910*0.2</f>
        <v>9100.6</v>
      </c>
      <c r="J2910" s="13" t="str">
        <f>TEXT(' car_sales_data 1'!$A2910,"mmmm")</f>
        <v>February</v>
      </c>
      <c r="K2910" s="13" t="str">
        <f>IF(' car_sales_data 1'!$G2910&gt;40000,"Premium",
 IF(' car_sales_data 1'!$G2910&gt;=20000,"Mid Range","Budget"))</f>
        <v>Premium</v>
      </c>
      <c r="L2910" s="13">
        <f>YEAR(TODAY())-' car_sales_data 1'!$F2910</f>
        <v>8</v>
      </c>
    </row>
    <row r="2911" ht="15.75" customHeight="1">
      <c r="A2911" s="16">
        <v>44697.0</v>
      </c>
      <c r="B2911" s="13" t="s">
        <v>3829</v>
      </c>
      <c r="C2911" s="13" t="s">
        <v>5639</v>
      </c>
      <c r="D2911" s="13" t="s">
        <v>12</v>
      </c>
      <c r="E2911" s="13" t="s">
        <v>70</v>
      </c>
      <c r="F2911" s="13">
        <v>2014.0</v>
      </c>
      <c r="G2911" s="13">
        <v>27453.0</v>
      </c>
      <c r="H2911" s="13">
        <v>2530.44</v>
      </c>
      <c r="I2911" s="13">
        <f>' car_sales_data 1'!$G2911*0.2</f>
        <v>5490.6</v>
      </c>
      <c r="J2911" s="13" t="str">
        <f>TEXT(' car_sales_data 1'!$A2911,"mmmm")</f>
        <v>May</v>
      </c>
      <c r="K2911" s="13" t="str">
        <f>IF(' car_sales_data 1'!$G2911&gt;40000,"Premium",
 IF(' car_sales_data 1'!$G2911&gt;=20000,"Mid Range","Budget"))</f>
        <v>Mid Range</v>
      </c>
      <c r="L2911" s="13">
        <f>YEAR(TODAY())-' car_sales_data 1'!$F2911</f>
        <v>11</v>
      </c>
    </row>
    <row r="2912" ht="15.75" customHeight="1">
      <c r="A2912" s="16">
        <v>44954.0</v>
      </c>
      <c r="B2912" s="13" t="s">
        <v>5640</v>
      </c>
      <c r="C2912" s="13" t="s">
        <v>5641</v>
      </c>
      <c r="D2912" s="13" t="s">
        <v>14</v>
      </c>
      <c r="E2912" s="13" t="s">
        <v>62</v>
      </c>
      <c r="F2912" s="13">
        <v>2016.0</v>
      </c>
      <c r="G2912" s="13">
        <v>48018.0</v>
      </c>
      <c r="H2912" s="13">
        <v>3893.08</v>
      </c>
      <c r="I2912" s="13">
        <f>' car_sales_data 1'!$G2912*0.2</f>
        <v>9603.6</v>
      </c>
      <c r="J2912" s="13" t="str">
        <f>TEXT(' car_sales_data 1'!$A2912,"mmmm")</f>
        <v>January</v>
      </c>
      <c r="K2912" s="13" t="str">
        <f>IF(' car_sales_data 1'!$G2912&gt;40000,"Premium",
 IF(' car_sales_data 1'!$G2912&gt;=20000,"Mid Range","Budget"))</f>
        <v>Premium</v>
      </c>
      <c r="L2912" s="13">
        <f>YEAR(TODAY())-' car_sales_data 1'!$F2912</f>
        <v>9</v>
      </c>
    </row>
    <row r="2913" ht="15.75" customHeight="1">
      <c r="A2913" s="16">
        <v>44988.0</v>
      </c>
      <c r="B2913" s="13" t="s">
        <v>5642</v>
      </c>
      <c r="C2913" s="13" t="s">
        <v>5643</v>
      </c>
      <c r="D2913" s="13" t="s">
        <v>12</v>
      </c>
      <c r="E2913" s="13" t="s">
        <v>51</v>
      </c>
      <c r="F2913" s="13">
        <v>2011.0</v>
      </c>
      <c r="G2913" s="13">
        <v>44305.0</v>
      </c>
      <c r="H2913" s="13">
        <v>4632.93</v>
      </c>
      <c r="I2913" s="13">
        <f>' car_sales_data 1'!$G2913*0.2</f>
        <v>8861</v>
      </c>
      <c r="J2913" s="13" t="str">
        <f>TEXT(' car_sales_data 1'!$A2913,"mmmm")</f>
        <v>March</v>
      </c>
      <c r="K2913" s="13" t="str">
        <f>IF(' car_sales_data 1'!$G2913&gt;40000,"Premium",
 IF(' car_sales_data 1'!$G2913&gt;=20000,"Mid Range","Budget"))</f>
        <v>Premium</v>
      </c>
      <c r="L2913" s="13">
        <f>YEAR(TODAY())-' car_sales_data 1'!$F2913</f>
        <v>14</v>
      </c>
    </row>
    <row r="2914" ht="15.75" customHeight="1">
      <c r="A2914" s="16">
        <v>45034.0</v>
      </c>
      <c r="B2914" s="13" t="s">
        <v>5644</v>
      </c>
      <c r="C2914" s="13" t="s">
        <v>5645</v>
      </c>
      <c r="D2914" s="13" t="s">
        <v>10</v>
      </c>
      <c r="E2914" s="13" t="s">
        <v>51</v>
      </c>
      <c r="F2914" s="13">
        <v>2022.0</v>
      </c>
      <c r="G2914" s="13">
        <v>19815.0</v>
      </c>
      <c r="H2914" s="13">
        <v>1254.38</v>
      </c>
      <c r="I2914" s="13">
        <f>' car_sales_data 1'!$G2914*0.2</f>
        <v>3963</v>
      </c>
      <c r="J2914" s="13" t="str">
        <f>TEXT(' car_sales_data 1'!$A2914,"mmmm")</f>
        <v>April</v>
      </c>
      <c r="K2914" s="13" t="str">
        <f>IF(' car_sales_data 1'!$G2914&gt;40000,"Premium",
 IF(' car_sales_data 1'!$G2914&gt;=20000,"Mid Range","Budget"))</f>
        <v>Budget</v>
      </c>
      <c r="L2914" s="13">
        <f>YEAR(TODAY())-' car_sales_data 1'!$F2914</f>
        <v>3</v>
      </c>
    </row>
    <row r="2915" ht="15.75" customHeight="1">
      <c r="A2915" s="16">
        <v>44946.0</v>
      </c>
      <c r="B2915" s="13" t="s">
        <v>5646</v>
      </c>
      <c r="C2915" s="13" t="s">
        <v>1806</v>
      </c>
      <c r="D2915" s="13" t="s">
        <v>12</v>
      </c>
      <c r="E2915" s="13" t="s">
        <v>51</v>
      </c>
      <c r="F2915" s="13">
        <v>2022.0</v>
      </c>
      <c r="G2915" s="13">
        <v>47336.0</v>
      </c>
      <c r="H2915" s="13">
        <v>4692.92</v>
      </c>
      <c r="I2915" s="13">
        <f>' car_sales_data 1'!$G2915*0.2</f>
        <v>9467.2</v>
      </c>
      <c r="J2915" s="13" t="str">
        <f>TEXT(' car_sales_data 1'!$A2915,"mmmm")</f>
        <v>January</v>
      </c>
      <c r="K2915" s="13" t="str">
        <f>IF(' car_sales_data 1'!$G2915&gt;40000,"Premium",
 IF(' car_sales_data 1'!$G2915&gt;=20000,"Mid Range","Budget"))</f>
        <v>Premium</v>
      </c>
      <c r="L2915" s="13">
        <f>YEAR(TODAY())-' car_sales_data 1'!$F2915</f>
        <v>3</v>
      </c>
    </row>
    <row r="2916" ht="15.75" customHeight="1">
      <c r="A2916" s="16">
        <v>44923.0</v>
      </c>
      <c r="B2916" s="13" t="s">
        <v>5647</v>
      </c>
      <c r="C2916" s="13" t="s">
        <v>5648</v>
      </c>
      <c r="D2916" s="13" t="s">
        <v>10</v>
      </c>
      <c r="E2916" s="13" t="s">
        <v>54</v>
      </c>
      <c r="F2916" s="13">
        <v>2018.0</v>
      </c>
      <c r="G2916" s="13">
        <v>19781.0</v>
      </c>
      <c r="H2916" s="13">
        <v>2350.4</v>
      </c>
      <c r="I2916" s="13">
        <f>' car_sales_data 1'!$G2916*0.2</f>
        <v>3956.2</v>
      </c>
      <c r="J2916" s="13" t="str">
        <f>TEXT(' car_sales_data 1'!$A2916,"mmmm")</f>
        <v>December</v>
      </c>
      <c r="K2916" s="13" t="str">
        <f>IF(' car_sales_data 1'!$G2916&gt;40000,"Premium",
 IF(' car_sales_data 1'!$G2916&gt;=20000,"Mid Range","Budget"))</f>
        <v>Budget</v>
      </c>
      <c r="L2916" s="13">
        <f>YEAR(TODAY())-' car_sales_data 1'!$F2916</f>
        <v>7</v>
      </c>
    </row>
    <row r="2917" ht="15.75" customHeight="1">
      <c r="A2917" s="16">
        <v>44898.0</v>
      </c>
      <c r="B2917" s="13" t="s">
        <v>5649</v>
      </c>
      <c r="C2917" s="13" t="s">
        <v>482</v>
      </c>
      <c r="D2917" s="13" t="s">
        <v>10</v>
      </c>
      <c r="E2917" s="13" t="s">
        <v>57</v>
      </c>
      <c r="F2917" s="13">
        <v>2018.0</v>
      </c>
      <c r="G2917" s="13">
        <v>45986.0</v>
      </c>
      <c r="H2917" s="13">
        <v>4810.29</v>
      </c>
      <c r="I2917" s="13">
        <f>' car_sales_data 1'!$G2917*0.2</f>
        <v>9197.2</v>
      </c>
      <c r="J2917" s="13" t="str">
        <f>TEXT(' car_sales_data 1'!$A2917,"mmmm")</f>
        <v>December</v>
      </c>
      <c r="K2917" s="13" t="str">
        <f>IF(' car_sales_data 1'!$G2917&gt;40000,"Premium",
 IF(' car_sales_data 1'!$G2917&gt;=20000,"Mid Range","Budget"))</f>
        <v>Premium</v>
      </c>
      <c r="L2917" s="13">
        <f>YEAR(TODAY())-' car_sales_data 1'!$F2917</f>
        <v>7</v>
      </c>
    </row>
    <row r="2918" ht="15.75" customHeight="1">
      <c r="A2918" s="16">
        <v>44924.0</v>
      </c>
      <c r="B2918" s="13" t="s">
        <v>5650</v>
      </c>
      <c r="C2918" s="13" t="s">
        <v>5651</v>
      </c>
      <c r="D2918" s="13" t="s">
        <v>12</v>
      </c>
      <c r="E2918" s="13" t="s">
        <v>57</v>
      </c>
      <c r="F2918" s="13">
        <v>2021.0</v>
      </c>
      <c r="G2918" s="13">
        <v>38626.0</v>
      </c>
      <c r="H2918" s="13">
        <v>5658.97</v>
      </c>
      <c r="I2918" s="13">
        <f>' car_sales_data 1'!$G2918*0.2</f>
        <v>7725.2</v>
      </c>
      <c r="J2918" s="13" t="str">
        <f>TEXT(' car_sales_data 1'!$A2918,"mmmm")</f>
        <v>December</v>
      </c>
      <c r="K2918" s="13" t="str">
        <f>IF(' car_sales_data 1'!$G2918&gt;40000,"Premium",
 IF(' car_sales_data 1'!$G2918&gt;=20000,"Mid Range","Budget"))</f>
        <v>Mid Range</v>
      </c>
      <c r="L2918" s="13">
        <f>YEAR(TODAY())-' car_sales_data 1'!$F2918</f>
        <v>4</v>
      </c>
    </row>
    <row r="2919" ht="15.75" customHeight="1">
      <c r="A2919" s="16">
        <v>44723.0</v>
      </c>
      <c r="B2919" s="13" t="s">
        <v>5652</v>
      </c>
      <c r="C2919" s="13" t="s">
        <v>5653</v>
      </c>
      <c r="D2919" s="13" t="s">
        <v>10</v>
      </c>
      <c r="E2919" s="13" t="s">
        <v>70</v>
      </c>
      <c r="F2919" s="13">
        <v>2021.0</v>
      </c>
      <c r="G2919" s="13">
        <v>23519.0</v>
      </c>
      <c r="H2919" s="13">
        <v>2224.67</v>
      </c>
      <c r="I2919" s="13">
        <f>' car_sales_data 1'!$G2919*0.2</f>
        <v>4703.8</v>
      </c>
      <c r="J2919" s="13" t="str">
        <f>TEXT(' car_sales_data 1'!$A2919,"mmmm")</f>
        <v>June</v>
      </c>
      <c r="K2919" s="13" t="str">
        <f>IF(' car_sales_data 1'!$G2919&gt;40000,"Premium",
 IF(' car_sales_data 1'!$G2919&gt;=20000,"Mid Range","Budget"))</f>
        <v>Mid Range</v>
      </c>
      <c r="L2919" s="13">
        <f>YEAR(TODAY())-' car_sales_data 1'!$F2919</f>
        <v>4</v>
      </c>
    </row>
    <row r="2920" ht="15.75" customHeight="1">
      <c r="A2920" s="16">
        <v>44971.0</v>
      </c>
      <c r="B2920" s="13" t="s">
        <v>5654</v>
      </c>
      <c r="C2920" s="13" t="s">
        <v>5655</v>
      </c>
      <c r="D2920" s="13" t="s">
        <v>8</v>
      </c>
      <c r="E2920" s="13" t="s">
        <v>70</v>
      </c>
      <c r="F2920" s="13">
        <v>2020.0</v>
      </c>
      <c r="G2920" s="13">
        <v>26918.0</v>
      </c>
      <c r="H2920" s="13">
        <v>2251.08</v>
      </c>
      <c r="I2920" s="13">
        <f>' car_sales_data 1'!$G2920*0.2</f>
        <v>5383.6</v>
      </c>
      <c r="J2920" s="13" t="str">
        <f>TEXT(' car_sales_data 1'!$A2920,"mmmm")</f>
        <v>February</v>
      </c>
      <c r="K2920" s="13" t="str">
        <f>IF(' car_sales_data 1'!$G2920&gt;40000,"Premium",
 IF(' car_sales_data 1'!$G2920&gt;=20000,"Mid Range","Budget"))</f>
        <v>Mid Range</v>
      </c>
      <c r="L2920" s="13">
        <f>YEAR(TODAY())-' car_sales_data 1'!$F2920</f>
        <v>5</v>
      </c>
    </row>
    <row r="2921" ht="15.75" customHeight="1">
      <c r="A2921" s="16">
        <v>44762.0</v>
      </c>
      <c r="B2921" s="13" t="s">
        <v>5656</v>
      </c>
      <c r="C2921" s="13" t="s">
        <v>5657</v>
      </c>
      <c r="D2921" s="13" t="s">
        <v>8</v>
      </c>
      <c r="E2921" s="13" t="s">
        <v>57</v>
      </c>
      <c r="F2921" s="13">
        <v>2022.0</v>
      </c>
      <c r="G2921" s="13">
        <v>21568.0</v>
      </c>
      <c r="H2921" s="13">
        <v>2158.89</v>
      </c>
      <c r="I2921" s="13">
        <f>' car_sales_data 1'!$G2921*0.2</f>
        <v>4313.6</v>
      </c>
      <c r="J2921" s="13" t="str">
        <f>TEXT(' car_sales_data 1'!$A2921,"mmmm")</f>
        <v>July</v>
      </c>
      <c r="K2921" s="13" t="str">
        <f>IF(' car_sales_data 1'!$G2921&gt;40000,"Premium",
 IF(' car_sales_data 1'!$G2921&gt;=20000,"Mid Range","Budget"))</f>
        <v>Mid Range</v>
      </c>
      <c r="L2921" s="13">
        <f>YEAR(TODAY())-' car_sales_data 1'!$F2921</f>
        <v>3</v>
      </c>
    </row>
    <row r="2922" ht="15.75" customHeight="1">
      <c r="A2922" s="16">
        <v>44735.0</v>
      </c>
      <c r="B2922" s="13" t="s">
        <v>5658</v>
      </c>
      <c r="C2922" s="13" t="s">
        <v>5659</v>
      </c>
      <c r="D2922" s="13" t="s">
        <v>8</v>
      </c>
      <c r="E2922" s="13" t="s">
        <v>62</v>
      </c>
      <c r="F2922" s="13">
        <v>2010.0</v>
      </c>
      <c r="G2922" s="13">
        <v>37701.0</v>
      </c>
      <c r="H2922" s="13">
        <v>2853.66</v>
      </c>
      <c r="I2922" s="13">
        <f>' car_sales_data 1'!$G2922*0.2</f>
        <v>7540.2</v>
      </c>
      <c r="J2922" s="13" t="str">
        <f>TEXT(' car_sales_data 1'!$A2922,"mmmm")</f>
        <v>June</v>
      </c>
      <c r="K2922" s="13" t="str">
        <f>IF(' car_sales_data 1'!$G2922&gt;40000,"Premium",
 IF(' car_sales_data 1'!$G2922&gt;=20000,"Mid Range","Budget"))</f>
        <v>Mid Range</v>
      </c>
      <c r="L2922" s="13">
        <f>YEAR(TODAY())-' car_sales_data 1'!$F2922</f>
        <v>15</v>
      </c>
    </row>
    <row r="2923" ht="15.75" customHeight="1">
      <c r="A2923" s="16">
        <v>44699.0</v>
      </c>
      <c r="B2923" s="13" t="s">
        <v>5660</v>
      </c>
      <c r="C2923" s="13" t="s">
        <v>5661</v>
      </c>
      <c r="D2923" s="13" t="s">
        <v>12</v>
      </c>
      <c r="E2923" s="13" t="s">
        <v>54</v>
      </c>
      <c r="F2923" s="13">
        <v>2019.0</v>
      </c>
      <c r="G2923" s="13">
        <v>40689.0</v>
      </c>
      <c r="H2923" s="13">
        <v>3610.96</v>
      </c>
      <c r="I2923" s="13">
        <f>' car_sales_data 1'!$G2923*0.2</f>
        <v>8137.8</v>
      </c>
      <c r="J2923" s="13" t="str">
        <f>TEXT(' car_sales_data 1'!$A2923,"mmmm")</f>
        <v>May</v>
      </c>
      <c r="K2923" s="13" t="str">
        <f>IF(' car_sales_data 1'!$G2923&gt;40000,"Premium",
 IF(' car_sales_data 1'!$G2923&gt;=20000,"Mid Range","Budget"))</f>
        <v>Premium</v>
      </c>
      <c r="L2923" s="13">
        <f>YEAR(TODAY())-' car_sales_data 1'!$F2923</f>
        <v>6</v>
      </c>
    </row>
    <row r="2924" ht="15.75" customHeight="1">
      <c r="A2924" s="16">
        <v>44948.0</v>
      </c>
      <c r="B2924" s="13" t="s">
        <v>5662</v>
      </c>
      <c r="C2924" s="13" t="s">
        <v>5663</v>
      </c>
      <c r="D2924" s="13" t="s">
        <v>10</v>
      </c>
      <c r="E2924" s="13" t="s">
        <v>70</v>
      </c>
      <c r="F2924" s="13">
        <v>2018.0</v>
      </c>
      <c r="G2924" s="13">
        <v>19733.0</v>
      </c>
      <c r="H2924" s="13">
        <v>1041.65</v>
      </c>
      <c r="I2924" s="13">
        <f>' car_sales_data 1'!$G2924*0.2</f>
        <v>3946.6</v>
      </c>
      <c r="J2924" s="13" t="str">
        <f>TEXT(' car_sales_data 1'!$A2924,"mmmm")</f>
        <v>January</v>
      </c>
      <c r="K2924" s="13" t="str">
        <f>IF(' car_sales_data 1'!$G2924&gt;40000,"Premium",
 IF(' car_sales_data 1'!$G2924&gt;=20000,"Mid Range","Budget"))</f>
        <v>Budget</v>
      </c>
      <c r="L2924" s="13">
        <f>YEAR(TODAY())-' car_sales_data 1'!$F2924</f>
        <v>7</v>
      </c>
    </row>
    <row r="2925" ht="15.75" customHeight="1">
      <c r="A2925" s="16">
        <v>44920.0</v>
      </c>
      <c r="B2925" s="13" t="s">
        <v>5664</v>
      </c>
      <c r="C2925" s="13" t="s">
        <v>5665</v>
      </c>
      <c r="D2925" s="13" t="s">
        <v>14</v>
      </c>
      <c r="E2925" s="13" t="s">
        <v>70</v>
      </c>
      <c r="F2925" s="13">
        <v>2020.0</v>
      </c>
      <c r="G2925" s="13">
        <v>36213.0</v>
      </c>
      <c r="H2925" s="13">
        <v>4106.18</v>
      </c>
      <c r="I2925" s="13">
        <f>' car_sales_data 1'!$G2925*0.2</f>
        <v>7242.6</v>
      </c>
      <c r="J2925" s="13" t="str">
        <f>TEXT(' car_sales_data 1'!$A2925,"mmmm")</f>
        <v>December</v>
      </c>
      <c r="K2925" s="13" t="str">
        <f>IF(' car_sales_data 1'!$G2925&gt;40000,"Premium",
 IF(' car_sales_data 1'!$G2925&gt;=20000,"Mid Range","Budget"))</f>
        <v>Mid Range</v>
      </c>
      <c r="L2925" s="13">
        <f>YEAR(TODAY())-' car_sales_data 1'!$F2925</f>
        <v>5</v>
      </c>
    </row>
    <row r="2926" ht="15.75" customHeight="1">
      <c r="A2926" s="16">
        <v>44940.0</v>
      </c>
      <c r="B2926" s="13" t="s">
        <v>5666</v>
      </c>
      <c r="C2926" s="13" t="s">
        <v>5667</v>
      </c>
      <c r="D2926" s="13" t="s">
        <v>8</v>
      </c>
      <c r="E2926" s="13" t="s">
        <v>62</v>
      </c>
      <c r="F2926" s="13">
        <v>2015.0</v>
      </c>
      <c r="G2926" s="13">
        <v>21992.0</v>
      </c>
      <c r="H2926" s="13">
        <v>2105.65</v>
      </c>
      <c r="I2926" s="13">
        <f>' car_sales_data 1'!$G2926*0.2</f>
        <v>4398.4</v>
      </c>
      <c r="J2926" s="13" t="str">
        <f>TEXT(' car_sales_data 1'!$A2926,"mmmm")</f>
        <v>January</v>
      </c>
      <c r="K2926" s="13" t="str">
        <f>IF(' car_sales_data 1'!$G2926&gt;40000,"Premium",
 IF(' car_sales_data 1'!$G2926&gt;=20000,"Mid Range","Budget"))</f>
        <v>Mid Range</v>
      </c>
      <c r="L2926" s="13">
        <f>YEAR(TODAY())-' car_sales_data 1'!$F2926</f>
        <v>10</v>
      </c>
    </row>
    <row r="2927" ht="15.75" customHeight="1">
      <c r="A2927" s="16">
        <v>44996.0</v>
      </c>
      <c r="B2927" s="13" t="s">
        <v>5668</v>
      </c>
      <c r="C2927" s="13" t="s">
        <v>900</v>
      </c>
      <c r="D2927" s="13" t="s">
        <v>8</v>
      </c>
      <c r="E2927" s="13" t="s">
        <v>51</v>
      </c>
      <c r="F2927" s="13">
        <v>2010.0</v>
      </c>
      <c r="G2927" s="13">
        <v>18605.0</v>
      </c>
      <c r="H2927" s="13">
        <v>1429.47</v>
      </c>
      <c r="I2927" s="13">
        <f>' car_sales_data 1'!$G2927*0.2</f>
        <v>3721</v>
      </c>
      <c r="J2927" s="13" t="str">
        <f>TEXT(' car_sales_data 1'!$A2927,"mmmm")</f>
        <v>March</v>
      </c>
      <c r="K2927" s="13" t="str">
        <f>IF(' car_sales_data 1'!$G2927&gt;40000,"Premium",
 IF(' car_sales_data 1'!$G2927&gt;=20000,"Mid Range","Budget"))</f>
        <v>Budget</v>
      </c>
      <c r="L2927" s="13">
        <f>YEAR(TODAY())-' car_sales_data 1'!$F2927</f>
        <v>15</v>
      </c>
    </row>
    <row r="2928" ht="15.75" customHeight="1">
      <c r="A2928" s="16">
        <v>44835.0</v>
      </c>
      <c r="B2928" s="13" t="s">
        <v>5669</v>
      </c>
      <c r="C2928" s="13" t="s">
        <v>5670</v>
      </c>
      <c r="D2928" s="13" t="s">
        <v>10</v>
      </c>
      <c r="E2928" s="13" t="s">
        <v>70</v>
      </c>
      <c r="F2928" s="13">
        <v>2010.0</v>
      </c>
      <c r="G2928" s="13">
        <v>19276.0</v>
      </c>
      <c r="H2928" s="13">
        <v>2080.52</v>
      </c>
      <c r="I2928" s="13">
        <f>' car_sales_data 1'!$G2928*0.2</f>
        <v>3855.2</v>
      </c>
      <c r="J2928" s="13" t="str">
        <f>TEXT(' car_sales_data 1'!$A2928,"mmmm")</f>
        <v>October</v>
      </c>
      <c r="K2928" s="13" t="str">
        <f>IF(' car_sales_data 1'!$G2928&gt;40000,"Premium",
 IF(' car_sales_data 1'!$G2928&gt;=20000,"Mid Range","Budget"))</f>
        <v>Budget</v>
      </c>
      <c r="L2928" s="13">
        <f>YEAR(TODAY())-' car_sales_data 1'!$F2928</f>
        <v>15</v>
      </c>
    </row>
    <row r="2929" ht="15.75" customHeight="1">
      <c r="A2929" s="16">
        <v>44842.0</v>
      </c>
      <c r="B2929" s="13" t="s">
        <v>1994</v>
      </c>
      <c r="C2929" s="13" t="s">
        <v>4886</v>
      </c>
      <c r="D2929" s="13" t="s">
        <v>8</v>
      </c>
      <c r="E2929" s="13" t="s">
        <v>62</v>
      </c>
      <c r="F2929" s="13">
        <v>2014.0</v>
      </c>
      <c r="G2929" s="13">
        <v>25258.0</v>
      </c>
      <c r="H2929" s="13">
        <v>2042.63</v>
      </c>
      <c r="I2929" s="13">
        <f>' car_sales_data 1'!$G2929*0.2</f>
        <v>5051.6</v>
      </c>
      <c r="J2929" s="13" t="str">
        <f>TEXT(' car_sales_data 1'!$A2929,"mmmm")</f>
        <v>October</v>
      </c>
      <c r="K2929" s="13" t="str">
        <f>IF(' car_sales_data 1'!$G2929&gt;40000,"Premium",
 IF(' car_sales_data 1'!$G2929&gt;=20000,"Mid Range","Budget"))</f>
        <v>Mid Range</v>
      </c>
      <c r="L2929" s="13">
        <f>YEAR(TODAY())-' car_sales_data 1'!$F2929</f>
        <v>11</v>
      </c>
    </row>
    <row r="2930" ht="15.75" customHeight="1">
      <c r="A2930" s="16">
        <v>44914.0</v>
      </c>
      <c r="B2930" s="13" t="s">
        <v>5671</v>
      </c>
      <c r="C2930" s="13" t="s">
        <v>5672</v>
      </c>
      <c r="D2930" s="13" t="s">
        <v>12</v>
      </c>
      <c r="E2930" s="13" t="s">
        <v>70</v>
      </c>
      <c r="F2930" s="13">
        <v>2019.0</v>
      </c>
      <c r="G2930" s="13">
        <v>21501.0</v>
      </c>
      <c r="H2930" s="13">
        <v>1592.49</v>
      </c>
      <c r="I2930" s="13">
        <f>' car_sales_data 1'!$G2930*0.2</f>
        <v>4300.2</v>
      </c>
      <c r="J2930" s="13" t="str">
        <f>TEXT(' car_sales_data 1'!$A2930,"mmmm")</f>
        <v>December</v>
      </c>
      <c r="K2930" s="13" t="str">
        <f>IF(' car_sales_data 1'!$G2930&gt;40000,"Premium",
 IF(' car_sales_data 1'!$G2930&gt;=20000,"Mid Range","Budget"))</f>
        <v>Mid Range</v>
      </c>
      <c r="L2930" s="13">
        <f>YEAR(TODAY())-' car_sales_data 1'!$F2930</f>
        <v>6</v>
      </c>
    </row>
    <row r="2931" ht="15.75" customHeight="1">
      <c r="A2931" s="16">
        <v>44705.0</v>
      </c>
      <c r="B2931" s="13" t="s">
        <v>5673</v>
      </c>
      <c r="C2931" s="13" t="s">
        <v>5674</v>
      </c>
      <c r="D2931" s="13" t="s">
        <v>14</v>
      </c>
      <c r="E2931" s="13" t="s">
        <v>51</v>
      </c>
      <c r="F2931" s="13">
        <v>2017.0</v>
      </c>
      <c r="G2931" s="13">
        <v>30690.0</v>
      </c>
      <c r="H2931" s="13">
        <v>2069.28</v>
      </c>
      <c r="I2931" s="13">
        <f>' car_sales_data 1'!$G2931*0.2</f>
        <v>6138</v>
      </c>
      <c r="J2931" s="13" t="str">
        <f>TEXT(' car_sales_data 1'!$A2931,"mmmm")</f>
        <v>May</v>
      </c>
      <c r="K2931" s="13" t="str">
        <f>IF(' car_sales_data 1'!$G2931&gt;40000,"Premium",
 IF(' car_sales_data 1'!$G2931&gt;=20000,"Mid Range","Budget"))</f>
        <v>Mid Range</v>
      </c>
      <c r="L2931" s="13">
        <f>YEAR(TODAY())-' car_sales_data 1'!$F2931</f>
        <v>8</v>
      </c>
    </row>
    <row r="2932" ht="15.75" customHeight="1">
      <c r="A2932" s="16">
        <v>44763.0</v>
      </c>
      <c r="B2932" s="13" t="s">
        <v>5675</v>
      </c>
      <c r="C2932" s="13" t="s">
        <v>5676</v>
      </c>
      <c r="D2932" s="13" t="s">
        <v>14</v>
      </c>
      <c r="E2932" s="13" t="s">
        <v>70</v>
      </c>
      <c r="F2932" s="13">
        <v>2013.0</v>
      </c>
      <c r="G2932" s="13">
        <v>46649.0</v>
      </c>
      <c r="H2932" s="13">
        <v>3871.41</v>
      </c>
      <c r="I2932" s="13">
        <f>' car_sales_data 1'!$G2932*0.2</f>
        <v>9329.8</v>
      </c>
      <c r="J2932" s="13" t="str">
        <f>TEXT(' car_sales_data 1'!$A2932,"mmmm")</f>
        <v>July</v>
      </c>
      <c r="K2932" s="13" t="str">
        <f>IF(' car_sales_data 1'!$G2932&gt;40000,"Premium",
 IF(' car_sales_data 1'!$G2932&gt;=20000,"Mid Range","Budget"))</f>
        <v>Premium</v>
      </c>
      <c r="L2932" s="13">
        <f>YEAR(TODAY())-' car_sales_data 1'!$F2932</f>
        <v>12</v>
      </c>
    </row>
    <row r="2933" ht="15.75" customHeight="1">
      <c r="A2933" s="16">
        <v>44739.0</v>
      </c>
      <c r="B2933" s="13" t="s">
        <v>5677</v>
      </c>
      <c r="C2933" s="13" t="s">
        <v>5678</v>
      </c>
      <c r="D2933" s="13" t="s">
        <v>10</v>
      </c>
      <c r="E2933" s="13" t="s">
        <v>70</v>
      </c>
      <c r="F2933" s="13">
        <v>2021.0</v>
      </c>
      <c r="G2933" s="13">
        <v>49693.0</v>
      </c>
      <c r="H2933" s="13">
        <v>7452.52</v>
      </c>
      <c r="I2933" s="13">
        <f>' car_sales_data 1'!$G2933*0.2</f>
        <v>9938.6</v>
      </c>
      <c r="J2933" s="13" t="str">
        <f>TEXT(' car_sales_data 1'!$A2933,"mmmm")</f>
        <v>June</v>
      </c>
      <c r="K2933" s="13" t="str">
        <f>IF(' car_sales_data 1'!$G2933&gt;40000,"Premium",
 IF(' car_sales_data 1'!$G2933&gt;=20000,"Mid Range","Budget"))</f>
        <v>Premium</v>
      </c>
      <c r="L2933" s="13">
        <f>YEAR(TODAY())-' car_sales_data 1'!$F2933</f>
        <v>4</v>
      </c>
    </row>
    <row r="2934" ht="15.75" customHeight="1">
      <c r="A2934" s="16">
        <v>44900.0</v>
      </c>
      <c r="B2934" s="13" t="s">
        <v>5679</v>
      </c>
      <c r="C2934" s="13" t="s">
        <v>5680</v>
      </c>
      <c r="D2934" s="13" t="s">
        <v>12</v>
      </c>
      <c r="E2934" s="13" t="s">
        <v>51</v>
      </c>
      <c r="F2934" s="13">
        <v>2021.0</v>
      </c>
      <c r="G2934" s="13">
        <v>21484.0</v>
      </c>
      <c r="H2934" s="13">
        <v>2270.52</v>
      </c>
      <c r="I2934" s="13">
        <f>' car_sales_data 1'!$G2934*0.2</f>
        <v>4296.8</v>
      </c>
      <c r="J2934" s="13" t="str">
        <f>TEXT(' car_sales_data 1'!$A2934,"mmmm")</f>
        <v>December</v>
      </c>
      <c r="K2934" s="13" t="str">
        <f>IF(' car_sales_data 1'!$G2934&gt;40000,"Premium",
 IF(' car_sales_data 1'!$G2934&gt;=20000,"Mid Range","Budget"))</f>
        <v>Mid Range</v>
      </c>
      <c r="L2934" s="13">
        <f>YEAR(TODAY())-' car_sales_data 1'!$F2934</f>
        <v>4</v>
      </c>
    </row>
    <row r="2935" ht="15.75" customHeight="1">
      <c r="A2935" s="16">
        <v>44891.0</v>
      </c>
      <c r="B2935" s="13" t="s">
        <v>5681</v>
      </c>
      <c r="C2935" s="13" t="s">
        <v>5682</v>
      </c>
      <c r="D2935" s="13" t="s">
        <v>12</v>
      </c>
      <c r="E2935" s="13" t="s">
        <v>51</v>
      </c>
      <c r="F2935" s="13">
        <v>2019.0</v>
      </c>
      <c r="G2935" s="13">
        <v>41223.0</v>
      </c>
      <c r="H2935" s="13">
        <v>2645.16</v>
      </c>
      <c r="I2935" s="13">
        <f>' car_sales_data 1'!$G2935*0.2</f>
        <v>8244.6</v>
      </c>
      <c r="J2935" s="13" t="str">
        <f>TEXT(' car_sales_data 1'!$A2935,"mmmm")</f>
        <v>November</v>
      </c>
      <c r="K2935" s="13" t="str">
        <f>IF(' car_sales_data 1'!$G2935&gt;40000,"Premium",
 IF(' car_sales_data 1'!$G2935&gt;=20000,"Mid Range","Budget"))</f>
        <v>Premium</v>
      </c>
      <c r="L2935" s="13">
        <f>YEAR(TODAY())-' car_sales_data 1'!$F2935</f>
        <v>6</v>
      </c>
    </row>
    <row r="2936" ht="15.75" customHeight="1">
      <c r="A2936" s="16">
        <v>44885.0</v>
      </c>
      <c r="B2936" s="13" t="s">
        <v>5683</v>
      </c>
      <c r="C2936" s="13" t="s">
        <v>5684</v>
      </c>
      <c r="D2936" s="13" t="s">
        <v>8</v>
      </c>
      <c r="E2936" s="13" t="s">
        <v>54</v>
      </c>
      <c r="F2936" s="13">
        <v>2011.0</v>
      </c>
      <c r="G2936" s="13">
        <v>49685.0</v>
      </c>
      <c r="H2936" s="13">
        <v>3355.34</v>
      </c>
      <c r="I2936" s="13">
        <f>' car_sales_data 1'!$G2936*0.2</f>
        <v>9937</v>
      </c>
      <c r="J2936" s="13" t="str">
        <f>TEXT(' car_sales_data 1'!$A2936,"mmmm")</f>
        <v>November</v>
      </c>
      <c r="K2936" s="13" t="str">
        <f>IF(' car_sales_data 1'!$G2936&gt;40000,"Premium",
 IF(' car_sales_data 1'!$G2936&gt;=20000,"Mid Range","Budget"))</f>
        <v>Premium</v>
      </c>
      <c r="L2936" s="13">
        <f>YEAR(TODAY())-' car_sales_data 1'!$F2936</f>
        <v>14</v>
      </c>
    </row>
    <row r="2937" ht="15.75" customHeight="1">
      <c r="A2937" s="16">
        <v>44932.0</v>
      </c>
      <c r="B2937" s="13" t="s">
        <v>5685</v>
      </c>
      <c r="C2937" s="13" t="s">
        <v>5686</v>
      </c>
      <c r="D2937" s="13" t="s">
        <v>10</v>
      </c>
      <c r="E2937" s="13" t="s">
        <v>62</v>
      </c>
      <c r="F2937" s="13">
        <v>2019.0</v>
      </c>
      <c r="G2937" s="13">
        <v>29540.0</v>
      </c>
      <c r="H2937" s="13">
        <v>1858.04</v>
      </c>
      <c r="I2937" s="13">
        <f>' car_sales_data 1'!$G2937*0.2</f>
        <v>5908</v>
      </c>
      <c r="J2937" s="13" t="str">
        <f>TEXT(' car_sales_data 1'!$A2937,"mmmm")</f>
        <v>January</v>
      </c>
      <c r="K2937" s="13" t="str">
        <f>IF(' car_sales_data 1'!$G2937&gt;40000,"Premium",
 IF(' car_sales_data 1'!$G2937&gt;=20000,"Mid Range","Budget"))</f>
        <v>Mid Range</v>
      </c>
      <c r="L2937" s="13">
        <f>YEAR(TODAY())-' car_sales_data 1'!$F2937</f>
        <v>6</v>
      </c>
    </row>
    <row r="2938" ht="15.75" customHeight="1">
      <c r="A2938" s="16">
        <v>44916.0</v>
      </c>
      <c r="B2938" s="13" t="s">
        <v>5687</v>
      </c>
      <c r="C2938" s="13" t="s">
        <v>5688</v>
      </c>
      <c r="D2938" s="13" t="s">
        <v>10</v>
      </c>
      <c r="E2938" s="13" t="s">
        <v>54</v>
      </c>
      <c r="F2938" s="13">
        <v>2012.0</v>
      </c>
      <c r="G2938" s="13">
        <v>12342.0</v>
      </c>
      <c r="H2938" s="13">
        <v>1530.49</v>
      </c>
      <c r="I2938" s="13">
        <f>' car_sales_data 1'!$G2938*0.2</f>
        <v>2468.4</v>
      </c>
      <c r="J2938" s="13" t="str">
        <f>TEXT(' car_sales_data 1'!$A2938,"mmmm")</f>
        <v>December</v>
      </c>
      <c r="K2938" s="13" t="str">
        <f>IF(' car_sales_data 1'!$G2938&gt;40000,"Premium",
 IF(' car_sales_data 1'!$G2938&gt;=20000,"Mid Range","Budget"))</f>
        <v>Budget</v>
      </c>
      <c r="L2938" s="13">
        <f>YEAR(TODAY())-' car_sales_data 1'!$F2938</f>
        <v>13</v>
      </c>
    </row>
    <row r="2939" ht="15.75" customHeight="1">
      <c r="A2939" s="16">
        <v>44712.0</v>
      </c>
      <c r="B2939" s="13" t="s">
        <v>5689</v>
      </c>
      <c r="C2939" s="13" t="s">
        <v>5690</v>
      </c>
      <c r="D2939" s="13" t="s">
        <v>12</v>
      </c>
      <c r="E2939" s="13" t="s">
        <v>57</v>
      </c>
      <c r="F2939" s="13">
        <v>2011.0</v>
      </c>
      <c r="G2939" s="13">
        <v>14541.0</v>
      </c>
      <c r="H2939" s="13">
        <v>1462.81</v>
      </c>
      <c r="I2939" s="13">
        <f>' car_sales_data 1'!$G2939*0.2</f>
        <v>2908.2</v>
      </c>
      <c r="J2939" s="13" t="str">
        <f>TEXT(' car_sales_data 1'!$A2939,"mmmm")</f>
        <v>May</v>
      </c>
      <c r="K2939" s="13" t="str">
        <f>IF(' car_sales_data 1'!$G2939&gt;40000,"Premium",
 IF(' car_sales_data 1'!$G2939&gt;=20000,"Mid Range","Budget"))</f>
        <v>Budget</v>
      </c>
      <c r="L2939" s="13">
        <f>YEAR(TODAY())-' car_sales_data 1'!$F2939</f>
        <v>14</v>
      </c>
    </row>
    <row r="2940" ht="15.75" customHeight="1">
      <c r="A2940" s="16">
        <v>45005.0</v>
      </c>
      <c r="B2940" s="13" t="s">
        <v>5691</v>
      </c>
      <c r="C2940" s="13" t="s">
        <v>5692</v>
      </c>
      <c r="D2940" s="13" t="s">
        <v>6</v>
      </c>
      <c r="E2940" s="13" t="s">
        <v>57</v>
      </c>
      <c r="F2940" s="13">
        <v>2022.0</v>
      </c>
      <c r="G2940" s="13">
        <v>26324.0</v>
      </c>
      <c r="H2940" s="13">
        <v>1937.01</v>
      </c>
      <c r="I2940" s="13">
        <f>' car_sales_data 1'!$G2940*0.2</f>
        <v>5264.8</v>
      </c>
      <c r="J2940" s="13" t="str">
        <f>TEXT(' car_sales_data 1'!$A2940,"mmmm")</f>
        <v>March</v>
      </c>
      <c r="K2940" s="13" t="str">
        <f>IF(' car_sales_data 1'!$G2940&gt;40000,"Premium",
 IF(' car_sales_data 1'!$G2940&gt;=20000,"Mid Range","Budget"))</f>
        <v>Mid Range</v>
      </c>
      <c r="L2940" s="13">
        <f>YEAR(TODAY())-' car_sales_data 1'!$F2940</f>
        <v>3</v>
      </c>
    </row>
    <row r="2941" ht="15.75" customHeight="1">
      <c r="A2941" s="16">
        <v>44862.0</v>
      </c>
      <c r="B2941" s="13" t="s">
        <v>5693</v>
      </c>
      <c r="C2941" s="13" t="s">
        <v>5694</v>
      </c>
      <c r="D2941" s="13" t="s">
        <v>8</v>
      </c>
      <c r="E2941" s="13" t="s">
        <v>62</v>
      </c>
      <c r="F2941" s="13">
        <v>2011.0</v>
      </c>
      <c r="G2941" s="13">
        <v>31852.0</v>
      </c>
      <c r="H2941" s="13">
        <v>1997.49</v>
      </c>
      <c r="I2941" s="13">
        <f>' car_sales_data 1'!$G2941*0.2</f>
        <v>6370.4</v>
      </c>
      <c r="J2941" s="13" t="str">
        <f>TEXT(' car_sales_data 1'!$A2941,"mmmm")</f>
        <v>October</v>
      </c>
      <c r="K2941" s="13" t="str">
        <f>IF(' car_sales_data 1'!$G2941&gt;40000,"Premium",
 IF(' car_sales_data 1'!$G2941&gt;=20000,"Mid Range","Budget"))</f>
        <v>Mid Range</v>
      </c>
      <c r="L2941" s="13">
        <f>YEAR(TODAY())-' car_sales_data 1'!$F2941</f>
        <v>14</v>
      </c>
    </row>
    <row r="2942" ht="15.75" customHeight="1">
      <c r="A2942" s="16">
        <v>44816.0</v>
      </c>
      <c r="B2942" s="13" t="s">
        <v>5695</v>
      </c>
      <c r="C2942" s="13" t="s">
        <v>5696</v>
      </c>
      <c r="D2942" s="13" t="s">
        <v>10</v>
      </c>
      <c r="E2942" s="13" t="s">
        <v>62</v>
      </c>
      <c r="F2942" s="13">
        <v>2012.0</v>
      </c>
      <c r="G2942" s="13">
        <v>15876.0</v>
      </c>
      <c r="H2942" s="13">
        <v>1854.9</v>
      </c>
      <c r="I2942" s="13">
        <f>' car_sales_data 1'!$G2942*0.2</f>
        <v>3175.2</v>
      </c>
      <c r="J2942" s="13" t="str">
        <f>TEXT(' car_sales_data 1'!$A2942,"mmmm")</f>
        <v>September</v>
      </c>
      <c r="K2942" s="13" t="str">
        <f>IF(' car_sales_data 1'!$G2942&gt;40000,"Premium",
 IF(' car_sales_data 1'!$G2942&gt;=20000,"Mid Range","Budget"))</f>
        <v>Budget</v>
      </c>
      <c r="L2942" s="13">
        <f>YEAR(TODAY())-' car_sales_data 1'!$F2942</f>
        <v>13</v>
      </c>
    </row>
    <row r="2943" ht="15.75" customHeight="1">
      <c r="A2943" s="16">
        <v>44941.0</v>
      </c>
      <c r="B2943" s="13" t="s">
        <v>5697</v>
      </c>
      <c r="C2943" s="13" t="s">
        <v>5698</v>
      </c>
      <c r="D2943" s="13" t="s">
        <v>14</v>
      </c>
      <c r="E2943" s="13" t="s">
        <v>54</v>
      </c>
      <c r="F2943" s="13">
        <v>2018.0</v>
      </c>
      <c r="G2943" s="13">
        <v>32751.0</v>
      </c>
      <c r="H2943" s="13">
        <v>1994.99</v>
      </c>
      <c r="I2943" s="13">
        <f>' car_sales_data 1'!$G2943*0.2</f>
        <v>6550.2</v>
      </c>
      <c r="J2943" s="13" t="str">
        <f>TEXT(' car_sales_data 1'!$A2943,"mmmm")</f>
        <v>January</v>
      </c>
      <c r="K2943" s="13" t="str">
        <f>IF(' car_sales_data 1'!$G2943&gt;40000,"Premium",
 IF(' car_sales_data 1'!$G2943&gt;=20000,"Mid Range","Budget"))</f>
        <v>Mid Range</v>
      </c>
      <c r="L2943" s="13">
        <f>YEAR(TODAY())-' car_sales_data 1'!$F2943</f>
        <v>7</v>
      </c>
    </row>
    <row r="2944" ht="15.75" customHeight="1">
      <c r="A2944" s="16">
        <v>44781.0</v>
      </c>
      <c r="B2944" s="13" t="s">
        <v>5699</v>
      </c>
      <c r="C2944" s="13" t="s">
        <v>5700</v>
      </c>
      <c r="D2944" s="13" t="s">
        <v>8</v>
      </c>
      <c r="E2944" s="13" t="s">
        <v>51</v>
      </c>
      <c r="F2944" s="13">
        <v>2022.0</v>
      </c>
      <c r="G2944" s="13">
        <v>27542.0</v>
      </c>
      <c r="H2944" s="13">
        <v>2599.71</v>
      </c>
      <c r="I2944" s="13">
        <f>' car_sales_data 1'!$G2944*0.2</f>
        <v>5508.4</v>
      </c>
      <c r="J2944" s="13" t="str">
        <f>TEXT(' car_sales_data 1'!$A2944,"mmmm")</f>
        <v>August</v>
      </c>
      <c r="K2944" s="13" t="str">
        <f>IF(' car_sales_data 1'!$G2944&gt;40000,"Premium",
 IF(' car_sales_data 1'!$G2944&gt;=20000,"Mid Range","Budget"))</f>
        <v>Mid Range</v>
      </c>
      <c r="L2944" s="13">
        <f>YEAR(TODAY())-' car_sales_data 1'!$F2944</f>
        <v>3</v>
      </c>
    </row>
    <row r="2945" ht="15.75" customHeight="1">
      <c r="A2945" s="16">
        <v>44772.0</v>
      </c>
      <c r="B2945" s="13" t="s">
        <v>5701</v>
      </c>
      <c r="C2945" s="13" t="s">
        <v>5702</v>
      </c>
      <c r="D2945" s="13" t="s">
        <v>12</v>
      </c>
      <c r="E2945" s="13" t="s">
        <v>51</v>
      </c>
      <c r="F2945" s="13">
        <v>2018.0</v>
      </c>
      <c r="G2945" s="13">
        <v>45937.0</v>
      </c>
      <c r="H2945" s="13">
        <v>5981.75</v>
      </c>
      <c r="I2945" s="13">
        <f>' car_sales_data 1'!$G2945*0.2</f>
        <v>9187.4</v>
      </c>
      <c r="J2945" s="13" t="str">
        <f>TEXT(' car_sales_data 1'!$A2945,"mmmm")</f>
        <v>July</v>
      </c>
      <c r="K2945" s="13" t="str">
        <f>IF(' car_sales_data 1'!$G2945&gt;40000,"Premium",
 IF(' car_sales_data 1'!$G2945&gt;=20000,"Mid Range","Budget"))</f>
        <v>Premium</v>
      </c>
      <c r="L2945" s="13">
        <f>YEAR(TODAY())-' car_sales_data 1'!$F2945</f>
        <v>7</v>
      </c>
    </row>
    <row r="2946" ht="15.75" customHeight="1">
      <c r="A2946" s="16">
        <v>44934.0</v>
      </c>
      <c r="B2946" s="13" t="s">
        <v>5703</v>
      </c>
      <c r="C2946" s="13" t="s">
        <v>2452</v>
      </c>
      <c r="D2946" s="13" t="s">
        <v>8</v>
      </c>
      <c r="E2946" s="13" t="s">
        <v>57</v>
      </c>
      <c r="F2946" s="13">
        <v>2018.0</v>
      </c>
      <c r="G2946" s="13">
        <v>27517.0</v>
      </c>
      <c r="H2946" s="13">
        <v>2191.11</v>
      </c>
      <c r="I2946" s="13">
        <f>' car_sales_data 1'!$G2946*0.2</f>
        <v>5503.4</v>
      </c>
      <c r="J2946" s="13" t="str">
        <f>TEXT(' car_sales_data 1'!$A2946,"mmmm")</f>
        <v>January</v>
      </c>
      <c r="K2946" s="13" t="str">
        <f>IF(' car_sales_data 1'!$G2946&gt;40000,"Premium",
 IF(' car_sales_data 1'!$G2946&gt;=20000,"Mid Range","Budget"))</f>
        <v>Mid Range</v>
      </c>
      <c r="L2946" s="13">
        <f>YEAR(TODAY())-' car_sales_data 1'!$F2946</f>
        <v>7</v>
      </c>
    </row>
    <row r="2947" ht="15.75" customHeight="1">
      <c r="A2947" s="16">
        <v>44844.0</v>
      </c>
      <c r="B2947" s="13" t="s">
        <v>2233</v>
      </c>
      <c r="C2947" s="13" t="s">
        <v>5704</v>
      </c>
      <c r="D2947" s="13" t="s">
        <v>10</v>
      </c>
      <c r="E2947" s="13" t="s">
        <v>57</v>
      </c>
      <c r="F2947" s="13">
        <v>2015.0</v>
      </c>
      <c r="G2947" s="13">
        <v>36721.0</v>
      </c>
      <c r="H2947" s="13">
        <v>4669.82</v>
      </c>
      <c r="I2947" s="13">
        <f>' car_sales_data 1'!$G2947*0.2</f>
        <v>7344.2</v>
      </c>
      <c r="J2947" s="13" t="str">
        <f>TEXT(' car_sales_data 1'!$A2947,"mmmm")</f>
        <v>October</v>
      </c>
      <c r="K2947" s="13" t="str">
        <f>IF(' car_sales_data 1'!$G2947&gt;40000,"Premium",
 IF(' car_sales_data 1'!$G2947&gt;=20000,"Mid Range","Budget"))</f>
        <v>Mid Range</v>
      </c>
      <c r="L2947" s="13">
        <f>YEAR(TODAY())-' car_sales_data 1'!$F2947</f>
        <v>10</v>
      </c>
    </row>
    <row r="2948" ht="15.75" customHeight="1">
      <c r="A2948" s="16">
        <v>44829.0</v>
      </c>
      <c r="B2948" s="13" t="s">
        <v>5705</v>
      </c>
      <c r="C2948" s="13" t="s">
        <v>5706</v>
      </c>
      <c r="D2948" s="13" t="s">
        <v>12</v>
      </c>
      <c r="E2948" s="13" t="s">
        <v>54</v>
      </c>
      <c r="F2948" s="13">
        <v>2014.0</v>
      </c>
      <c r="G2948" s="13">
        <v>38604.0</v>
      </c>
      <c r="H2948" s="13">
        <v>4621.76</v>
      </c>
      <c r="I2948" s="13">
        <f>' car_sales_data 1'!$G2948*0.2</f>
        <v>7720.8</v>
      </c>
      <c r="J2948" s="13" t="str">
        <f>TEXT(' car_sales_data 1'!$A2948,"mmmm")</f>
        <v>September</v>
      </c>
      <c r="K2948" s="13" t="str">
        <f>IF(' car_sales_data 1'!$G2948&gt;40000,"Premium",
 IF(' car_sales_data 1'!$G2948&gt;=20000,"Mid Range","Budget"))</f>
        <v>Mid Range</v>
      </c>
      <c r="L2948" s="13">
        <f>YEAR(TODAY())-' car_sales_data 1'!$F2948</f>
        <v>11</v>
      </c>
    </row>
    <row r="2949" ht="15.75" customHeight="1">
      <c r="A2949" s="16">
        <v>44801.0</v>
      </c>
      <c r="B2949" s="13" t="s">
        <v>2709</v>
      </c>
      <c r="C2949" s="13" t="s">
        <v>5707</v>
      </c>
      <c r="D2949" s="13" t="s">
        <v>12</v>
      </c>
      <c r="E2949" s="13" t="s">
        <v>70</v>
      </c>
      <c r="F2949" s="13">
        <v>2018.0</v>
      </c>
      <c r="G2949" s="13">
        <v>20193.0</v>
      </c>
      <c r="H2949" s="13">
        <v>2088.34</v>
      </c>
      <c r="I2949" s="13">
        <f>' car_sales_data 1'!$G2949*0.2</f>
        <v>4038.6</v>
      </c>
      <c r="J2949" s="13" t="str">
        <f>TEXT(' car_sales_data 1'!$A2949,"mmmm")</f>
        <v>August</v>
      </c>
      <c r="K2949" s="13" t="str">
        <f>IF(' car_sales_data 1'!$G2949&gt;40000,"Premium",
 IF(' car_sales_data 1'!$G2949&gt;=20000,"Mid Range","Budget"))</f>
        <v>Mid Range</v>
      </c>
      <c r="L2949" s="13">
        <f>YEAR(TODAY())-' car_sales_data 1'!$F2949</f>
        <v>7</v>
      </c>
    </row>
    <row r="2950" ht="15.75" customHeight="1">
      <c r="A2950" s="16">
        <v>44763.0</v>
      </c>
      <c r="B2950" s="13" t="s">
        <v>5708</v>
      </c>
      <c r="C2950" s="13" t="s">
        <v>5709</v>
      </c>
      <c r="D2950" s="13" t="s">
        <v>8</v>
      </c>
      <c r="E2950" s="13" t="s">
        <v>62</v>
      </c>
      <c r="F2950" s="13">
        <v>2010.0</v>
      </c>
      <c r="G2950" s="13">
        <v>16711.0</v>
      </c>
      <c r="H2950" s="13">
        <v>1495.89</v>
      </c>
      <c r="I2950" s="13">
        <f>' car_sales_data 1'!$G2950*0.2</f>
        <v>3342.2</v>
      </c>
      <c r="J2950" s="13" t="str">
        <f>TEXT(' car_sales_data 1'!$A2950,"mmmm")</f>
        <v>July</v>
      </c>
      <c r="K2950" s="13" t="str">
        <f>IF(' car_sales_data 1'!$G2950&gt;40000,"Premium",
 IF(' car_sales_data 1'!$G2950&gt;=20000,"Mid Range","Budget"))</f>
        <v>Budget</v>
      </c>
      <c r="L2950" s="13">
        <f>YEAR(TODAY())-' car_sales_data 1'!$F2950</f>
        <v>15</v>
      </c>
    </row>
    <row r="2951" ht="15.75" customHeight="1">
      <c r="A2951" s="16">
        <v>44757.0</v>
      </c>
      <c r="B2951" s="13" t="s">
        <v>1852</v>
      </c>
      <c r="C2951" s="13" t="s">
        <v>5710</v>
      </c>
      <c r="D2951" s="13" t="s">
        <v>14</v>
      </c>
      <c r="E2951" s="13" t="s">
        <v>70</v>
      </c>
      <c r="F2951" s="13">
        <v>2011.0</v>
      </c>
      <c r="G2951" s="13">
        <v>24099.0</v>
      </c>
      <c r="H2951" s="13">
        <v>2150.56</v>
      </c>
      <c r="I2951" s="13">
        <f>' car_sales_data 1'!$G2951*0.2</f>
        <v>4819.8</v>
      </c>
      <c r="J2951" s="13" t="str">
        <f>TEXT(' car_sales_data 1'!$A2951,"mmmm")</f>
        <v>July</v>
      </c>
      <c r="K2951" s="13" t="str">
        <f>IF(' car_sales_data 1'!$G2951&gt;40000,"Premium",
 IF(' car_sales_data 1'!$G2951&gt;=20000,"Mid Range","Budget"))</f>
        <v>Mid Range</v>
      </c>
      <c r="L2951" s="13">
        <f>YEAR(TODAY())-' car_sales_data 1'!$F2951</f>
        <v>14</v>
      </c>
    </row>
    <row r="2952" ht="15.75" customHeight="1">
      <c r="A2952" s="16">
        <v>44801.0</v>
      </c>
      <c r="B2952" s="13" t="s">
        <v>5711</v>
      </c>
      <c r="C2952" s="13" t="s">
        <v>3265</v>
      </c>
      <c r="D2952" s="13" t="s">
        <v>8</v>
      </c>
      <c r="E2952" s="13" t="s">
        <v>51</v>
      </c>
      <c r="F2952" s="13">
        <v>2019.0</v>
      </c>
      <c r="G2952" s="13">
        <v>34262.0</v>
      </c>
      <c r="H2952" s="13">
        <v>4354.76</v>
      </c>
      <c r="I2952" s="13">
        <f>' car_sales_data 1'!$G2952*0.2</f>
        <v>6852.4</v>
      </c>
      <c r="J2952" s="13" t="str">
        <f>TEXT(' car_sales_data 1'!$A2952,"mmmm")</f>
        <v>August</v>
      </c>
      <c r="K2952" s="13" t="str">
        <f>IF(' car_sales_data 1'!$G2952&gt;40000,"Premium",
 IF(' car_sales_data 1'!$G2952&gt;=20000,"Mid Range","Budget"))</f>
        <v>Mid Range</v>
      </c>
      <c r="L2952" s="13">
        <f>YEAR(TODAY())-' car_sales_data 1'!$F2952</f>
        <v>6</v>
      </c>
    </row>
    <row r="2953" ht="15.75" customHeight="1">
      <c r="A2953" s="16">
        <v>44853.0</v>
      </c>
      <c r="B2953" s="13" t="s">
        <v>5712</v>
      </c>
      <c r="C2953" s="13" t="s">
        <v>5713</v>
      </c>
      <c r="D2953" s="13" t="s">
        <v>10</v>
      </c>
      <c r="E2953" s="13" t="s">
        <v>70</v>
      </c>
      <c r="F2953" s="13">
        <v>2019.0</v>
      </c>
      <c r="G2953" s="13">
        <v>44984.0</v>
      </c>
      <c r="H2953" s="13">
        <v>5321.01</v>
      </c>
      <c r="I2953" s="13">
        <f>' car_sales_data 1'!$G2953*0.2</f>
        <v>8996.8</v>
      </c>
      <c r="J2953" s="13" t="str">
        <f>TEXT(' car_sales_data 1'!$A2953,"mmmm")</f>
        <v>October</v>
      </c>
      <c r="K2953" s="13" t="str">
        <f>IF(' car_sales_data 1'!$G2953&gt;40000,"Premium",
 IF(' car_sales_data 1'!$G2953&gt;=20000,"Mid Range","Budget"))</f>
        <v>Premium</v>
      </c>
      <c r="L2953" s="13">
        <f>YEAR(TODAY())-' car_sales_data 1'!$F2953</f>
        <v>6</v>
      </c>
    </row>
    <row r="2954" ht="15.75" customHeight="1">
      <c r="A2954" s="16">
        <v>44834.0</v>
      </c>
      <c r="B2954" s="13" t="s">
        <v>5714</v>
      </c>
      <c r="C2954" s="13" t="s">
        <v>5715</v>
      </c>
      <c r="D2954" s="13" t="s">
        <v>6</v>
      </c>
      <c r="E2954" s="13" t="s">
        <v>57</v>
      </c>
      <c r="F2954" s="13">
        <v>2013.0</v>
      </c>
      <c r="G2954" s="13">
        <v>42835.0</v>
      </c>
      <c r="H2954" s="13">
        <v>4141.2</v>
      </c>
      <c r="I2954" s="13">
        <f>' car_sales_data 1'!$G2954*0.2</f>
        <v>8567</v>
      </c>
      <c r="J2954" s="13" t="str">
        <f>TEXT(' car_sales_data 1'!$A2954,"mmmm")</f>
        <v>September</v>
      </c>
      <c r="K2954" s="13" t="str">
        <f>IF(' car_sales_data 1'!$G2954&gt;40000,"Premium",
 IF(' car_sales_data 1'!$G2954&gt;=20000,"Mid Range","Budget"))</f>
        <v>Premium</v>
      </c>
      <c r="L2954" s="13">
        <f>YEAR(TODAY())-' car_sales_data 1'!$F2954</f>
        <v>12</v>
      </c>
    </row>
    <row r="2955" ht="15.75" customHeight="1">
      <c r="A2955" s="16">
        <v>44802.0</v>
      </c>
      <c r="B2955" s="13" t="s">
        <v>5716</v>
      </c>
      <c r="C2955" s="13" t="s">
        <v>5717</v>
      </c>
      <c r="D2955" s="13" t="s">
        <v>10</v>
      </c>
      <c r="E2955" s="13" t="s">
        <v>62</v>
      </c>
      <c r="F2955" s="13">
        <v>2016.0</v>
      </c>
      <c r="G2955" s="13">
        <v>40722.0</v>
      </c>
      <c r="H2955" s="13">
        <v>4782.07</v>
      </c>
      <c r="I2955" s="13">
        <f>' car_sales_data 1'!$G2955*0.2</f>
        <v>8144.4</v>
      </c>
      <c r="J2955" s="13" t="str">
        <f>TEXT(' car_sales_data 1'!$A2955,"mmmm")</f>
        <v>August</v>
      </c>
      <c r="K2955" s="13" t="str">
        <f>IF(' car_sales_data 1'!$G2955&gt;40000,"Premium",
 IF(' car_sales_data 1'!$G2955&gt;=20000,"Mid Range","Budget"))</f>
        <v>Premium</v>
      </c>
      <c r="L2955" s="13">
        <f>YEAR(TODAY())-' car_sales_data 1'!$F2955</f>
        <v>9</v>
      </c>
    </row>
    <row r="2956" ht="15.75" customHeight="1">
      <c r="A2956" s="16">
        <v>44855.0</v>
      </c>
      <c r="B2956" s="13" t="s">
        <v>5718</v>
      </c>
      <c r="C2956" s="13" t="s">
        <v>5719</v>
      </c>
      <c r="D2956" s="13" t="s">
        <v>6</v>
      </c>
      <c r="E2956" s="13" t="s">
        <v>51</v>
      </c>
      <c r="F2956" s="13">
        <v>2013.0</v>
      </c>
      <c r="G2956" s="13">
        <v>13111.0</v>
      </c>
      <c r="H2956" s="13">
        <v>814.99</v>
      </c>
      <c r="I2956" s="13">
        <f>' car_sales_data 1'!$G2956*0.2</f>
        <v>2622.2</v>
      </c>
      <c r="J2956" s="13" t="str">
        <f>TEXT(' car_sales_data 1'!$A2956,"mmmm")</f>
        <v>October</v>
      </c>
      <c r="K2956" s="13" t="str">
        <f>IF(' car_sales_data 1'!$G2956&gt;40000,"Premium",
 IF(' car_sales_data 1'!$G2956&gt;=20000,"Mid Range","Budget"))</f>
        <v>Budget</v>
      </c>
      <c r="L2956" s="13">
        <f>YEAR(TODAY())-' car_sales_data 1'!$F2956</f>
        <v>12</v>
      </c>
    </row>
    <row r="2957" ht="15.75" customHeight="1">
      <c r="A2957" s="16">
        <v>44840.0</v>
      </c>
      <c r="B2957" s="13" t="s">
        <v>5720</v>
      </c>
      <c r="C2957" s="13" t="s">
        <v>4725</v>
      </c>
      <c r="D2957" s="13" t="s">
        <v>12</v>
      </c>
      <c r="E2957" s="13" t="s">
        <v>54</v>
      </c>
      <c r="F2957" s="13">
        <v>2018.0</v>
      </c>
      <c r="G2957" s="13">
        <v>27717.0</v>
      </c>
      <c r="H2957" s="13">
        <v>2308.74</v>
      </c>
      <c r="I2957" s="13">
        <f>' car_sales_data 1'!$G2957*0.2</f>
        <v>5543.4</v>
      </c>
      <c r="J2957" s="13" t="str">
        <f>TEXT(' car_sales_data 1'!$A2957,"mmmm")</f>
        <v>October</v>
      </c>
      <c r="K2957" s="13" t="str">
        <f>IF(' car_sales_data 1'!$G2957&gt;40000,"Premium",
 IF(' car_sales_data 1'!$G2957&gt;=20000,"Mid Range","Budget"))</f>
        <v>Mid Range</v>
      </c>
      <c r="L2957" s="13">
        <f>YEAR(TODAY())-' car_sales_data 1'!$F2957</f>
        <v>7</v>
      </c>
    </row>
    <row r="2958" ht="15.75" customHeight="1">
      <c r="A2958" s="16">
        <v>44837.0</v>
      </c>
      <c r="B2958" s="13" t="s">
        <v>314</v>
      </c>
      <c r="C2958" s="13" t="s">
        <v>5721</v>
      </c>
      <c r="D2958" s="13" t="s">
        <v>10</v>
      </c>
      <c r="E2958" s="13" t="s">
        <v>51</v>
      </c>
      <c r="F2958" s="13">
        <v>2010.0</v>
      </c>
      <c r="G2958" s="13">
        <v>10375.0</v>
      </c>
      <c r="H2958" s="13">
        <v>726.51</v>
      </c>
      <c r="I2958" s="13">
        <f>' car_sales_data 1'!$G2958*0.2</f>
        <v>2075</v>
      </c>
      <c r="J2958" s="13" t="str">
        <f>TEXT(' car_sales_data 1'!$A2958,"mmmm")</f>
        <v>October</v>
      </c>
      <c r="K2958" s="13" t="str">
        <f>IF(' car_sales_data 1'!$G2958&gt;40000,"Premium",
 IF(' car_sales_data 1'!$G2958&gt;=20000,"Mid Range","Budget"))</f>
        <v>Budget</v>
      </c>
      <c r="L2958" s="13">
        <f>YEAR(TODAY())-' car_sales_data 1'!$F2958</f>
        <v>15</v>
      </c>
    </row>
    <row r="2959" ht="15.75" customHeight="1">
      <c r="A2959" s="16">
        <v>44958.0</v>
      </c>
      <c r="B2959" s="13" t="s">
        <v>5722</v>
      </c>
      <c r="C2959" s="13" t="s">
        <v>5723</v>
      </c>
      <c r="D2959" s="13" t="s">
        <v>12</v>
      </c>
      <c r="E2959" s="13" t="s">
        <v>51</v>
      </c>
      <c r="F2959" s="13">
        <v>2018.0</v>
      </c>
      <c r="G2959" s="13">
        <v>24759.0</v>
      </c>
      <c r="H2959" s="13">
        <v>2020.86</v>
      </c>
      <c r="I2959" s="13">
        <f>' car_sales_data 1'!$G2959*0.2</f>
        <v>4951.8</v>
      </c>
      <c r="J2959" s="13" t="str">
        <f>TEXT(' car_sales_data 1'!$A2959,"mmmm")</f>
        <v>February</v>
      </c>
      <c r="K2959" s="13" t="str">
        <f>IF(' car_sales_data 1'!$G2959&gt;40000,"Premium",
 IF(' car_sales_data 1'!$G2959&gt;=20000,"Mid Range","Budget"))</f>
        <v>Mid Range</v>
      </c>
      <c r="L2959" s="13">
        <f>YEAR(TODAY())-' car_sales_data 1'!$F2959</f>
        <v>7</v>
      </c>
    </row>
    <row r="2960" ht="15.75" customHeight="1">
      <c r="A2960" s="16">
        <v>44694.0</v>
      </c>
      <c r="B2960" s="13" t="s">
        <v>5724</v>
      </c>
      <c r="C2960" s="13" t="s">
        <v>5725</v>
      </c>
      <c r="D2960" s="13" t="s">
        <v>14</v>
      </c>
      <c r="E2960" s="13" t="s">
        <v>51</v>
      </c>
      <c r="F2960" s="13">
        <v>2016.0</v>
      </c>
      <c r="G2960" s="13">
        <v>35340.0</v>
      </c>
      <c r="H2960" s="13">
        <v>3934.6</v>
      </c>
      <c r="I2960" s="13">
        <f>' car_sales_data 1'!$G2960*0.2</f>
        <v>7068</v>
      </c>
      <c r="J2960" s="13" t="str">
        <f>TEXT(' car_sales_data 1'!$A2960,"mmmm")</f>
        <v>May</v>
      </c>
      <c r="K2960" s="13" t="str">
        <f>IF(' car_sales_data 1'!$G2960&gt;40000,"Premium",
 IF(' car_sales_data 1'!$G2960&gt;=20000,"Mid Range","Budget"))</f>
        <v>Mid Range</v>
      </c>
      <c r="L2960" s="13">
        <f>YEAR(TODAY())-' car_sales_data 1'!$F2960</f>
        <v>9</v>
      </c>
    </row>
    <row r="2961" ht="15.75" customHeight="1">
      <c r="A2961" s="16">
        <v>44807.0</v>
      </c>
      <c r="B2961" s="13" t="s">
        <v>5726</v>
      </c>
      <c r="C2961" s="13" t="s">
        <v>5727</v>
      </c>
      <c r="D2961" s="13" t="s">
        <v>10</v>
      </c>
      <c r="E2961" s="13" t="s">
        <v>54</v>
      </c>
      <c r="F2961" s="13">
        <v>2018.0</v>
      </c>
      <c r="G2961" s="13">
        <v>29383.0</v>
      </c>
      <c r="H2961" s="13">
        <v>4004.55</v>
      </c>
      <c r="I2961" s="13">
        <f>' car_sales_data 1'!$G2961*0.2</f>
        <v>5876.6</v>
      </c>
      <c r="J2961" s="13" t="str">
        <f>TEXT(' car_sales_data 1'!$A2961,"mmmm")</f>
        <v>September</v>
      </c>
      <c r="K2961" s="13" t="str">
        <f>IF(' car_sales_data 1'!$G2961&gt;40000,"Premium",
 IF(' car_sales_data 1'!$G2961&gt;=20000,"Mid Range","Budget"))</f>
        <v>Mid Range</v>
      </c>
      <c r="L2961" s="13">
        <f>YEAR(TODAY())-' car_sales_data 1'!$F2961</f>
        <v>7</v>
      </c>
    </row>
    <row r="2962" ht="15.75" customHeight="1">
      <c r="A2962" s="16">
        <v>44938.0</v>
      </c>
      <c r="B2962" s="13" t="s">
        <v>5728</v>
      </c>
      <c r="C2962" s="13" t="s">
        <v>5729</v>
      </c>
      <c r="D2962" s="13" t="s">
        <v>6</v>
      </c>
      <c r="E2962" s="13" t="s">
        <v>51</v>
      </c>
      <c r="F2962" s="13">
        <v>2014.0</v>
      </c>
      <c r="G2962" s="13">
        <v>41875.0</v>
      </c>
      <c r="H2962" s="13">
        <v>6025.79</v>
      </c>
      <c r="I2962" s="13">
        <f>' car_sales_data 1'!$G2962*0.2</f>
        <v>8375</v>
      </c>
      <c r="J2962" s="13" t="str">
        <f>TEXT(' car_sales_data 1'!$A2962,"mmmm")</f>
        <v>January</v>
      </c>
      <c r="K2962" s="13" t="str">
        <f>IF(' car_sales_data 1'!$G2962&gt;40000,"Premium",
 IF(' car_sales_data 1'!$G2962&gt;=20000,"Mid Range","Budget"))</f>
        <v>Premium</v>
      </c>
      <c r="L2962" s="13">
        <f>YEAR(TODAY())-' car_sales_data 1'!$F2962</f>
        <v>11</v>
      </c>
    </row>
    <row r="2963" ht="15.75" customHeight="1">
      <c r="A2963" s="16">
        <v>44955.0</v>
      </c>
      <c r="B2963" s="13" t="s">
        <v>5730</v>
      </c>
      <c r="C2963" s="13" t="s">
        <v>5731</v>
      </c>
      <c r="D2963" s="13" t="s">
        <v>6</v>
      </c>
      <c r="E2963" s="13" t="s">
        <v>70</v>
      </c>
      <c r="F2963" s="13">
        <v>2021.0</v>
      </c>
      <c r="G2963" s="13">
        <v>43647.0</v>
      </c>
      <c r="H2963" s="13">
        <v>3892.84</v>
      </c>
      <c r="I2963" s="13">
        <f>' car_sales_data 1'!$G2963*0.2</f>
        <v>8729.4</v>
      </c>
      <c r="J2963" s="13" t="str">
        <f>TEXT(' car_sales_data 1'!$A2963,"mmmm")</f>
        <v>January</v>
      </c>
      <c r="K2963" s="13" t="str">
        <f>IF(' car_sales_data 1'!$G2963&gt;40000,"Premium",
 IF(' car_sales_data 1'!$G2963&gt;=20000,"Mid Range","Budget"))</f>
        <v>Premium</v>
      </c>
      <c r="L2963" s="13">
        <f>YEAR(TODAY())-' car_sales_data 1'!$F2963</f>
        <v>4</v>
      </c>
    </row>
    <row r="2964" ht="15.75" customHeight="1">
      <c r="A2964" s="16">
        <v>44857.0</v>
      </c>
      <c r="B2964" s="13" t="s">
        <v>5732</v>
      </c>
      <c r="C2964" s="13" t="s">
        <v>5733</v>
      </c>
      <c r="D2964" s="13" t="s">
        <v>14</v>
      </c>
      <c r="E2964" s="13" t="s">
        <v>54</v>
      </c>
      <c r="F2964" s="13">
        <v>2014.0</v>
      </c>
      <c r="G2964" s="13">
        <v>33747.0</v>
      </c>
      <c r="H2964" s="13">
        <v>4911.57</v>
      </c>
      <c r="I2964" s="13">
        <f>' car_sales_data 1'!$G2964*0.2</f>
        <v>6749.4</v>
      </c>
      <c r="J2964" s="13" t="str">
        <f>TEXT(' car_sales_data 1'!$A2964,"mmmm")</f>
        <v>October</v>
      </c>
      <c r="K2964" s="13" t="str">
        <f>IF(' car_sales_data 1'!$G2964&gt;40000,"Premium",
 IF(' car_sales_data 1'!$G2964&gt;=20000,"Mid Range","Budget"))</f>
        <v>Mid Range</v>
      </c>
      <c r="L2964" s="13">
        <f>YEAR(TODAY())-' car_sales_data 1'!$F2964</f>
        <v>11</v>
      </c>
    </row>
    <row r="2965" ht="15.75" customHeight="1">
      <c r="A2965" s="16">
        <v>44962.0</v>
      </c>
      <c r="B2965" s="13" t="s">
        <v>5734</v>
      </c>
      <c r="C2965" s="13" t="s">
        <v>5735</v>
      </c>
      <c r="D2965" s="13" t="s">
        <v>6</v>
      </c>
      <c r="E2965" s="13" t="s">
        <v>62</v>
      </c>
      <c r="F2965" s="13">
        <v>2019.0</v>
      </c>
      <c r="G2965" s="13">
        <v>29334.0</v>
      </c>
      <c r="H2965" s="13">
        <v>4286.27</v>
      </c>
      <c r="I2965" s="13">
        <f>' car_sales_data 1'!$G2965*0.2</f>
        <v>5866.8</v>
      </c>
      <c r="J2965" s="13" t="str">
        <f>TEXT(' car_sales_data 1'!$A2965,"mmmm")</f>
        <v>February</v>
      </c>
      <c r="K2965" s="13" t="str">
        <f>IF(' car_sales_data 1'!$G2965&gt;40000,"Premium",
 IF(' car_sales_data 1'!$G2965&gt;=20000,"Mid Range","Budget"))</f>
        <v>Mid Range</v>
      </c>
      <c r="L2965" s="13">
        <f>YEAR(TODAY())-' car_sales_data 1'!$F2965</f>
        <v>6</v>
      </c>
    </row>
    <row r="2966" ht="15.75" customHeight="1">
      <c r="A2966" s="16">
        <v>44906.0</v>
      </c>
      <c r="B2966" s="13" t="s">
        <v>5736</v>
      </c>
      <c r="C2966" s="13" t="s">
        <v>5737</v>
      </c>
      <c r="D2966" s="13" t="s">
        <v>10</v>
      </c>
      <c r="E2966" s="13" t="s">
        <v>51</v>
      </c>
      <c r="F2966" s="13">
        <v>2016.0</v>
      </c>
      <c r="G2966" s="13">
        <v>45818.0</v>
      </c>
      <c r="H2966" s="13">
        <v>4641.07</v>
      </c>
      <c r="I2966" s="13">
        <f>' car_sales_data 1'!$G2966*0.2</f>
        <v>9163.6</v>
      </c>
      <c r="J2966" s="13" t="str">
        <f>TEXT(' car_sales_data 1'!$A2966,"mmmm")</f>
        <v>December</v>
      </c>
      <c r="K2966" s="13" t="str">
        <f>IF(' car_sales_data 1'!$G2966&gt;40000,"Premium",
 IF(' car_sales_data 1'!$G2966&gt;=20000,"Mid Range","Budget"))</f>
        <v>Premium</v>
      </c>
      <c r="L2966" s="13">
        <f>YEAR(TODAY())-' car_sales_data 1'!$F2966</f>
        <v>9</v>
      </c>
    </row>
    <row r="2967" ht="15.75" customHeight="1">
      <c r="A2967" s="16">
        <v>44951.0</v>
      </c>
      <c r="B2967" s="13" t="s">
        <v>5738</v>
      </c>
      <c r="C2967" s="13" t="s">
        <v>5739</v>
      </c>
      <c r="D2967" s="13" t="s">
        <v>12</v>
      </c>
      <c r="E2967" s="13" t="s">
        <v>54</v>
      </c>
      <c r="F2967" s="13">
        <v>2019.0</v>
      </c>
      <c r="G2967" s="13">
        <v>14269.0</v>
      </c>
      <c r="H2967" s="13">
        <v>1979.47</v>
      </c>
      <c r="I2967" s="13">
        <f>' car_sales_data 1'!$G2967*0.2</f>
        <v>2853.8</v>
      </c>
      <c r="J2967" s="13" t="str">
        <f>TEXT(' car_sales_data 1'!$A2967,"mmmm")</f>
        <v>January</v>
      </c>
      <c r="K2967" s="13" t="str">
        <f>IF(' car_sales_data 1'!$G2967&gt;40000,"Premium",
 IF(' car_sales_data 1'!$G2967&gt;=20000,"Mid Range","Budget"))</f>
        <v>Budget</v>
      </c>
      <c r="L2967" s="13">
        <f>YEAR(TODAY())-' car_sales_data 1'!$F2967</f>
        <v>6</v>
      </c>
    </row>
    <row r="2968" ht="15.75" customHeight="1">
      <c r="A2968" s="16">
        <v>44819.0</v>
      </c>
      <c r="B2968" s="13" t="s">
        <v>5740</v>
      </c>
      <c r="C2968" s="13" t="s">
        <v>4072</v>
      </c>
      <c r="D2968" s="13" t="s">
        <v>8</v>
      </c>
      <c r="E2968" s="13" t="s">
        <v>57</v>
      </c>
      <c r="F2968" s="13">
        <v>2014.0</v>
      </c>
      <c r="G2968" s="13">
        <v>10925.0</v>
      </c>
      <c r="H2968" s="13">
        <v>1094.29</v>
      </c>
      <c r="I2968" s="13">
        <f>' car_sales_data 1'!$G2968*0.2</f>
        <v>2185</v>
      </c>
      <c r="J2968" s="13" t="str">
        <f>TEXT(' car_sales_data 1'!$A2968,"mmmm")</f>
        <v>September</v>
      </c>
      <c r="K2968" s="13" t="str">
        <f>IF(' car_sales_data 1'!$G2968&gt;40000,"Premium",
 IF(' car_sales_data 1'!$G2968&gt;=20000,"Mid Range","Budget"))</f>
        <v>Budget</v>
      </c>
      <c r="L2968" s="13">
        <f>YEAR(TODAY())-' car_sales_data 1'!$F2968</f>
        <v>11</v>
      </c>
    </row>
    <row r="2969" ht="15.75" customHeight="1">
      <c r="A2969" s="16">
        <v>44852.0</v>
      </c>
      <c r="B2969" s="13" t="s">
        <v>5741</v>
      </c>
      <c r="C2969" s="13" t="s">
        <v>5742</v>
      </c>
      <c r="D2969" s="13" t="s">
        <v>12</v>
      </c>
      <c r="E2969" s="13" t="s">
        <v>57</v>
      </c>
      <c r="F2969" s="13">
        <v>2021.0</v>
      </c>
      <c r="G2969" s="13">
        <v>24763.0</v>
      </c>
      <c r="H2969" s="13">
        <v>2581.47</v>
      </c>
      <c r="I2969" s="13">
        <f>' car_sales_data 1'!$G2969*0.2</f>
        <v>4952.6</v>
      </c>
      <c r="J2969" s="13" t="str">
        <f>TEXT(' car_sales_data 1'!$A2969,"mmmm")</f>
        <v>October</v>
      </c>
      <c r="K2969" s="13" t="str">
        <f>IF(' car_sales_data 1'!$G2969&gt;40000,"Premium",
 IF(' car_sales_data 1'!$G2969&gt;=20000,"Mid Range","Budget"))</f>
        <v>Mid Range</v>
      </c>
      <c r="L2969" s="13">
        <f>YEAR(TODAY())-' car_sales_data 1'!$F2969</f>
        <v>4</v>
      </c>
    </row>
    <row r="2970" ht="15.75" customHeight="1">
      <c r="A2970" s="16">
        <v>44959.0</v>
      </c>
      <c r="B2970" s="13" t="s">
        <v>5743</v>
      </c>
      <c r="C2970" s="13" t="s">
        <v>5744</v>
      </c>
      <c r="D2970" s="13" t="s">
        <v>14</v>
      </c>
      <c r="E2970" s="13" t="s">
        <v>54</v>
      </c>
      <c r="F2970" s="13">
        <v>2021.0</v>
      </c>
      <c r="G2970" s="13">
        <v>31638.0</v>
      </c>
      <c r="H2970" s="13">
        <v>4233.35</v>
      </c>
      <c r="I2970" s="13">
        <f>' car_sales_data 1'!$G2970*0.2</f>
        <v>6327.6</v>
      </c>
      <c r="J2970" s="13" t="str">
        <f>TEXT(' car_sales_data 1'!$A2970,"mmmm")</f>
        <v>February</v>
      </c>
      <c r="K2970" s="13" t="str">
        <f>IF(' car_sales_data 1'!$G2970&gt;40000,"Premium",
 IF(' car_sales_data 1'!$G2970&gt;=20000,"Mid Range","Budget"))</f>
        <v>Mid Range</v>
      </c>
      <c r="L2970" s="13">
        <f>YEAR(TODAY())-' car_sales_data 1'!$F2970</f>
        <v>4</v>
      </c>
    </row>
    <row r="2971" ht="15.75" customHeight="1">
      <c r="A2971" s="16">
        <v>44706.0</v>
      </c>
      <c r="B2971" s="13" t="s">
        <v>5441</v>
      </c>
      <c r="C2971" s="13" t="s">
        <v>5745</v>
      </c>
      <c r="D2971" s="13" t="s">
        <v>14</v>
      </c>
      <c r="E2971" s="13" t="s">
        <v>62</v>
      </c>
      <c r="F2971" s="13">
        <v>2021.0</v>
      </c>
      <c r="G2971" s="13">
        <v>30570.0</v>
      </c>
      <c r="H2971" s="13">
        <v>2084.83</v>
      </c>
      <c r="I2971" s="13">
        <f>' car_sales_data 1'!$G2971*0.2</f>
        <v>6114</v>
      </c>
      <c r="J2971" s="13" t="str">
        <f>TEXT(' car_sales_data 1'!$A2971,"mmmm")</f>
        <v>May</v>
      </c>
      <c r="K2971" s="13" t="str">
        <f>IF(' car_sales_data 1'!$G2971&gt;40000,"Premium",
 IF(' car_sales_data 1'!$G2971&gt;=20000,"Mid Range","Budget"))</f>
        <v>Mid Range</v>
      </c>
      <c r="L2971" s="13">
        <f>YEAR(TODAY())-' car_sales_data 1'!$F2971</f>
        <v>4</v>
      </c>
    </row>
    <row r="2972" ht="15.75" customHeight="1">
      <c r="A2972" s="16">
        <v>44945.0</v>
      </c>
      <c r="B2972" s="13" t="s">
        <v>5746</v>
      </c>
      <c r="C2972" s="13" t="s">
        <v>5747</v>
      </c>
      <c r="D2972" s="13" t="s">
        <v>14</v>
      </c>
      <c r="E2972" s="13" t="s">
        <v>57</v>
      </c>
      <c r="F2972" s="13">
        <v>2022.0</v>
      </c>
      <c r="G2972" s="13">
        <v>17598.0</v>
      </c>
      <c r="H2972" s="13">
        <v>1356.77</v>
      </c>
      <c r="I2972" s="13">
        <f>' car_sales_data 1'!$G2972*0.2</f>
        <v>3519.6</v>
      </c>
      <c r="J2972" s="13" t="str">
        <f>TEXT(' car_sales_data 1'!$A2972,"mmmm")</f>
        <v>January</v>
      </c>
      <c r="K2972" s="13" t="str">
        <f>IF(' car_sales_data 1'!$G2972&gt;40000,"Premium",
 IF(' car_sales_data 1'!$G2972&gt;=20000,"Mid Range","Budget"))</f>
        <v>Budget</v>
      </c>
      <c r="L2972" s="13">
        <f>YEAR(TODAY())-' car_sales_data 1'!$F2972</f>
        <v>3</v>
      </c>
    </row>
    <row r="2973" ht="15.75" customHeight="1">
      <c r="A2973" s="16">
        <v>44798.0</v>
      </c>
      <c r="B2973" s="13" t="s">
        <v>5695</v>
      </c>
      <c r="C2973" s="13" t="s">
        <v>5748</v>
      </c>
      <c r="D2973" s="13" t="s">
        <v>12</v>
      </c>
      <c r="E2973" s="13" t="s">
        <v>51</v>
      </c>
      <c r="F2973" s="13">
        <v>2018.0</v>
      </c>
      <c r="G2973" s="13">
        <v>12521.0</v>
      </c>
      <c r="H2973" s="13">
        <v>1357.13</v>
      </c>
      <c r="I2973" s="13">
        <f>' car_sales_data 1'!$G2973*0.2</f>
        <v>2504.2</v>
      </c>
      <c r="J2973" s="13" t="str">
        <f>TEXT(' car_sales_data 1'!$A2973,"mmmm")</f>
        <v>August</v>
      </c>
      <c r="K2973" s="13" t="str">
        <f>IF(' car_sales_data 1'!$G2973&gt;40000,"Premium",
 IF(' car_sales_data 1'!$G2973&gt;=20000,"Mid Range","Budget"))</f>
        <v>Budget</v>
      </c>
      <c r="L2973" s="13">
        <f>YEAR(TODAY())-' car_sales_data 1'!$F2973</f>
        <v>7</v>
      </c>
    </row>
    <row r="2974" ht="15.75" customHeight="1">
      <c r="A2974" s="16">
        <v>44693.0</v>
      </c>
      <c r="B2974" s="13" t="s">
        <v>5749</v>
      </c>
      <c r="C2974" s="13" t="s">
        <v>5750</v>
      </c>
      <c r="D2974" s="13" t="s">
        <v>6</v>
      </c>
      <c r="E2974" s="13" t="s">
        <v>51</v>
      </c>
      <c r="F2974" s="13">
        <v>2013.0</v>
      </c>
      <c r="G2974" s="13">
        <v>13704.0</v>
      </c>
      <c r="H2974" s="13">
        <v>1410.34</v>
      </c>
      <c r="I2974" s="13">
        <f>' car_sales_data 1'!$G2974*0.2</f>
        <v>2740.8</v>
      </c>
      <c r="J2974" s="13" t="str">
        <f>TEXT(' car_sales_data 1'!$A2974,"mmmm")</f>
        <v>May</v>
      </c>
      <c r="K2974" s="13" t="str">
        <f>IF(' car_sales_data 1'!$G2974&gt;40000,"Premium",
 IF(' car_sales_data 1'!$G2974&gt;=20000,"Mid Range","Budget"))</f>
        <v>Budget</v>
      </c>
      <c r="L2974" s="13">
        <f>YEAR(TODAY())-' car_sales_data 1'!$F2974</f>
        <v>12</v>
      </c>
    </row>
    <row r="2975" ht="15.75" customHeight="1">
      <c r="A2975" s="16">
        <v>44857.0</v>
      </c>
      <c r="B2975" s="13" t="s">
        <v>5751</v>
      </c>
      <c r="C2975" s="13" t="s">
        <v>5752</v>
      </c>
      <c r="D2975" s="13" t="s">
        <v>10</v>
      </c>
      <c r="E2975" s="13" t="s">
        <v>57</v>
      </c>
      <c r="F2975" s="13">
        <v>2018.0</v>
      </c>
      <c r="G2975" s="13">
        <v>36557.0</v>
      </c>
      <c r="H2975" s="13">
        <v>1999.76</v>
      </c>
      <c r="I2975" s="13">
        <f>' car_sales_data 1'!$G2975*0.2</f>
        <v>7311.4</v>
      </c>
      <c r="J2975" s="13" t="str">
        <f>TEXT(' car_sales_data 1'!$A2975,"mmmm")</f>
        <v>October</v>
      </c>
      <c r="K2975" s="13" t="str">
        <f>IF(' car_sales_data 1'!$G2975&gt;40000,"Premium",
 IF(' car_sales_data 1'!$G2975&gt;=20000,"Mid Range","Budget"))</f>
        <v>Mid Range</v>
      </c>
      <c r="L2975" s="13">
        <f>YEAR(TODAY())-' car_sales_data 1'!$F2975</f>
        <v>7</v>
      </c>
    </row>
    <row r="2976" ht="15.75" customHeight="1">
      <c r="A2976" s="16">
        <v>44832.0</v>
      </c>
      <c r="B2976" s="13" t="s">
        <v>5753</v>
      </c>
      <c r="C2976" s="13" t="s">
        <v>5754</v>
      </c>
      <c r="D2976" s="13" t="s">
        <v>6</v>
      </c>
      <c r="E2976" s="13" t="s">
        <v>62</v>
      </c>
      <c r="F2976" s="13">
        <v>2019.0</v>
      </c>
      <c r="G2976" s="13">
        <v>47985.0</v>
      </c>
      <c r="H2976" s="13">
        <v>3757.3</v>
      </c>
      <c r="I2976" s="13">
        <f>' car_sales_data 1'!$G2976*0.2</f>
        <v>9597</v>
      </c>
      <c r="J2976" s="13" t="str">
        <f>TEXT(' car_sales_data 1'!$A2976,"mmmm")</f>
        <v>September</v>
      </c>
      <c r="K2976" s="13" t="str">
        <f>IF(' car_sales_data 1'!$G2976&gt;40000,"Premium",
 IF(' car_sales_data 1'!$G2976&gt;=20000,"Mid Range","Budget"))</f>
        <v>Premium</v>
      </c>
      <c r="L2976" s="13">
        <f>YEAR(TODAY())-' car_sales_data 1'!$F2976</f>
        <v>6</v>
      </c>
    </row>
    <row r="2977" ht="15.75" customHeight="1">
      <c r="A2977" s="16">
        <v>44804.0</v>
      </c>
      <c r="B2977" s="13" t="s">
        <v>5755</v>
      </c>
      <c r="C2977" s="13" t="s">
        <v>5756</v>
      </c>
      <c r="D2977" s="13" t="s">
        <v>14</v>
      </c>
      <c r="E2977" s="13" t="s">
        <v>51</v>
      </c>
      <c r="F2977" s="13">
        <v>2015.0</v>
      </c>
      <c r="G2977" s="13">
        <v>25738.0</v>
      </c>
      <c r="H2977" s="13">
        <v>3013.66</v>
      </c>
      <c r="I2977" s="13">
        <f>' car_sales_data 1'!$G2977*0.2</f>
        <v>5147.6</v>
      </c>
      <c r="J2977" s="13" t="str">
        <f>TEXT(' car_sales_data 1'!$A2977,"mmmm")</f>
        <v>August</v>
      </c>
      <c r="K2977" s="13" t="str">
        <f>IF(' car_sales_data 1'!$G2977&gt;40000,"Premium",
 IF(' car_sales_data 1'!$G2977&gt;=20000,"Mid Range","Budget"))</f>
        <v>Mid Range</v>
      </c>
      <c r="L2977" s="13">
        <f>YEAR(TODAY())-' car_sales_data 1'!$F2977</f>
        <v>10</v>
      </c>
    </row>
    <row r="2978" ht="15.75" customHeight="1">
      <c r="A2978" s="16">
        <v>44800.0</v>
      </c>
      <c r="B2978" s="13" t="s">
        <v>5757</v>
      </c>
      <c r="C2978" s="13" t="s">
        <v>2595</v>
      </c>
      <c r="D2978" s="13" t="s">
        <v>6</v>
      </c>
      <c r="E2978" s="13" t="s">
        <v>62</v>
      </c>
      <c r="F2978" s="13">
        <v>2020.0</v>
      </c>
      <c r="G2978" s="13">
        <v>30142.0</v>
      </c>
      <c r="H2978" s="13">
        <v>2301.49</v>
      </c>
      <c r="I2978" s="13">
        <f>' car_sales_data 1'!$G2978*0.2</f>
        <v>6028.4</v>
      </c>
      <c r="J2978" s="13" t="str">
        <f>TEXT(' car_sales_data 1'!$A2978,"mmmm")</f>
        <v>August</v>
      </c>
      <c r="K2978" s="13" t="str">
        <f>IF(' car_sales_data 1'!$G2978&gt;40000,"Premium",
 IF(' car_sales_data 1'!$G2978&gt;=20000,"Mid Range","Budget"))</f>
        <v>Mid Range</v>
      </c>
      <c r="L2978" s="13">
        <f>YEAR(TODAY())-' car_sales_data 1'!$F2978</f>
        <v>5</v>
      </c>
    </row>
    <row r="2979" ht="15.75" customHeight="1">
      <c r="A2979" s="16">
        <v>44767.0</v>
      </c>
      <c r="B2979" s="13" t="s">
        <v>20</v>
      </c>
      <c r="C2979" s="13" t="s">
        <v>5758</v>
      </c>
      <c r="D2979" s="13" t="s">
        <v>10</v>
      </c>
      <c r="E2979" s="13" t="s">
        <v>51</v>
      </c>
      <c r="F2979" s="13">
        <v>2014.0</v>
      </c>
      <c r="G2979" s="13">
        <v>44005.0</v>
      </c>
      <c r="H2979" s="13">
        <v>5605.18</v>
      </c>
      <c r="I2979" s="13">
        <f>' car_sales_data 1'!$G2979*0.2</f>
        <v>8801</v>
      </c>
      <c r="J2979" s="13" t="str">
        <f>TEXT(' car_sales_data 1'!$A2979,"mmmm")</f>
        <v>July</v>
      </c>
      <c r="K2979" s="13" t="str">
        <f>IF(' car_sales_data 1'!$G2979&gt;40000,"Premium",
 IF(' car_sales_data 1'!$G2979&gt;=20000,"Mid Range","Budget"))</f>
        <v>Premium</v>
      </c>
      <c r="L2979" s="13">
        <f>YEAR(TODAY())-' car_sales_data 1'!$F2979</f>
        <v>11</v>
      </c>
    </row>
    <row r="2980" ht="15.75" customHeight="1">
      <c r="A2980" s="16">
        <v>44767.0</v>
      </c>
      <c r="B2980" s="13" t="s">
        <v>5759</v>
      </c>
      <c r="C2980" s="13" t="s">
        <v>5760</v>
      </c>
      <c r="D2980" s="13" t="s">
        <v>14</v>
      </c>
      <c r="E2980" s="13" t="s">
        <v>57</v>
      </c>
      <c r="F2980" s="13">
        <v>2010.0</v>
      </c>
      <c r="G2980" s="13">
        <v>25915.0</v>
      </c>
      <c r="H2980" s="13">
        <v>2757.48</v>
      </c>
      <c r="I2980" s="13">
        <f>' car_sales_data 1'!$G2980*0.2</f>
        <v>5183</v>
      </c>
      <c r="J2980" s="13" t="str">
        <f>TEXT(' car_sales_data 1'!$A2980,"mmmm")</f>
        <v>July</v>
      </c>
      <c r="K2980" s="13" t="str">
        <f>IF(' car_sales_data 1'!$G2980&gt;40000,"Premium",
 IF(' car_sales_data 1'!$G2980&gt;=20000,"Mid Range","Budget"))</f>
        <v>Mid Range</v>
      </c>
      <c r="L2980" s="13">
        <f>YEAR(TODAY())-' car_sales_data 1'!$F2980</f>
        <v>15</v>
      </c>
    </row>
    <row r="2981" ht="15.75" customHeight="1">
      <c r="A2981" s="16">
        <v>44998.0</v>
      </c>
      <c r="B2981" s="13" t="s">
        <v>5761</v>
      </c>
      <c r="C2981" s="13" t="s">
        <v>5762</v>
      </c>
      <c r="D2981" s="13" t="s">
        <v>14</v>
      </c>
      <c r="E2981" s="13" t="s">
        <v>54</v>
      </c>
      <c r="F2981" s="13">
        <v>2022.0</v>
      </c>
      <c r="G2981" s="13">
        <v>27357.0</v>
      </c>
      <c r="H2981" s="13">
        <v>4096.88</v>
      </c>
      <c r="I2981" s="13">
        <f>' car_sales_data 1'!$G2981*0.2</f>
        <v>5471.4</v>
      </c>
      <c r="J2981" s="13" t="str">
        <f>TEXT(' car_sales_data 1'!$A2981,"mmmm")</f>
        <v>March</v>
      </c>
      <c r="K2981" s="13" t="str">
        <f>IF(' car_sales_data 1'!$G2981&gt;40000,"Premium",
 IF(' car_sales_data 1'!$G2981&gt;=20000,"Mid Range","Budget"))</f>
        <v>Mid Range</v>
      </c>
      <c r="L2981" s="13">
        <f>YEAR(TODAY())-' car_sales_data 1'!$F2981</f>
        <v>3</v>
      </c>
    </row>
    <row r="2982" ht="15.75" customHeight="1">
      <c r="A2982" s="16">
        <v>44714.0</v>
      </c>
      <c r="B2982" s="13" t="s">
        <v>5763</v>
      </c>
      <c r="C2982" s="13" t="s">
        <v>5764</v>
      </c>
      <c r="D2982" s="13" t="s">
        <v>14</v>
      </c>
      <c r="E2982" s="13" t="s">
        <v>57</v>
      </c>
      <c r="F2982" s="13">
        <v>2016.0</v>
      </c>
      <c r="G2982" s="13">
        <v>37327.0</v>
      </c>
      <c r="H2982" s="13">
        <v>4773.54</v>
      </c>
      <c r="I2982" s="13">
        <f>' car_sales_data 1'!$G2982*0.2</f>
        <v>7465.4</v>
      </c>
      <c r="J2982" s="13" t="str">
        <f>TEXT(' car_sales_data 1'!$A2982,"mmmm")</f>
        <v>June</v>
      </c>
      <c r="K2982" s="13" t="str">
        <f>IF(' car_sales_data 1'!$G2982&gt;40000,"Premium",
 IF(' car_sales_data 1'!$G2982&gt;=20000,"Mid Range","Budget"))</f>
        <v>Mid Range</v>
      </c>
      <c r="L2982" s="13">
        <f>YEAR(TODAY())-' car_sales_data 1'!$F2982</f>
        <v>9</v>
      </c>
    </row>
    <row r="2983" ht="15.75" customHeight="1">
      <c r="A2983" s="16">
        <v>44716.0</v>
      </c>
      <c r="B2983" s="13" t="s">
        <v>5765</v>
      </c>
      <c r="C2983" s="13" t="s">
        <v>5766</v>
      </c>
      <c r="D2983" s="13" t="s">
        <v>14</v>
      </c>
      <c r="E2983" s="13" t="s">
        <v>70</v>
      </c>
      <c r="F2983" s="13">
        <v>2021.0</v>
      </c>
      <c r="G2983" s="13">
        <v>33820.0</v>
      </c>
      <c r="H2983" s="13">
        <v>2164.91</v>
      </c>
      <c r="I2983" s="13">
        <f>' car_sales_data 1'!$G2983*0.2</f>
        <v>6764</v>
      </c>
      <c r="J2983" s="13" t="str">
        <f>TEXT(' car_sales_data 1'!$A2983,"mmmm")</f>
        <v>June</v>
      </c>
      <c r="K2983" s="13" t="str">
        <f>IF(' car_sales_data 1'!$G2983&gt;40000,"Premium",
 IF(' car_sales_data 1'!$G2983&gt;=20000,"Mid Range","Budget"))</f>
        <v>Mid Range</v>
      </c>
      <c r="L2983" s="13">
        <f>YEAR(TODAY())-' car_sales_data 1'!$F2983</f>
        <v>4</v>
      </c>
    </row>
    <row r="2984" ht="15.75" customHeight="1">
      <c r="A2984" s="16">
        <v>44909.0</v>
      </c>
      <c r="B2984" s="13" t="s">
        <v>5767</v>
      </c>
      <c r="C2984" s="13" t="s">
        <v>5768</v>
      </c>
      <c r="D2984" s="13" t="s">
        <v>14</v>
      </c>
      <c r="E2984" s="13" t="s">
        <v>54</v>
      </c>
      <c r="F2984" s="13">
        <v>2020.0</v>
      </c>
      <c r="G2984" s="13">
        <v>40044.0</v>
      </c>
      <c r="H2984" s="13">
        <v>2119.3</v>
      </c>
      <c r="I2984" s="13">
        <f>' car_sales_data 1'!$G2984*0.2</f>
        <v>8008.8</v>
      </c>
      <c r="J2984" s="13" t="str">
        <f>TEXT(' car_sales_data 1'!$A2984,"mmmm")</f>
        <v>December</v>
      </c>
      <c r="K2984" s="13" t="str">
        <f>IF(' car_sales_data 1'!$G2984&gt;40000,"Premium",
 IF(' car_sales_data 1'!$G2984&gt;=20000,"Mid Range","Budget"))</f>
        <v>Premium</v>
      </c>
      <c r="L2984" s="13">
        <f>YEAR(TODAY())-' car_sales_data 1'!$F2984</f>
        <v>5</v>
      </c>
    </row>
    <row r="2985" ht="15.75" customHeight="1">
      <c r="A2985" s="16">
        <v>44819.0</v>
      </c>
      <c r="B2985" s="13" t="s">
        <v>5769</v>
      </c>
      <c r="C2985" s="13" t="s">
        <v>3753</v>
      </c>
      <c r="D2985" s="13" t="s">
        <v>8</v>
      </c>
      <c r="E2985" s="13" t="s">
        <v>57</v>
      </c>
      <c r="F2985" s="13">
        <v>2015.0</v>
      </c>
      <c r="G2985" s="13">
        <v>40786.0</v>
      </c>
      <c r="H2985" s="13">
        <v>4061.15</v>
      </c>
      <c r="I2985" s="13">
        <f>' car_sales_data 1'!$G2985*0.2</f>
        <v>8157.2</v>
      </c>
      <c r="J2985" s="13" t="str">
        <f>TEXT(' car_sales_data 1'!$A2985,"mmmm")</f>
        <v>September</v>
      </c>
      <c r="K2985" s="13" t="str">
        <f>IF(' car_sales_data 1'!$G2985&gt;40000,"Premium",
 IF(' car_sales_data 1'!$G2985&gt;=20000,"Mid Range","Budget"))</f>
        <v>Premium</v>
      </c>
      <c r="L2985" s="13">
        <f>YEAR(TODAY())-' car_sales_data 1'!$F2985</f>
        <v>10</v>
      </c>
    </row>
    <row r="2986" ht="15.75" customHeight="1">
      <c r="A2986" s="16">
        <v>44880.0</v>
      </c>
      <c r="B2986" s="13" t="s">
        <v>5770</v>
      </c>
      <c r="C2986" s="13" t="s">
        <v>5771</v>
      </c>
      <c r="D2986" s="13" t="s">
        <v>12</v>
      </c>
      <c r="E2986" s="13" t="s">
        <v>57</v>
      </c>
      <c r="F2986" s="13">
        <v>2011.0</v>
      </c>
      <c r="G2986" s="13">
        <v>11653.0</v>
      </c>
      <c r="H2986" s="13">
        <v>1504.63</v>
      </c>
      <c r="I2986" s="13">
        <f>' car_sales_data 1'!$G2986*0.2</f>
        <v>2330.6</v>
      </c>
      <c r="J2986" s="13" t="str">
        <f>TEXT(' car_sales_data 1'!$A2986,"mmmm")</f>
        <v>November</v>
      </c>
      <c r="K2986" s="13" t="str">
        <f>IF(' car_sales_data 1'!$G2986&gt;40000,"Premium",
 IF(' car_sales_data 1'!$G2986&gt;=20000,"Mid Range","Budget"))</f>
        <v>Budget</v>
      </c>
      <c r="L2986" s="13">
        <f>YEAR(TODAY())-' car_sales_data 1'!$F2986</f>
        <v>14</v>
      </c>
    </row>
    <row r="2987" ht="15.75" customHeight="1">
      <c r="A2987" s="16">
        <v>44869.0</v>
      </c>
      <c r="B2987" s="13" t="s">
        <v>4017</v>
      </c>
      <c r="C2987" s="13" t="s">
        <v>5772</v>
      </c>
      <c r="D2987" s="13" t="s">
        <v>14</v>
      </c>
      <c r="E2987" s="13" t="s">
        <v>70</v>
      </c>
      <c r="F2987" s="13">
        <v>2011.0</v>
      </c>
      <c r="G2987" s="13">
        <v>21077.0</v>
      </c>
      <c r="H2987" s="13">
        <v>2463.8</v>
      </c>
      <c r="I2987" s="13">
        <f>' car_sales_data 1'!$G2987*0.2</f>
        <v>4215.4</v>
      </c>
      <c r="J2987" s="13" t="str">
        <f>TEXT(' car_sales_data 1'!$A2987,"mmmm")</f>
        <v>November</v>
      </c>
      <c r="K2987" s="13" t="str">
        <f>IF(' car_sales_data 1'!$G2987&gt;40000,"Premium",
 IF(' car_sales_data 1'!$G2987&gt;=20000,"Mid Range","Budget"))</f>
        <v>Mid Range</v>
      </c>
      <c r="L2987" s="13">
        <f>YEAR(TODAY())-' car_sales_data 1'!$F2987</f>
        <v>14</v>
      </c>
    </row>
    <row r="2988" ht="15.75" customHeight="1">
      <c r="A2988" s="16">
        <v>44829.0</v>
      </c>
      <c r="B2988" s="13" t="s">
        <v>5773</v>
      </c>
      <c r="C2988" s="13" t="s">
        <v>5774</v>
      </c>
      <c r="D2988" s="13" t="s">
        <v>14</v>
      </c>
      <c r="E2988" s="13" t="s">
        <v>57</v>
      </c>
      <c r="F2988" s="13">
        <v>2019.0</v>
      </c>
      <c r="G2988" s="13">
        <v>37495.0</v>
      </c>
      <c r="H2988" s="13">
        <v>3362.81</v>
      </c>
      <c r="I2988" s="13">
        <f>' car_sales_data 1'!$G2988*0.2</f>
        <v>7499</v>
      </c>
      <c r="J2988" s="13" t="str">
        <f>TEXT(' car_sales_data 1'!$A2988,"mmmm")</f>
        <v>September</v>
      </c>
      <c r="K2988" s="13" t="str">
        <f>IF(' car_sales_data 1'!$G2988&gt;40000,"Premium",
 IF(' car_sales_data 1'!$G2988&gt;=20000,"Mid Range","Budget"))</f>
        <v>Mid Range</v>
      </c>
      <c r="L2988" s="13">
        <f>YEAR(TODAY())-' car_sales_data 1'!$F2988</f>
        <v>6</v>
      </c>
    </row>
    <row r="2989" ht="15.75" customHeight="1">
      <c r="A2989" s="16">
        <v>44762.0</v>
      </c>
      <c r="B2989" s="13" t="s">
        <v>5775</v>
      </c>
      <c r="C2989" s="13" t="s">
        <v>2008</v>
      </c>
      <c r="D2989" s="13" t="s">
        <v>6</v>
      </c>
      <c r="E2989" s="13" t="s">
        <v>57</v>
      </c>
      <c r="F2989" s="13">
        <v>2020.0</v>
      </c>
      <c r="G2989" s="13">
        <v>28674.0</v>
      </c>
      <c r="H2989" s="13">
        <v>3806.38</v>
      </c>
      <c r="I2989" s="13">
        <f>' car_sales_data 1'!$G2989*0.2</f>
        <v>5734.8</v>
      </c>
      <c r="J2989" s="13" t="str">
        <f>TEXT(' car_sales_data 1'!$A2989,"mmmm")</f>
        <v>July</v>
      </c>
      <c r="K2989" s="13" t="str">
        <f>IF(' car_sales_data 1'!$G2989&gt;40000,"Premium",
 IF(' car_sales_data 1'!$G2989&gt;=20000,"Mid Range","Budget"))</f>
        <v>Mid Range</v>
      </c>
      <c r="L2989" s="13">
        <f>YEAR(TODAY())-' car_sales_data 1'!$F2989</f>
        <v>5</v>
      </c>
    </row>
    <row r="2990" ht="15.75" customHeight="1">
      <c r="A2990" s="16">
        <v>44987.0</v>
      </c>
      <c r="B2990" s="13" t="s">
        <v>5776</v>
      </c>
      <c r="C2990" s="13" t="s">
        <v>5777</v>
      </c>
      <c r="D2990" s="13" t="s">
        <v>12</v>
      </c>
      <c r="E2990" s="13" t="s">
        <v>51</v>
      </c>
      <c r="F2990" s="13">
        <v>2017.0</v>
      </c>
      <c r="G2990" s="13">
        <v>14025.0</v>
      </c>
      <c r="H2990" s="13">
        <v>708.0</v>
      </c>
      <c r="I2990" s="13">
        <f>' car_sales_data 1'!$G2990*0.2</f>
        <v>2805</v>
      </c>
      <c r="J2990" s="13" t="str">
        <f>TEXT(' car_sales_data 1'!$A2990,"mmmm")</f>
        <v>March</v>
      </c>
      <c r="K2990" s="13" t="str">
        <f>IF(' car_sales_data 1'!$G2990&gt;40000,"Premium",
 IF(' car_sales_data 1'!$G2990&gt;=20000,"Mid Range","Budget"))</f>
        <v>Budget</v>
      </c>
      <c r="L2990" s="13">
        <f>YEAR(TODAY())-' car_sales_data 1'!$F2990</f>
        <v>8</v>
      </c>
    </row>
    <row r="2991" ht="15.75" customHeight="1">
      <c r="A2991" s="16">
        <v>44783.0</v>
      </c>
      <c r="B2991" s="13" t="s">
        <v>5778</v>
      </c>
      <c r="C2991" s="13" t="s">
        <v>5779</v>
      </c>
      <c r="D2991" s="13" t="s">
        <v>6</v>
      </c>
      <c r="E2991" s="13" t="s">
        <v>57</v>
      </c>
      <c r="F2991" s="13">
        <v>2016.0</v>
      </c>
      <c r="G2991" s="13">
        <v>20696.0</v>
      </c>
      <c r="H2991" s="13">
        <v>2162.37</v>
      </c>
      <c r="I2991" s="13">
        <f>' car_sales_data 1'!$G2991*0.2</f>
        <v>4139.2</v>
      </c>
      <c r="J2991" s="13" t="str">
        <f>TEXT(' car_sales_data 1'!$A2991,"mmmm")</f>
        <v>August</v>
      </c>
      <c r="K2991" s="13" t="str">
        <f>IF(' car_sales_data 1'!$G2991&gt;40000,"Premium",
 IF(' car_sales_data 1'!$G2991&gt;=20000,"Mid Range","Budget"))</f>
        <v>Mid Range</v>
      </c>
      <c r="L2991" s="13">
        <f>YEAR(TODAY())-' car_sales_data 1'!$F2991</f>
        <v>9</v>
      </c>
    </row>
    <row r="2992" ht="15.75" customHeight="1">
      <c r="A2992" s="16">
        <v>44926.0</v>
      </c>
      <c r="B2992" s="13" t="s">
        <v>5780</v>
      </c>
      <c r="C2992" s="13" t="s">
        <v>5781</v>
      </c>
      <c r="D2992" s="13" t="s">
        <v>12</v>
      </c>
      <c r="E2992" s="13" t="s">
        <v>62</v>
      </c>
      <c r="F2992" s="13">
        <v>2019.0</v>
      </c>
      <c r="G2992" s="13">
        <v>16349.0</v>
      </c>
      <c r="H2992" s="13">
        <v>1990.69</v>
      </c>
      <c r="I2992" s="13">
        <f>' car_sales_data 1'!$G2992*0.2</f>
        <v>3269.8</v>
      </c>
      <c r="J2992" s="13" t="str">
        <f>TEXT(' car_sales_data 1'!$A2992,"mmmm")</f>
        <v>December</v>
      </c>
      <c r="K2992" s="13" t="str">
        <f>IF(' car_sales_data 1'!$G2992&gt;40000,"Premium",
 IF(' car_sales_data 1'!$G2992&gt;=20000,"Mid Range","Budget"))</f>
        <v>Budget</v>
      </c>
      <c r="L2992" s="13">
        <f>YEAR(TODAY())-' car_sales_data 1'!$F2992</f>
        <v>6</v>
      </c>
    </row>
    <row r="2993" ht="15.75" customHeight="1">
      <c r="A2993" s="16">
        <v>44819.0</v>
      </c>
      <c r="B2993" s="13" t="s">
        <v>5782</v>
      </c>
      <c r="C2993" s="13" t="s">
        <v>5783</v>
      </c>
      <c r="D2993" s="13" t="s">
        <v>6</v>
      </c>
      <c r="E2993" s="13" t="s">
        <v>57</v>
      </c>
      <c r="F2993" s="13">
        <v>2019.0</v>
      </c>
      <c r="G2993" s="13">
        <v>20548.0</v>
      </c>
      <c r="H2993" s="13">
        <v>2691.75</v>
      </c>
      <c r="I2993" s="13">
        <f>' car_sales_data 1'!$G2993*0.2</f>
        <v>4109.6</v>
      </c>
      <c r="J2993" s="13" t="str">
        <f>TEXT(' car_sales_data 1'!$A2993,"mmmm")</f>
        <v>September</v>
      </c>
      <c r="K2993" s="13" t="str">
        <f>IF(' car_sales_data 1'!$G2993&gt;40000,"Premium",
 IF(' car_sales_data 1'!$G2993&gt;=20000,"Mid Range","Budget"))</f>
        <v>Mid Range</v>
      </c>
      <c r="L2993" s="13">
        <f>YEAR(TODAY())-' car_sales_data 1'!$F2993</f>
        <v>6</v>
      </c>
    </row>
    <row r="2994" ht="15.75" customHeight="1">
      <c r="A2994" s="16">
        <v>44728.0</v>
      </c>
      <c r="B2994" s="13" t="s">
        <v>5784</v>
      </c>
      <c r="C2994" s="13" t="s">
        <v>5785</v>
      </c>
      <c r="D2994" s="13" t="s">
        <v>12</v>
      </c>
      <c r="E2994" s="13" t="s">
        <v>51</v>
      </c>
      <c r="F2994" s="13">
        <v>2021.0</v>
      </c>
      <c r="G2994" s="13">
        <v>28714.0</v>
      </c>
      <c r="H2994" s="13">
        <v>1679.26</v>
      </c>
      <c r="I2994" s="13">
        <f>' car_sales_data 1'!$G2994*0.2</f>
        <v>5742.8</v>
      </c>
      <c r="J2994" s="13" t="str">
        <f>TEXT(' car_sales_data 1'!$A2994,"mmmm")</f>
        <v>June</v>
      </c>
      <c r="K2994" s="13" t="str">
        <f>IF(' car_sales_data 1'!$G2994&gt;40000,"Premium",
 IF(' car_sales_data 1'!$G2994&gt;=20000,"Mid Range","Budget"))</f>
        <v>Mid Range</v>
      </c>
      <c r="L2994" s="13">
        <f>YEAR(TODAY())-' car_sales_data 1'!$F2994</f>
        <v>4</v>
      </c>
    </row>
    <row r="2995" ht="15.75" customHeight="1">
      <c r="A2995" s="16">
        <v>44855.0</v>
      </c>
      <c r="B2995" s="13" t="s">
        <v>5786</v>
      </c>
      <c r="C2995" s="13" t="s">
        <v>5787</v>
      </c>
      <c r="D2995" s="13" t="s">
        <v>6</v>
      </c>
      <c r="E2995" s="13" t="s">
        <v>54</v>
      </c>
      <c r="F2995" s="13">
        <v>2016.0</v>
      </c>
      <c r="G2995" s="13">
        <v>32763.0</v>
      </c>
      <c r="H2995" s="13">
        <v>3323.13</v>
      </c>
      <c r="I2995" s="13">
        <f>' car_sales_data 1'!$G2995*0.2</f>
        <v>6552.6</v>
      </c>
      <c r="J2995" s="13" t="str">
        <f>TEXT(' car_sales_data 1'!$A2995,"mmmm")</f>
        <v>October</v>
      </c>
      <c r="K2995" s="13" t="str">
        <f>IF(' car_sales_data 1'!$G2995&gt;40000,"Premium",
 IF(' car_sales_data 1'!$G2995&gt;=20000,"Mid Range","Budget"))</f>
        <v>Mid Range</v>
      </c>
      <c r="L2995" s="13">
        <f>YEAR(TODAY())-' car_sales_data 1'!$F2995</f>
        <v>9</v>
      </c>
    </row>
    <row r="2996" ht="15.75" customHeight="1">
      <c r="A2996" s="16">
        <v>44744.0</v>
      </c>
      <c r="B2996" s="13" t="s">
        <v>15</v>
      </c>
      <c r="C2996" s="13" t="s">
        <v>5788</v>
      </c>
      <c r="D2996" s="13" t="s">
        <v>6</v>
      </c>
      <c r="E2996" s="13" t="s">
        <v>57</v>
      </c>
      <c r="F2996" s="13">
        <v>2014.0</v>
      </c>
      <c r="G2996" s="13">
        <v>44524.0</v>
      </c>
      <c r="H2996" s="13">
        <v>3021.22</v>
      </c>
      <c r="I2996" s="13">
        <f>' car_sales_data 1'!$G2996*0.2</f>
        <v>8904.8</v>
      </c>
      <c r="J2996" s="13" t="str">
        <f>TEXT(' car_sales_data 1'!$A2996,"mmmm")</f>
        <v>July</v>
      </c>
      <c r="K2996" s="13" t="str">
        <f>IF(' car_sales_data 1'!$G2996&gt;40000,"Premium",
 IF(' car_sales_data 1'!$G2996&gt;=20000,"Mid Range","Budget"))</f>
        <v>Premium</v>
      </c>
      <c r="L2996" s="13">
        <f>YEAR(TODAY())-' car_sales_data 1'!$F2996</f>
        <v>11</v>
      </c>
    </row>
    <row r="2997" ht="15.75" customHeight="1">
      <c r="A2997" s="16">
        <v>44682.0</v>
      </c>
      <c r="B2997" s="13" t="s">
        <v>5789</v>
      </c>
      <c r="C2997" s="13" t="s">
        <v>5790</v>
      </c>
      <c r="D2997" s="13" t="s">
        <v>8</v>
      </c>
      <c r="E2997" s="13" t="s">
        <v>51</v>
      </c>
      <c r="F2997" s="13">
        <v>2011.0</v>
      </c>
      <c r="G2997" s="13">
        <v>11606.0</v>
      </c>
      <c r="H2997" s="13">
        <v>1640.01</v>
      </c>
      <c r="I2997" s="13">
        <f>' car_sales_data 1'!$G2997*0.2</f>
        <v>2321.2</v>
      </c>
      <c r="J2997" s="13" t="str">
        <f>TEXT(' car_sales_data 1'!$A2997,"mmmm")</f>
        <v>May</v>
      </c>
      <c r="K2997" s="13" t="str">
        <f>IF(' car_sales_data 1'!$G2997&gt;40000,"Premium",
 IF(' car_sales_data 1'!$G2997&gt;=20000,"Mid Range","Budget"))</f>
        <v>Budget</v>
      </c>
      <c r="L2997" s="13">
        <f>YEAR(TODAY())-' car_sales_data 1'!$F2997</f>
        <v>14</v>
      </c>
    </row>
    <row r="2998" ht="15.75" customHeight="1">
      <c r="A2998" s="16">
        <v>44822.0</v>
      </c>
      <c r="B2998" s="13" t="s">
        <v>5791</v>
      </c>
      <c r="C2998" s="13" t="s">
        <v>5792</v>
      </c>
      <c r="D2998" s="13" t="s">
        <v>10</v>
      </c>
      <c r="E2998" s="13" t="s">
        <v>62</v>
      </c>
      <c r="F2998" s="13">
        <v>2022.0</v>
      </c>
      <c r="G2998" s="13">
        <v>22141.0</v>
      </c>
      <c r="H2998" s="13">
        <v>1408.16</v>
      </c>
      <c r="I2998" s="13">
        <f>' car_sales_data 1'!$G2998*0.2</f>
        <v>4428.2</v>
      </c>
      <c r="J2998" s="13" t="str">
        <f>TEXT(' car_sales_data 1'!$A2998,"mmmm")</f>
        <v>September</v>
      </c>
      <c r="K2998" s="13" t="str">
        <f>IF(' car_sales_data 1'!$G2998&gt;40000,"Premium",
 IF(' car_sales_data 1'!$G2998&gt;=20000,"Mid Range","Budget"))</f>
        <v>Mid Range</v>
      </c>
      <c r="L2998" s="13">
        <f>YEAR(TODAY())-' car_sales_data 1'!$F2998</f>
        <v>3</v>
      </c>
    </row>
    <row r="2999" ht="15.75" customHeight="1">
      <c r="A2999" s="16">
        <v>44746.0</v>
      </c>
      <c r="B2999" s="13" t="s">
        <v>5793</v>
      </c>
      <c r="C2999" s="13" t="s">
        <v>5794</v>
      </c>
      <c r="D2999" s="13" t="s">
        <v>6</v>
      </c>
      <c r="E2999" s="13" t="s">
        <v>51</v>
      </c>
      <c r="F2999" s="13">
        <v>2014.0</v>
      </c>
      <c r="G2999" s="13">
        <v>39087.0</v>
      </c>
      <c r="H2999" s="13">
        <v>2424.55</v>
      </c>
      <c r="I2999" s="13">
        <f>' car_sales_data 1'!$G2999*0.2</f>
        <v>7817.4</v>
      </c>
      <c r="J2999" s="13" t="str">
        <f>TEXT(' car_sales_data 1'!$A2999,"mmmm")</f>
        <v>July</v>
      </c>
      <c r="K2999" s="13" t="str">
        <f>IF(' car_sales_data 1'!$G2999&gt;40000,"Premium",
 IF(' car_sales_data 1'!$G2999&gt;=20000,"Mid Range","Budget"))</f>
        <v>Mid Range</v>
      </c>
      <c r="L2999" s="13">
        <f>YEAR(TODAY())-' car_sales_data 1'!$F2999</f>
        <v>11</v>
      </c>
    </row>
    <row r="3000" ht="15.75" customHeight="1">
      <c r="A3000" s="16">
        <v>44731.0</v>
      </c>
      <c r="B3000" s="13" t="s">
        <v>5795</v>
      </c>
      <c r="C3000" s="13" t="s">
        <v>5796</v>
      </c>
      <c r="D3000" s="13" t="s">
        <v>6</v>
      </c>
      <c r="E3000" s="13" t="s">
        <v>54</v>
      </c>
      <c r="F3000" s="13">
        <v>2016.0</v>
      </c>
      <c r="G3000" s="13">
        <v>10299.0</v>
      </c>
      <c r="H3000" s="13">
        <v>1430.27</v>
      </c>
      <c r="I3000" s="13">
        <f>' car_sales_data 1'!$G3000*0.2</f>
        <v>2059.8</v>
      </c>
      <c r="J3000" s="13" t="str">
        <f>TEXT(' car_sales_data 1'!$A3000,"mmmm")</f>
        <v>June</v>
      </c>
      <c r="K3000" s="13" t="str">
        <f>IF(' car_sales_data 1'!$G3000&gt;40000,"Premium",
 IF(' car_sales_data 1'!$G3000&gt;=20000,"Mid Range","Budget"))</f>
        <v>Budget</v>
      </c>
      <c r="L3000" s="13">
        <f>YEAR(TODAY())-' car_sales_data 1'!$F3000</f>
        <v>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2025-10-23T09:26:20Z</dcterms:created>
  <dc:creator>user</dc:creator>
</cp:coreProperties>
</file>